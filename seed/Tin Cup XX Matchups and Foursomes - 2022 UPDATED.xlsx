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k\Desktop\Files 10-5-21\Backup 1-28-20\Tin Cup\"/>
    </mc:Choice>
  </mc:AlternateContent>
  <xr:revisionPtr revIDLastSave="0" documentId="13_ncr:1_{AB387D07-C9C8-4635-84FC-DBCAA5A29C49}" xr6:coauthVersionLast="47" xr6:coauthVersionMax="47" xr10:uidLastSave="{00000000-0000-0000-0000-000000000000}"/>
  <bookViews>
    <workbookView xWindow="-120" yWindow="-120" windowWidth="57840" windowHeight="15720" tabRatio="913" activeTab="5" xr2:uid="{00000000-000D-0000-FFFF-FFFF00000000}"/>
  </bookViews>
  <sheets>
    <sheet name="Setup" sheetId="16" r:id="rId1"/>
    <sheet name="Courses" sheetId="17" r:id="rId2"/>
    <sheet name="Matchups" sheetId="1" r:id="rId3"/>
    <sheet name="Scores" sheetId="28" r:id="rId4"/>
    <sheet name="Points" sheetId="13" r:id="rId5"/>
    <sheet name="Leaderboard" sheetId="29" r:id="rId6"/>
    <sheet name="Results" sheetId="18" r:id="rId7"/>
    <sheet name="Day 1 - Match 1" sheetId="3" r:id="rId8"/>
    <sheet name="Day 1 - Match 2" sheetId="4" r:id="rId9"/>
    <sheet name="Day 1 - Match 3" sheetId="14" r:id="rId10"/>
    <sheet name="Day 2A - Match 4" sheetId="6" r:id="rId11"/>
    <sheet name="Day 2A - Match 5" sheetId="7" r:id="rId12"/>
    <sheet name="Day 2A - Match 6" sheetId="15" r:id="rId13"/>
    <sheet name="Day 2B - Match 7" sheetId="8" r:id="rId14"/>
    <sheet name="Day 2B - Match 8" sheetId="9" r:id="rId15"/>
    <sheet name="Day 2B - Match 9" sheetId="10" r:id="rId16"/>
    <sheet name="Day 3 - Match 10" sheetId="19" r:id="rId17"/>
    <sheet name="Day 3 - Match 11" sheetId="20" r:id="rId18"/>
    <sheet name="Day 3 - Match 12" sheetId="21" r:id="rId19"/>
    <sheet name="Scramble" sheetId="30" r:id="rId20"/>
    <sheet name="Day 4 - Front 9" sheetId="11" r:id="rId21"/>
    <sheet name="Day 4 - Back 9" sheetId="12" r:id="rId22"/>
  </sheets>
  <definedNames>
    <definedName name="_xlnm._FilterDatabase" localSheetId="2" hidden="1">Matchups!$C$2:$E$26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H31" i="13" l="1"/>
  <c r="BH29" i="13"/>
  <c r="BH27" i="13"/>
  <c r="BH25" i="13"/>
  <c r="BH23" i="13"/>
  <c r="BH21" i="13"/>
  <c r="BH19" i="13"/>
  <c r="BH17" i="13"/>
  <c r="BH15" i="13"/>
  <c r="BH13" i="13"/>
  <c r="BH11" i="13"/>
  <c r="BH9" i="13"/>
  <c r="BH7" i="13"/>
  <c r="BH5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2" i="13"/>
  <c r="BG31" i="13"/>
  <c r="BG29" i="13"/>
  <c r="BG27" i="13"/>
  <c r="BG25" i="13"/>
  <c r="BG23" i="13"/>
  <c r="BG21" i="13"/>
  <c r="BG19" i="13"/>
  <c r="BG17" i="13"/>
  <c r="BG15" i="13"/>
  <c r="BG13" i="13"/>
  <c r="BG11" i="13"/>
  <c r="BG9" i="13"/>
  <c r="BG7" i="13"/>
  <c r="BG5" i="13"/>
  <c r="P35" i="16"/>
  <c r="O28" i="16"/>
  <c r="O26" i="16"/>
  <c r="O24" i="16"/>
  <c r="O22" i="16"/>
  <c r="O18" i="16"/>
  <c r="O10" i="16"/>
  <c r="O4" i="16"/>
  <c r="R4" i="3"/>
  <c r="Q4" i="3"/>
  <c r="P4" i="3"/>
  <c r="L30" i="30"/>
  <c r="L22" i="30"/>
  <c r="L14" i="30"/>
  <c r="L6" i="30"/>
  <c r="AE10" i="30" s="1"/>
  <c r="AC36" i="30" l="1"/>
  <c r="AC34" i="30"/>
  <c r="AC32" i="30"/>
  <c r="AC30" i="30"/>
  <c r="AC28" i="30"/>
  <c r="AC26" i="30"/>
  <c r="AC24" i="30"/>
  <c r="AC22" i="30"/>
  <c r="AC20" i="30"/>
  <c r="AC18" i="30"/>
  <c r="AC16" i="30"/>
  <c r="AC14" i="30"/>
  <c r="AC12" i="30"/>
  <c r="AC10" i="30"/>
  <c r="AC8" i="30"/>
  <c r="AC6" i="30"/>
  <c r="G2" i="1"/>
  <c r="A10" i="30" l="1"/>
  <c r="P2" i="16" s="1"/>
  <c r="A18" i="30"/>
  <c r="P10" i="16" s="1"/>
  <c r="A34" i="30"/>
  <c r="P26" i="16" s="1"/>
  <c r="A26" i="30"/>
  <c r="P18" i="16" s="1"/>
  <c r="AY11" i="30"/>
  <c r="AX11" i="30"/>
  <c r="AW11" i="30"/>
  <c r="AX9" i="30"/>
  <c r="AW9" i="30"/>
  <c r="AW7" i="30"/>
  <c r="AR1" i="30"/>
  <c r="AQ1" i="30"/>
  <c r="AP1" i="30"/>
  <c r="AO1" i="30"/>
  <c r="AN1" i="30"/>
  <c r="AB36" i="30"/>
  <c r="AB34" i="30"/>
  <c r="AB32" i="30"/>
  <c r="AB30" i="30"/>
  <c r="AB28" i="30"/>
  <c r="AB26" i="30"/>
  <c r="AB24" i="30"/>
  <c r="AB22" i="30"/>
  <c r="AB20" i="30"/>
  <c r="AB18" i="30"/>
  <c r="AB16" i="30"/>
  <c r="AB14" i="30"/>
  <c r="AB12" i="30"/>
  <c r="AB10" i="30"/>
  <c r="AB8" i="30"/>
  <c r="AB6" i="30"/>
  <c r="AE20" i="30" l="1"/>
  <c r="AE34" i="30"/>
  <c r="AE22" i="30"/>
  <c r="AE8" i="30"/>
  <c r="J36" i="21"/>
  <c r="I36" i="21"/>
  <c r="H36" i="21"/>
  <c r="G36" i="21"/>
  <c r="F36" i="21"/>
  <c r="E36" i="21"/>
  <c r="D36" i="21"/>
  <c r="C36" i="21"/>
  <c r="B36" i="21"/>
  <c r="J34" i="21"/>
  <c r="I34" i="21"/>
  <c r="H34" i="21"/>
  <c r="G34" i="21"/>
  <c r="F34" i="21"/>
  <c r="E34" i="21"/>
  <c r="D34" i="21"/>
  <c r="C34" i="21"/>
  <c r="B34" i="21"/>
  <c r="J32" i="21"/>
  <c r="I32" i="21"/>
  <c r="H32" i="21"/>
  <c r="G32" i="21"/>
  <c r="F32" i="21"/>
  <c r="E32" i="21"/>
  <c r="D32" i="21"/>
  <c r="C32" i="21"/>
  <c r="B32" i="21"/>
  <c r="J30" i="21"/>
  <c r="I30" i="21"/>
  <c r="H30" i="21"/>
  <c r="G30" i="21"/>
  <c r="F30" i="21"/>
  <c r="E30" i="21"/>
  <c r="D30" i="21"/>
  <c r="C30" i="21"/>
  <c r="B30" i="21"/>
  <c r="J28" i="21"/>
  <c r="I28" i="21"/>
  <c r="H28" i="21"/>
  <c r="G28" i="21"/>
  <c r="F28" i="21"/>
  <c r="E28" i="21"/>
  <c r="D28" i="21"/>
  <c r="C28" i="21"/>
  <c r="B28" i="21"/>
  <c r="J26" i="21"/>
  <c r="I26" i="21"/>
  <c r="H26" i="21"/>
  <c r="G26" i="21"/>
  <c r="F26" i="21"/>
  <c r="E26" i="21"/>
  <c r="D26" i="21"/>
  <c r="C26" i="21"/>
  <c r="B26" i="21"/>
  <c r="J24" i="21"/>
  <c r="I24" i="21"/>
  <c r="H24" i="21"/>
  <c r="G24" i="21"/>
  <c r="F24" i="21"/>
  <c r="E24" i="21"/>
  <c r="D24" i="21"/>
  <c r="C24" i="21"/>
  <c r="B24" i="21"/>
  <c r="J22" i="21"/>
  <c r="I22" i="21"/>
  <c r="H22" i="21"/>
  <c r="G22" i="21"/>
  <c r="F22" i="21"/>
  <c r="E22" i="21"/>
  <c r="D22" i="21"/>
  <c r="C22" i="21"/>
  <c r="B22" i="21"/>
  <c r="J20" i="21"/>
  <c r="I20" i="21"/>
  <c r="H20" i="21"/>
  <c r="G20" i="21"/>
  <c r="F20" i="21"/>
  <c r="E20" i="21"/>
  <c r="D20" i="21"/>
  <c r="C20" i="21"/>
  <c r="B20" i="21"/>
  <c r="J18" i="21"/>
  <c r="I18" i="21"/>
  <c r="H18" i="21"/>
  <c r="G18" i="21"/>
  <c r="F18" i="21"/>
  <c r="E18" i="21"/>
  <c r="D18" i="21"/>
  <c r="C18" i="21"/>
  <c r="B18" i="21"/>
  <c r="J16" i="21"/>
  <c r="I16" i="21"/>
  <c r="H16" i="21"/>
  <c r="G16" i="21"/>
  <c r="F16" i="21"/>
  <c r="E16" i="21"/>
  <c r="D16" i="21"/>
  <c r="C16" i="21"/>
  <c r="B16" i="21"/>
  <c r="J14" i="21"/>
  <c r="I14" i="21"/>
  <c r="H14" i="21"/>
  <c r="G14" i="21"/>
  <c r="F14" i="21"/>
  <c r="E14" i="21"/>
  <c r="D14" i="21"/>
  <c r="C14" i="21"/>
  <c r="B14" i="21"/>
  <c r="J12" i="21"/>
  <c r="I12" i="21"/>
  <c r="H12" i="21"/>
  <c r="G12" i="21"/>
  <c r="F12" i="21"/>
  <c r="E12" i="21"/>
  <c r="D12" i="21"/>
  <c r="C12" i="21"/>
  <c r="B12" i="21"/>
  <c r="J10" i="21"/>
  <c r="I10" i="21"/>
  <c r="H10" i="21"/>
  <c r="G10" i="21"/>
  <c r="F10" i="21"/>
  <c r="E10" i="21"/>
  <c r="D10" i="21"/>
  <c r="C10" i="21"/>
  <c r="B10" i="21"/>
  <c r="J8" i="21"/>
  <c r="I8" i="21"/>
  <c r="H8" i="21"/>
  <c r="G8" i="21"/>
  <c r="F8" i="21"/>
  <c r="E8" i="21"/>
  <c r="D8" i="21"/>
  <c r="C8" i="21"/>
  <c r="B8" i="21"/>
  <c r="C6" i="21"/>
  <c r="D6" i="21"/>
  <c r="E6" i="21"/>
  <c r="F6" i="21"/>
  <c r="G6" i="21"/>
  <c r="H6" i="21"/>
  <c r="I6" i="21"/>
  <c r="J6" i="21"/>
  <c r="B6" i="21"/>
  <c r="L46" i="17"/>
  <c r="E49" i="1" l="1"/>
  <c r="D49" i="1" l="1"/>
  <c r="C49" i="1"/>
  <c r="E48" i="1"/>
  <c r="D48" i="1"/>
  <c r="C48" i="1"/>
  <c r="E47" i="1"/>
  <c r="D47" i="1"/>
  <c r="C47" i="1"/>
  <c r="E46" i="1"/>
  <c r="D46" i="1"/>
  <c r="E45" i="1"/>
  <c r="D45" i="1"/>
  <c r="C46" i="1"/>
  <c r="C45" i="1"/>
  <c r="F36" i="16" l="1"/>
  <c r="K30" i="1" l="1"/>
  <c r="K28" i="1"/>
  <c r="K26" i="1"/>
  <c r="K24" i="1"/>
  <c r="K22" i="1"/>
  <c r="K20" i="1"/>
  <c r="J11" i="1" l="1"/>
  <c r="F2" i="18" l="1"/>
  <c r="H2" i="18" s="1"/>
  <c r="E53" i="18" l="1"/>
  <c r="E41" i="18"/>
  <c r="G71" i="18"/>
  <c r="E71" i="18"/>
  <c r="D71" i="18"/>
  <c r="C71" i="18"/>
  <c r="G69" i="18"/>
  <c r="E69" i="18"/>
  <c r="D69" i="18"/>
  <c r="C69" i="18"/>
  <c r="A35" i="18"/>
  <c r="I19" i="29" s="1"/>
  <c r="A33" i="18"/>
  <c r="AU33" i="18" s="1"/>
  <c r="AN54" i="13"/>
  <c r="AN55" i="13"/>
  <c r="AM54" i="13"/>
  <c r="AM55" i="13"/>
  <c r="AL54" i="13"/>
  <c r="AL55" i="13"/>
  <c r="AK54" i="13"/>
  <c r="AK55" i="13"/>
  <c r="AJ54" i="13"/>
  <c r="AJ55" i="13"/>
  <c r="AI54" i="13"/>
  <c r="AI55" i="13"/>
  <c r="AH54" i="13"/>
  <c r="AH55" i="13"/>
  <c r="AG54" i="13"/>
  <c r="AG55" i="13"/>
  <c r="AF54" i="13"/>
  <c r="AF55" i="13"/>
  <c r="AE54" i="13"/>
  <c r="AE55" i="13"/>
  <c r="AD32" i="13"/>
  <c r="AD30" i="13"/>
  <c r="BD32" i="13"/>
  <c r="A32" i="13"/>
  <c r="A71" i="18" s="1"/>
  <c r="BD30" i="13"/>
  <c r="A30" i="13"/>
  <c r="A52" i="13" s="1"/>
  <c r="N37" i="11"/>
  <c r="N35" i="11"/>
  <c r="N33" i="11"/>
  <c r="N31" i="11"/>
  <c r="J138" i="21"/>
  <c r="D138" i="21"/>
  <c r="E138" i="21"/>
  <c r="F138" i="21"/>
  <c r="G138" i="21"/>
  <c r="H138" i="21"/>
  <c r="I138" i="21"/>
  <c r="C138" i="21"/>
  <c r="B138" i="21"/>
  <c r="J132" i="21"/>
  <c r="D132" i="21"/>
  <c r="E132" i="21"/>
  <c r="F132" i="21"/>
  <c r="G132" i="21"/>
  <c r="H132" i="21"/>
  <c r="I132" i="21"/>
  <c r="C132" i="21"/>
  <c r="B132" i="21"/>
  <c r="J125" i="21"/>
  <c r="D125" i="21"/>
  <c r="E125" i="21"/>
  <c r="F125" i="21"/>
  <c r="G125" i="21"/>
  <c r="H125" i="21"/>
  <c r="I125" i="21"/>
  <c r="C125" i="21"/>
  <c r="B125" i="21"/>
  <c r="J112" i="21"/>
  <c r="D112" i="21"/>
  <c r="E112" i="21"/>
  <c r="F112" i="21"/>
  <c r="G112" i="21"/>
  <c r="H112" i="21"/>
  <c r="I112" i="21"/>
  <c r="C112" i="21"/>
  <c r="B112" i="21"/>
  <c r="J99" i="21"/>
  <c r="D99" i="21"/>
  <c r="E99" i="21"/>
  <c r="F99" i="21"/>
  <c r="G99" i="21"/>
  <c r="H99" i="21"/>
  <c r="I99" i="21"/>
  <c r="C99" i="21"/>
  <c r="B99" i="21"/>
  <c r="J93" i="21"/>
  <c r="D93" i="21"/>
  <c r="E93" i="21"/>
  <c r="F93" i="21"/>
  <c r="G93" i="21"/>
  <c r="H93" i="21"/>
  <c r="I93" i="21"/>
  <c r="C93" i="21"/>
  <c r="B93" i="21"/>
  <c r="J73" i="21"/>
  <c r="D73" i="21"/>
  <c r="E73" i="21"/>
  <c r="F73" i="21"/>
  <c r="G73" i="21"/>
  <c r="H73" i="21"/>
  <c r="I73" i="21"/>
  <c r="C73" i="21"/>
  <c r="B73" i="21"/>
  <c r="J138" i="7"/>
  <c r="J138" i="9"/>
  <c r="J138" i="20"/>
  <c r="J138" i="4"/>
  <c r="D138" i="7"/>
  <c r="E138" i="7"/>
  <c r="F138" i="7"/>
  <c r="G138" i="7"/>
  <c r="H138" i="7"/>
  <c r="I138" i="7"/>
  <c r="D138" i="9"/>
  <c r="E138" i="9"/>
  <c r="F138" i="9"/>
  <c r="G138" i="9"/>
  <c r="H138" i="9"/>
  <c r="I138" i="9"/>
  <c r="D138" i="20"/>
  <c r="E138" i="20"/>
  <c r="F138" i="20"/>
  <c r="G138" i="20"/>
  <c r="H138" i="20"/>
  <c r="I138" i="20"/>
  <c r="D138" i="4"/>
  <c r="E138" i="4"/>
  <c r="F138" i="4"/>
  <c r="G138" i="4"/>
  <c r="H138" i="4"/>
  <c r="I138" i="4"/>
  <c r="C138" i="7"/>
  <c r="C138" i="9"/>
  <c r="C138" i="20"/>
  <c r="C138" i="4"/>
  <c r="B138" i="7"/>
  <c r="B138" i="9"/>
  <c r="B138" i="20"/>
  <c r="B138" i="4"/>
  <c r="J132" i="7"/>
  <c r="J132" i="9"/>
  <c r="J132" i="20"/>
  <c r="J132" i="4"/>
  <c r="D132" i="7"/>
  <c r="E132" i="7"/>
  <c r="F132" i="7"/>
  <c r="G132" i="7"/>
  <c r="H132" i="7"/>
  <c r="I132" i="7"/>
  <c r="D132" i="9"/>
  <c r="E132" i="9"/>
  <c r="F132" i="9"/>
  <c r="G132" i="9"/>
  <c r="H132" i="9"/>
  <c r="I132" i="9"/>
  <c r="D132" i="20"/>
  <c r="E132" i="20"/>
  <c r="F132" i="20"/>
  <c r="G132" i="20"/>
  <c r="H132" i="20"/>
  <c r="I132" i="20"/>
  <c r="D132" i="4"/>
  <c r="E132" i="4"/>
  <c r="F132" i="4"/>
  <c r="G132" i="4"/>
  <c r="H132" i="4"/>
  <c r="I132" i="4"/>
  <c r="C132" i="7"/>
  <c r="C132" i="9"/>
  <c r="C132" i="20"/>
  <c r="C132" i="4"/>
  <c r="B132" i="7"/>
  <c r="B132" i="9"/>
  <c r="B132" i="20"/>
  <c r="B132" i="4"/>
  <c r="J125" i="7"/>
  <c r="J125" i="9"/>
  <c r="J125" i="20"/>
  <c r="J125" i="4"/>
  <c r="D125" i="7"/>
  <c r="E125" i="7"/>
  <c r="F125" i="7"/>
  <c r="G125" i="7"/>
  <c r="H125" i="7"/>
  <c r="I125" i="7"/>
  <c r="D125" i="9"/>
  <c r="E125" i="9"/>
  <c r="F125" i="9"/>
  <c r="G125" i="9"/>
  <c r="H125" i="9"/>
  <c r="I125" i="9"/>
  <c r="D125" i="20"/>
  <c r="E125" i="20"/>
  <c r="F125" i="20"/>
  <c r="G125" i="20"/>
  <c r="H125" i="20"/>
  <c r="I125" i="20"/>
  <c r="D125" i="4"/>
  <c r="E125" i="4"/>
  <c r="F125" i="4"/>
  <c r="G125" i="4"/>
  <c r="H125" i="4"/>
  <c r="I125" i="4"/>
  <c r="C125" i="7"/>
  <c r="C125" i="9"/>
  <c r="C125" i="20"/>
  <c r="C125" i="4"/>
  <c r="B125" i="7"/>
  <c r="B125" i="9"/>
  <c r="B125" i="20"/>
  <c r="B125" i="4"/>
  <c r="J106" i="7"/>
  <c r="J106" i="9"/>
  <c r="J106" i="20"/>
  <c r="J106" i="4"/>
  <c r="D106" i="7"/>
  <c r="E106" i="7"/>
  <c r="F106" i="7"/>
  <c r="G106" i="7"/>
  <c r="H106" i="7"/>
  <c r="I106" i="7"/>
  <c r="D106" i="9"/>
  <c r="E106" i="9"/>
  <c r="F106" i="9"/>
  <c r="G106" i="9"/>
  <c r="H106" i="9"/>
  <c r="I106" i="9"/>
  <c r="D106" i="20"/>
  <c r="E106" i="20"/>
  <c r="F106" i="20"/>
  <c r="G106" i="20"/>
  <c r="H106" i="20"/>
  <c r="I106" i="20"/>
  <c r="D106" i="4"/>
  <c r="E106" i="4"/>
  <c r="F106" i="4"/>
  <c r="G106" i="4"/>
  <c r="H106" i="4"/>
  <c r="I106" i="4"/>
  <c r="C106" i="7"/>
  <c r="C106" i="9"/>
  <c r="C106" i="20"/>
  <c r="C106" i="4"/>
  <c r="B106" i="7"/>
  <c r="B106" i="9"/>
  <c r="B106" i="20"/>
  <c r="B106" i="4"/>
  <c r="J99" i="7"/>
  <c r="J99" i="9"/>
  <c r="J99" i="20"/>
  <c r="J99" i="4"/>
  <c r="D99" i="7"/>
  <c r="E99" i="7"/>
  <c r="F99" i="7"/>
  <c r="G99" i="7"/>
  <c r="H99" i="7"/>
  <c r="I99" i="7"/>
  <c r="D99" i="9"/>
  <c r="E99" i="9"/>
  <c r="F99" i="9"/>
  <c r="G99" i="9"/>
  <c r="H99" i="9"/>
  <c r="I99" i="9"/>
  <c r="D99" i="20"/>
  <c r="E99" i="20"/>
  <c r="F99" i="20"/>
  <c r="G99" i="20"/>
  <c r="H99" i="20"/>
  <c r="I99" i="20"/>
  <c r="D99" i="4"/>
  <c r="E99" i="4"/>
  <c r="F99" i="4"/>
  <c r="G99" i="4"/>
  <c r="H99" i="4"/>
  <c r="I99" i="4"/>
  <c r="C99" i="7"/>
  <c r="C99" i="9"/>
  <c r="C99" i="20"/>
  <c r="C99" i="4"/>
  <c r="B99" i="7"/>
  <c r="B99" i="9"/>
  <c r="B99" i="20"/>
  <c r="B99" i="4"/>
  <c r="J86" i="7"/>
  <c r="J86" i="9"/>
  <c r="J86" i="20"/>
  <c r="J86" i="4"/>
  <c r="D86" i="7"/>
  <c r="E86" i="7"/>
  <c r="F86" i="7"/>
  <c r="G86" i="7"/>
  <c r="H86" i="7"/>
  <c r="I86" i="7"/>
  <c r="D86" i="9"/>
  <c r="E86" i="9"/>
  <c r="F86" i="9"/>
  <c r="G86" i="9"/>
  <c r="H86" i="9"/>
  <c r="I86" i="9"/>
  <c r="D86" i="20"/>
  <c r="E86" i="20"/>
  <c r="F86" i="20"/>
  <c r="G86" i="20"/>
  <c r="H86" i="20"/>
  <c r="I86" i="20"/>
  <c r="D86" i="4"/>
  <c r="E86" i="4"/>
  <c r="F86" i="4"/>
  <c r="G86" i="4"/>
  <c r="H86" i="4"/>
  <c r="I86" i="4"/>
  <c r="C86" i="7"/>
  <c r="C86" i="9"/>
  <c r="C86" i="20"/>
  <c r="C86" i="4"/>
  <c r="B86" i="7"/>
  <c r="B86" i="9"/>
  <c r="B86" i="20"/>
  <c r="B86" i="4"/>
  <c r="J36" i="15"/>
  <c r="J125" i="15" s="1"/>
  <c r="I36" i="15"/>
  <c r="I125" i="15" s="1"/>
  <c r="H36" i="15"/>
  <c r="H125" i="15" s="1"/>
  <c r="G36" i="15"/>
  <c r="G125" i="15" s="1"/>
  <c r="F36" i="15"/>
  <c r="F125" i="15" s="1"/>
  <c r="E36" i="15"/>
  <c r="E125" i="15" s="1"/>
  <c r="D36" i="15"/>
  <c r="D125" i="15" s="1"/>
  <c r="C36" i="15"/>
  <c r="C125" i="15" s="1"/>
  <c r="B36" i="15"/>
  <c r="B125" i="15" s="1"/>
  <c r="J34" i="15"/>
  <c r="J138" i="15" s="1"/>
  <c r="I34" i="15"/>
  <c r="I138" i="15" s="1"/>
  <c r="H34" i="15"/>
  <c r="H138" i="15" s="1"/>
  <c r="G34" i="15"/>
  <c r="G138" i="15" s="1"/>
  <c r="F34" i="15"/>
  <c r="F138" i="15" s="1"/>
  <c r="E34" i="15"/>
  <c r="E138" i="15" s="1"/>
  <c r="D34" i="15"/>
  <c r="D138" i="15" s="1"/>
  <c r="C34" i="15"/>
  <c r="C138" i="15" s="1"/>
  <c r="B34" i="15"/>
  <c r="B138" i="15" s="1"/>
  <c r="J36" i="10"/>
  <c r="J125" i="10" s="1"/>
  <c r="I36" i="10"/>
  <c r="I125" i="10" s="1"/>
  <c r="H36" i="10"/>
  <c r="H125" i="10" s="1"/>
  <c r="G36" i="10"/>
  <c r="G125" i="10" s="1"/>
  <c r="F36" i="10"/>
  <c r="F125" i="10" s="1"/>
  <c r="E36" i="10"/>
  <c r="E125" i="10" s="1"/>
  <c r="D36" i="10"/>
  <c r="D125" i="10" s="1"/>
  <c r="C36" i="10"/>
  <c r="C125" i="10" s="1"/>
  <c r="B36" i="10"/>
  <c r="J34" i="10"/>
  <c r="J138" i="10" s="1"/>
  <c r="I34" i="10"/>
  <c r="I138" i="10" s="1"/>
  <c r="H34" i="10"/>
  <c r="H138" i="10" s="1"/>
  <c r="G34" i="10"/>
  <c r="G138" i="10" s="1"/>
  <c r="F34" i="10"/>
  <c r="F138" i="10" s="1"/>
  <c r="E34" i="10"/>
  <c r="E138" i="10" s="1"/>
  <c r="D34" i="10"/>
  <c r="D138" i="10" s="1"/>
  <c r="C34" i="10"/>
  <c r="B34" i="10"/>
  <c r="B138" i="10" s="1"/>
  <c r="K36" i="21"/>
  <c r="N30" i="21" s="1"/>
  <c r="K34" i="21"/>
  <c r="N18" i="21" s="1"/>
  <c r="J36" i="14"/>
  <c r="J125" i="14" s="1"/>
  <c r="I36" i="14"/>
  <c r="I125" i="14" s="1"/>
  <c r="H36" i="14"/>
  <c r="H125" i="14" s="1"/>
  <c r="G36" i="14"/>
  <c r="G125" i="14" s="1"/>
  <c r="F36" i="14"/>
  <c r="F125" i="14" s="1"/>
  <c r="E36" i="14"/>
  <c r="E125" i="14" s="1"/>
  <c r="D36" i="14"/>
  <c r="D125" i="14" s="1"/>
  <c r="C36" i="14"/>
  <c r="C125" i="14" s="1"/>
  <c r="B36" i="14"/>
  <c r="B125" i="14" s="1"/>
  <c r="J34" i="14"/>
  <c r="J138" i="14" s="1"/>
  <c r="I34" i="14"/>
  <c r="I138" i="14" s="1"/>
  <c r="H34" i="14"/>
  <c r="H138" i="14" s="1"/>
  <c r="G34" i="14"/>
  <c r="G138" i="14" s="1"/>
  <c r="F34" i="14"/>
  <c r="F138" i="14" s="1"/>
  <c r="E34" i="14"/>
  <c r="E138" i="14" s="1"/>
  <c r="D34" i="14"/>
  <c r="D138" i="14" s="1"/>
  <c r="C34" i="14"/>
  <c r="C138" i="14" s="1"/>
  <c r="B34" i="14"/>
  <c r="B138" i="14" s="1"/>
  <c r="K36" i="4"/>
  <c r="N36" i="4" s="1"/>
  <c r="K34" i="4"/>
  <c r="N34" i="4" s="1"/>
  <c r="K36" i="6"/>
  <c r="N20" i="6" s="1"/>
  <c r="K34" i="6"/>
  <c r="N28" i="6" s="1"/>
  <c r="K36" i="7"/>
  <c r="N20" i="7" s="1"/>
  <c r="K34" i="7"/>
  <c r="N28" i="7" s="1"/>
  <c r="K36" i="8"/>
  <c r="N28" i="8" s="1"/>
  <c r="K34" i="8"/>
  <c r="N16" i="8" s="1"/>
  <c r="K36" i="9"/>
  <c r="N28" i="9" s="1"/>
  <c r="K34" i="9"/>
  <c r="N16" i="9" s="1"/>
  <c r="K36" i="19"/>
  <c r="N30" i="19" s="1"/>
  <c r="K34" i="19"/>
  <c r="N18" i="19" s="1"/>
  <c r="K36" i="20"/>
  <c r="N30" i="20" s="1"/>
  <c r="K34" i="20"/>
  <c r="N18" i="20" s="1"/>
  <c r="K36" i="11"/>
  <c r="N36" i="11" s="1"/>
  <c r="K34" i="11"/>
  <c r="N34" i="11" s="1"/>
  <c r="K36" i="12"/>
  <c r="N36" i="12" s="1"/>
  <c r="K34" i="12"/>
  <c r="N34" i="12" s="1"/>
  <c r="K36" i="3"/>
  <c r="N36" i="3" s="1"/>
  <c r="K34" i="3"/>
  <c r="N34" i="3" s="1"/>
  <c r="J138" i="6"/>
  <c r="J138" i="8"/>
  <c r="J138" i="19"/>
  <c r="J138" i="3"/>
  <c r="D138" i="6"/>
  <c r="E138" i="6"/>
  <c r="F138" i="6"/>
  <c r="G138" i="6"/>
  <c r="H138" i="6"/>
  <c r="I138" i="6"/>
  <c r="D138" i="8"/>
  <c r="E138" i="8"/>
  <c r="F138" i="8"/>
  <c r="G138" i="8"/>
  <c r="H138" i="8"/>
  <c r="I138" i="8"/>
  <c r="D138" i="19"/>
  <c r="E138" i="19"/>
  <c r="F138" i="19"/>
  <c r="G138" i="19"/>
  <c r="H138" i="19"/>
  <c r="I138" i="19"/>
  <c r="D138" i="3"/>
  <c r="E138" i="3"/>
  <c r="F138" i="3"/>
  <c r="G138" i="3"/>
  <c r="H138" i="3"/>
  <c r="I138" i="3"/>
  <c r="C138" i="6"/>
  <c r="C138" i="8"/>
  <c r="C138" i="19"/>
  <c r="C138" i="3"/>
  <c r="B138" i="6"/>
  <c r="B138" i="8"/>
  <c r="B138" i="19"/>
  <c r="B138" i="3"/>
  <c r="J132" i="6"/>
  <c r="J132" i="8"/>
  <c r="J132" i="19"/>
  <c r="J132" i="3"/>
  <c r="D132" i="6"/>
  <c r="E132" i="6"/>
  <c r="F132" i="6"/>
  <c r="G132" i="6"/>
  <c r="H132" i="6"/>
  <c r="I132" i="6"/>
  <c r="D132" i="8"/>
  <c r="E132" i="8"/>
  <c r="F132" i="8"/>
  <c r="G132" i="8"/>
  <c r="H132" i="8"/>
  <c r="I132" i="8"/>
  <c r="D132" i="19"/>
  <c r="E132" i="19"/>
  <c r="F132" i="19"/>
  <c r="G132" i="19"/>
  <c r="H132" i="19"/>
  <c r="I132" i="19"/>
  <c r="D132" i="3"/>
  <c r="E132" i="3"/>
  <c r="F132" i="3"/>
  <c r="G132" i="3"/>
  <c r="H132" i="3"/>
  <c r="I132" i="3"/>
  <c r="C132" i="6"/>
  <c r="C132" i="8"/>
  <c r="C132" i="19"/>
  <c r="C132" i="3"/>
  <c r="B132" i="6"/>
  <c r="B132" i="8"/>
  <c r="B132" i="19"/>
  <c r="B132" i="3"/>
  <c r="AE28" i="30" l="1"/>
  <c r="AE14" i="30"/>
  <c r="AE32" i="30"/>
  <c r="F30" i="28"/>
  <c r="K132" i="7"/>
  <c r="K53" i="13"/>
  <c r="B30" i="28"/>
  <c r="K132" i="4"/>
  <c r="K138" i="14"/>
  <c r="K132" i="9"/>
  <c r="K52" i="13"/>
  <c r="K36" i="14"/>
  <c r="N36" i="14" s="1"/>
  <c r="B32" i="28"/>
  <c r="C53" i="13"/>
  <c r="G44" i="13"/>
  <c r="K34" i="15"/>
  <c r="N28" i="15" s="1"/>
  <c r="K138" i="7"/>
  <c r="G50" i="13"/>
  <c r="E26" i="28"/>
  <c r="K34" i="10"/>
  <c r="N16" i="10" s="1"/>
  <c r="C138" i="10"/>
  <c r="K138" i="10" s="1"/>
  <c r="K36" i="10"/>
  <c r="N28" i="10" s="1"/>
  <c r="B125" i="10"/>
  <c r="K36" i="15"/>
  <c r="N20" i="15" s="1"/>
  <c r="C52" i="13"/>
  <c r="F32" i="28"/>
  <c r="K34" i="14"/>
  <c r="N34" i="14" s="1"/>
  <c r="K132" i="21"/>
  <c r="K138" i="21"/>
  <c r="A53" i="13"/>
  <c r="A69" i="18"/>
  <c r="I18" i="29"/>
  <c r="AU35" i="18"/>
  <c r="K138" i="15"/>
  <c r="K138" i="20"/>
  <c r="K132" i="20"/>
  <c r="K138" i="4"/>
  <c r="K138" i="9"/>
  <c r="K132" i="6"/>
  <c r="K132" i="19"/>
  <c r="K132" i="3"/>
  <c r="K138" i="6"/>
  <c r="K138" i="3"/>
  <c r="K138" i="8"/>
  <c r="K132" i="8"/>
  <c r="K138" i="19"/>
  <c r="V34" i="11" l="1"/>
  <c r="W34" i="11"/>
  <c r="X34" i="11"/>
  <c r="Y34" i="11"/>
  <c r="Z34" i="11"/>
  <c r="V36" i="11"/>
  <c r="W36" i="11"/>
  <c r="X36" i="11"/>
  <c r="Y36" i="11"/>
  <c r="Z36" i="11"/>
  <c r="J45" i="1"/>
  <c r="J44" i="1"/>
  <c r="J43" i="1"/>
  <c r="J41" i="1"/>
  <c r="J39" i="1"/>
  <c r="J37" i="1"/>
  <c r="J35" i="1"/>
  <c r="J33" i="1"/>
  <c r="J31" i="1"/>
  <c r="J29" i="1"/>
  <c r="J27" i="1"/>
  <c r="J25" i="1"/>
  <c r="J23" i="1"/>
  <c r="J21" i="1"/>
  <c r="J19" i="1"/>
  <c r="J17" i="1"/>
  <c r="AA34" i="11" l="1"/>
  <c r="AA36" i="11"/>
  <c r="C31" i="1"/>
  <c r="C33" i="1"/>
  <c r="D29" i="1" l="1"/>
  <c r="G33" i="1"/>
  <c r="B36" i="30" s="1"/>
  <c r="O32" i="16" s="1"/>
  <c r="F21" i="1"/>
  <c r="E9" i="1"/>
  <c r="E29" i="1"/>
  <c r="G23" i="1"/>
  <c r="B26" i="30" s="1"/>
  <c r="D23" i="1"/>
  <c r="A36" i="14"/>
  <c r="A36" i="11"/>
  <c r="M36" i="11" s="1"/>
  <c r="A36" i="3"/>
  <c r="A36" i="4"/>
  <c r="C93" i="1"/>
  <c r="A36" i="12"/>
  <c r="M36" i="12" s="1"/>
  <c r="A34" i="11"/>
  <c r="M34" i="11" s="1"/>
  <c r="A34" i="3"/>
  <c r="C91" i="1"/>
  <c r="A34" i="4"/>
  <c r="A34" i="12"/>
  <c r="M34" i="12" s="1"/>
  <c r="A34" i="14"/>
  <c r="F7" i="1"/>
  <c r="Z32" i="11"/>
  <c r="Y32" i="11"/>
  <c r="X32" i="11"/>
  <c r="W32" i="11"/>
  <c r="V32" i="11"/>
  <c r="Z30" i="11"/>
  <c r="Y30" i="11"/>
  <c r="X30" i="11"/>
  <c r="W30" i="11"/>
  <c r="V30" i="11"/>
  <c r="AE16" i="30" l="1"/>
  <c r="AE12" i="30"/>
  <c r="AE30" i="30"/>
  <c r="AE26" i="30"/>
  <c r="A138" i="3"/>
  <c r="M36" i="3"/>
  <c r="A32" i="28" s="1"/>
  <c r="A125" i="4"/>
  <c r="M34" i="4"/>
  <c r="A138" i="14"/>
  <c r="M34" i="14"/>
  <c r="D93" i="1"/>
  <c r="E87" i="1"/>
  <c r="F89" i="1"/>
  <c r="A125" i="14"/>
  <c r="M36" i="14"/>
  <c r="A138" i="4"/>
  <c r="M36" i="4"/>
  <c r="A132" i="3"/>
  <c r="M34" i="3"/>
  <c r="A30" i="28" s="1"/>
  <c r="F87" i="1"/>
  <c r="D91" i="1"/>
  <c r="E89" i="1"/>
  <c r="C36" i="16"/>
  <c r="M20" i="1"/>
  <c r="M22" i="1"/>
  <c r="M24" i="1"/>
  <c r="M26" i="1"/>
  <c r="M28" i="1"/>
  <c r="M30" i="1"/>
  <c r="E30" i="16" l="1"/>
  <c r="E32" i="16"/>
  <c r="D2" i="30" l="1"/>
  <c r="E2" i="30"/>
  <c r="F2" i="30"/>
  <c r="G2" i="30"/>
  <c r="H2" i="30"/>
  <c r="I2" i="30"/>
  <c r="J2" i="30"/>
  <c r="K2" i="30"/>
  <c r="D3" i="30"/>
  <c r="E3" i="30"/>
  <c r="F3" i="30"/>
  <c r="G3" i="30"/>
  <c r="H3" i="30"/>
  <c r="I3" i="30"/>
  <c r="J3" i="30"/>
  <c r="K3" i="30"/>
  <c r="D4" i="30"/>
  <c r="E4" i="30"/>
  <c r="F4" i="30"/>
  <c r="G4" i="30"/>
  <c r="H4" i="30"/>
  <c r="I4" i="30"/>
  <c r="J4" i="30"/>
  <c r="K4" i="30"/>
  <c r="C3" i="30"/>
  <c r="C4" i="30"/>
  <c r="C2" i="30"/>
  <c r="AE36" i="30" l="1"/>
  <c r="AE24" i="30"/>
  <c r="AE18" i="30"/>
  <c r="AE6" i="30"/>
  <c r="M22" i="30"/>
  <c r="M14" i="30"/>
  <c r="M30" i="30"/>
  <c r="M6" i="30"/>
  <c r="L3" i="30"/>
  <c r="AA32" i="11"/>
  <c r="AA30" i="11"/>
  <c r="A31" i="18"/>
  <c r="A29" i="18"/>
  <c r="A27" i="18"/>
  <c r="A25" i="18"/>
  <c r="A23" i="18"/>
  <c r="A21" i="18"/>
  <c r="A19" i="18"/>
  <c r="A17" i="18"/>
  <c r="A15" i="18"/>
  <c r="A13" i="18"/>
  <c r="A11" i="18"/>
  <c r="A9" i="18"/>
  <c r="A7" i="18"/>
  <c r="A5" i="18"/>
  <c r="A28" i="13"/>
  <c r="A26" i="13"/>
  <c r="A24" i="13"/>
  <c r="A22" i="13"/>
  <c r="A20" i="13"/>
  <c r="A18" i="13"/>
  <c r="A16" i="13"/>
  <c r="A14" i="13"/>
  <c r="A12" i="13"/>
  <c r="A10" i="13"/>
  <c r="A8" i="13"/>
  <c r="A6" i="13"/>
  <c r="A4" i="13"/>
  <c r="A2" i="13"/>
  <c r="M32" i="30" l="1"/>
  <c r="M34" i="30" s="1"/>
  <c r="M36" i="30" s="1"/>
  <c r="AF6" i="30"/>
  <c r="AF18" i="30"/>
  <c r="AF36" i="30"/>
  <c r="AF24" i="30"/>
  <c r="M16" i="30"/>
  <c r="M18" i="30" s="1"/>
  <c r="M20" i="30" s="1"/>
  <c r="AF30" i="30"/>
  <c r="AF26" i="30"/>
  <c r="AF12" i="30"/>
  <c r="AF16" i="30"/>
  <c r="AF10" i="30"/>
  <c r="AF28" i="30"/>
  <c r="AF14" i="30"/>
  <c r="AF32" i="30"/>
  <c r="M24" i="30"/>
  <c r="M26" i="30" s="1"/>
  <c r="M28" i="30" s="1"/>
  <c r="AF22" i="30"/>
  <c r="AF8" i="30"/>
  <c r="AF34" i="30"/>
  <c r="AF20" i="30"/>
  <c r="M8" i="30"/>
  <c r="M10" i="30" s="1"/>
  <c r="M12" i="30" s="1"/>
  <c r="L30" i="1"/>
  <c r="AO2" i="30" l="1"/>
  <c r="AP2" i="30"/>
  <c r="AU2" i="30"/>
  <c r="AX2" i="30"/>
  <c r="AX6" i="30" s="1"/>
  <c r="BC28" i="30" s="1"/>
  <c r="AY2" i="30"/>
  <c r="AQ2" i="30"/>
  <c r="AW2" i="30"/>
  <c r="AR2" i="30"/>
  <c r="AN2" i="30"/>
  <c r="AV2" i="30"/>
  <c r="C5" i="1"/>
  <c r="C7" i="1"/>
  <c r="C9" i="1"/>
  <c r="C11" i="1"/>
  <c r="C13" i="1"/>
  <c r="C15" i="1"/>
  <c r="E21" i="1" s="1"/>
  <c r="C17" i="1"/>
  <c r="C19" i="1"/>
  <c r="C21" i="1"/>
  <c r="C23" i="1"/>
  <c r="C25" i="1"/>
  <c r="C27" i="1"/>
  <c r="C29" i="1"/>
  <c r="C3" i="1"/>
  <c r="BC12" i="30" l="1"/>
  <c r="BC16" i="30"/>
  <c r="BC30" i="30"/>
  <c r="BC26" i="30"/>
  <c r="BC24" i="30"/>
  <c r="BC18" i="30"/>
  <c r="BC36" i="30"/>
  <c r="BC6" i="30"/>
  <c r="BC34" i="30"/>
  <c r="BC8" i="30"/>
  <c r="BC20" i="30"/>
  <c r="BC22" i="30"/>
  <c r="BC32" i="30"/>
  <c r="BC10" i="30"/>
  <c r="BC14" i="30"/>
  <c r="AU5" i="30"/>
  <c r="AU6" i="30"/>
  <c r="AW6" i="30"/>
  <c r="AW5" i="30"/>
  <c r="AV6" i="30"/>
  <c r="AV4" i="30"/>
  <c r="AV5" i="30"/>
  <c r="AU3" i="30"/>
  <c r="AU4" i="30"/>
  <c r="G3" i="1"/>
  <c r="B6" i="30" s="1"/>
  <c r="O2" i="16" s="1"/>
  <c r="E33" i="1"/>
  <c r="D31" i="1"/>
  <c r="F27" i="1"/>
  <c r="E25" i="1"/>
  <c r="D17" i="1"/>
  <c r="F15" i="1"/>
  <c r="G7" i="1"/>
  <c r="B10" i="30" s="1"/>
  <c r="O6" i="16" s="1"/>
  <c r="F19" i="1"/>
  <c r="E31" i="1"/>
  <c r="G17" i="1"/>
  <c r="B20" i="30" s="1"/>
  <c r="O16" i="16" s="1"/>
  <c r="G15" i="1"/>
  <c r="B18" i="30" s="1"/>
  <c r="O14" i="16" s="1"/>
  <c r="D9" i="1"/>
  <c r="F33" i="1"/>
  <c r="E5" i="1"/>
  <c r="D3" i="1"/>
  <c r="F5" i="1"/>
  <c r="G5" i="1" s="1"/>
  <c r="B8" i="30" s="1"/>
  <c r="G11" i="1"/>
  <c r="B14" i="30" s="1"/>
  <c r="D27" i="1"/>
  <c r="E19" i="1"/>
  <c r="E7" i="1"/>
  <c r="F13" i="1"/>
  <c r="G13" i="1" s="1"/>
  <c r="B16" i="30" s="1"/>
  <c r="O12" i="16" s="1"/>
  <c r="D21" i="1"/>
  <c r="E15" i="1"/>
  <c r="D19" i="1"/>
  <c r="G9" i="1"/>
  <c r="B12" i="30" s="1"/>
  <c r="O8" i="16" s="1"/>
  <c r="D11" i="1"/>
  <c r="G29" i="1"/>
  <c r="B32" i="30" s="1"/>
  <c r="E13" i="1"/>
  <c r="F3" i="1"/>
  <c r="E23" i="1"/>
  <c r="D7" i="1"/>
  <c r="F25" i="1"/>
  <c r="G25" i="1" s="1"/>
  <c r="B28" i="30" s="1"/>
  <c r="G21" i="1"/>
  <c r="B24" i="30" s="1"/>
  <c r="O20" i="16" s="1"/>
  <c r="E17" i="1"/>
  <c r="F29" i="1"/>
  <c r="G19" i="1"/>
  <c r="B22" i="30" s="1"/>
  <c r="D15" i="1"/>
  <c r="D5" i="1"/>
  <c r="G27" i="1"/>
  <c r="B30" i="30" s="1"/>
  <c r="F11" i="1"/>
  <c r="E27" i="1"/>
  <c r="F9" i="1"/>
  <c r="F31" i="1"/>
  <c r="E11" i="1"/>
  <c r="F17" i="1"/>
  <c r="D33" i="1"/>
  <c r="F23" i="1"/>
  <c r="D25" i="1"/>
  <c r="D13" i="1"/>
  <c r="E3" i="1"/>
  <c r="W1" i="16"/>
  <c r="BB32" i="30" l="1"/>
  <c r="BB14" i="30"/>
  <c r="BB28" i="30"/>
  <c r="BB10" i="30"/>
  <c r="BA10" i="30"/>
  <c r="BA32" i="30"/>
  <c r="BA14" i="30"/>
  <c r="BA28" i="30"/>
  <c r="BA22" i="30"/>
  <c r="BA20" i="30"/>
  <c r="BA34" i="30"/>
  <c r="BA8" i="30"/>
  <c r="AZ12" i="30"/>
  <c r="AZ26" i="30"/>
  <c r="AZ16" i="30"/>
  <c r="AZ30" i="30"/>
  <c r="BB6" i="30"/>
  <c r="BB24" i="30"/>
  <c r="BB18" i="30"/>
  <c r="BB36" i="30"/>
  <c r="BA36" i="30"/>
  <c r="BA24" i="30"/>
  <c r="BA6" i="30"/>
  <c r="BA18" i="30"/>
  <c r="AZ14" i="30"/>
  <c r="AG14" i="30" s="1"/>
  <c r="T10" i="13" s="1"/>
  <c r="BH10" i="13" s="1"/>
  <c r="AZ28" i="30"/>
  <c r="AG28" i="30" s="1"/>
  <c r="T24" i="13" s="1"/>
  <c r="BH24" i="13" s="1"/>
  <c r="AZ10" i="30"/>
  <c r="AZ32" i="30"/>
  <c r="BB20" i="30"/>
  <c r="BB22" i="30"/>
  <c r="BB34" i="30"/>
  <c r="BB8" i="30"/>
  <c r="BA26" i="30"/>
  <c r="BA16" i="30"/>
  <c r="BA12" i="30"/>
  <c r="BA30" i="30"/>
  <c r="BB16" i="30"/>
  <c r="BB12" i="30"/>
  <c r="BB26" i="30"/>
  <c r="BB30" i="30"/>
  <c r="AZ20" i="30"/>
  <c r="AZ18" i="30"/>
  <c r="AZ22" i="30"/>
  <c r="AZ24" i="30"/>
  <c r="AZ36" i="30"/>
  <c r="AZ8" i="30"/>
  <c r="AZ34" i="30"/>
  <c r="AZ6" i="30"/>
  <c r="A36" i="21"/>
  <c r="A36" i="19"/>
  <c r="J128" i="1"/>
  <c r="A36" i="20"/>
  <c r="A36" i="10"/>
  <c r="C128" i="1"/>
  <c r="A36" i="9"/>
  <c r="A36" i="8"/>
  <c r="AV9" i="30"/>
  <c r="AV11" i="30"/>
  <c r="AV7" i="30"/>
  <c r="W32" i="16"/>
  <c r="W30" i="16"/>
  <c r="G31" i="1"/>
  <c r="B34" i="30" s="1"/>
  <c r="O30" i="16" s="1"/>
  <c r="A34" i="21"/>
  <c r="A34" i="19"/>
  <c r="A34" i="20"/>
  <c r="J126" i="1"/>
  <c r="A36" i="7"/>
  <c r="J93" i="1"/>
  <c r="A36" i="6"/>
  <c r="A36" i="15"/>
  <c r="A34" i="9"/>
  <c r="M16" i="9" s="1"/>
  <c r="C126" i="1"/>
  <c r="A34" i="8"/>
  <c r="M16" i="8" s="1"/>
  <c r="A34" i="10"/>
  <c r="M16" i="10" s="1"/>
  <c r="A34" i="6"/>
  <c r="M28" i="6" s="1"/>
  <c r="A34" i="15"/>
  <c r="M28" i="15" s="1"/>
  <c r="A34" i="7"/>
  <c r="M28" i="7" s="1"/>
  <c r="J91" i="1"/>
  <c r="A6" i="6"/>
  <c r="M14" i="6" s="1"/>
  <c r="J63" i="1"/>
  <c r="W2" i="16"/>
  <c r="W20" i="16"/>
  <c r="W6" i="16"/>
  <c r="W22" i="16"/>
  <c r="W8" i="16"/>
  <c r="W24" i="16"/>
  <c r="W18" i="16"/>
  <c r="W4" i="16"/>
  <c r="W10" i="16"/>
  <c r="W26" i="16"/>
  <c r="W12" i="16"/>
  <c r="W28" i="16"/>
  <c r="W14" i="16"/>
  <c r="W16" i="16"/>
  <c r="F2" i="1"/>
  <c r="E2" i="1"/>
  <c r="D2" i="1"/>
  <c r="J62" i="1" s="1"/>
  <c r="C2" i="1"/>
  <c r="E4" i="16"/>
  <c r="E6" i="16"/>
  <c r="E8" i="16"/>
  <c r="E10" i="16"/>
  <c r="E12" i="16"/>
  <c r="E14" i="16"/>
  <c r="E16" i="16"/>
  <c r="E18" i="16"/>
  <c r="E20" i="16"/>
  <c r="E22" i="16"/>
  <c r="E24" i="16"/>
  <c r="E26" i="16"/>
  <c r="E28" i="16"/>
  <c r="E2" i="16"/>
  <c r="AG32" i="30" l="1"/>
  <c r="T28" i="13" s="1"/>
  <c r="BH28" i="13" s="1"/>
  <c r="AG10" i="30"/>
  <c r="T6" i="13" s="1"/>
  <c r="BH6" i="13" s="1"/>
  <c r="AG34" i="30"/>
  <c r="T30" i="13" s="1"/>
  <c r="BH30" i="13" s="1"/>
  <c r="AG24" i="30"/>
  <c r="T20" i="13" s="1"/>
  <c r="BH20" i="13" s="1"/>
  <c r="AG6" i="30"/>
  <c r="T2" i="13" s="1"/>
  <c r="BH2" i="13" s="1"/>
  <c r="AG36" i="30"/>
  <c r="T32" i="13" s="1"/>
  <c r="BH32" i="13" s="1"/>
  <c r="AG18" i="30"/>
  <c r="T14" i="13" s="1"/>
  <c r="BH14" i="13" s="1"/>
  <c r="AG22" i="30"/>
  <c r="T18" i="13" s="1"/>
  <c r="BH18" i="13" s="1"/>
  <c r="AG20" i="30"/>
  <c r="T16" i="13" s="1"/>
  <c r="BH16" i="13" s="1"/>
  <c r="AG26" i="30"/>
  <c r="T22" i="13" s="1"/>
  <c r="BH22" i="13" s="1"/>
  <c r="AG30" i="30"/>
  <c r="T26" i="13" s="1"/>
  <c r="BH26" i="13" s="1"/>
  <c r="AG8" i="30"/>
  <c r="T4" i="13" s="1"/>
  <c r="BH4" i="13" s="1"/>
  <c r="AG12" i="30"/>
  <c r="T8" i="13" s="1"/>
  <c r="BH8" i="13" s="1"/>
  <c r="AG16" i="30"/>
  <c r="T12" i="13" s="1"/>
  <c r="BH12" i="13" s="1"/>
  <c r="D126" i="1"/>
  <c r="F122" i="1"/>
  <c r="E124" i="1"/>
  <c r="M28" i="10"/>
  <c r="A125" i="10"/>
  <c r="M28" i="9"/>
  <c r="A138" i="9"/>
  <c r="M30" i="20"/>
  <c r="A138" i="20"/>
  <c r="M28" i="8"/>
  <c r="A138" i="8"/>
  <c r="L124" i="1"/>
  <c r="K126" i="1"/>
  <c r="M122" i="1"/>
  <c r="M30" i="19"/>
  <c r="A138" i="19"/>
  <c r="M30" i="21"/>
  <c r="A125" i="21"/>
  <c r="A125" i="7"/>
  <c r="M20" i="6"/>
  <c r="A138" i="6"/>
  <c r="A138" i="15"/>
  <c r="K91" i="1"/>
  <c r="L89" i="1"/>
  <c r="M87" i="1"/>
  <c r="M124" i="1"/>
  <c r="K128" i="1"/>
  <c r="L122" i="1"/>
  <c r="A132" i="6"/>
  <c r="A138" i="7"/>
  <c r="M20" i="7"/>
  <c r="M18" i="20"/>
  <c r="A125" i="20"/>
  <c r="A138" i="10"/>
  <c r="M18" i="19"/>
  <c r="A132" i="19"/>
  <c r="A132" i="8"/>
  <c r="M18" i="21"/>
  <c r="A138" i="21"/>
  <c r="D128" i="1"/>
  <c r="E122" i="1"/>
  <c r="F124" i="1"/>
  <c r="K65" i="1"/>
  <c r="M69" i="1"/>
  <c r="L67" i="1"/>
  <c r="A125" i="9"/>
  <c r="L87" i="1"/>
  <c r="K93" i="1"/>
  <c r="M89" i="1"/>
  <c r="M20" i="15"/>
  <c r="A125" i="15"/>
  <c r="C97" i="1"/>
  <c r="J7" i="1"/>
  <c r="J97" i="1"/>
  <c r="J9" i="1"/>
  <c r="C62" i="1"/>
  <c r="J3" i="1"/>
  <c r="J5" i="1"/>
  <c r="V1" i="16"/>
  <c r="U1" i="16"/>
  <c r="T1" i="16"/>
  <c r="S1" i="16"/>
  <c r="R1" i="16"/>
  <c r="A73" i="18"/>
  <c r="G67" i="18"/>
  <c r="E67" i="18"/>
  <c r="D67" i="18"/>
  <c r="C67" i="18"/>
  <c r="G66" i="18"/>
  <c r="E66" i="18"/>
  <c r="D66" i="18"/>
  <c r="C66" i="18"/>
  <c r="G65" i="18"/>
  <c r="E65" i="18"/>
  <c r="D65" i="18"/>
  <c r="C65" i="18"/>
  <c r="G64" i="18"/>
  <c r="E64" i="18"/>
  <c r="D64" i="18"/>
  <c r="C64" i="18"/>
  <c r="G63" i="18"/>
  <c r="E63" i="18"/>
  <c r="D63" i="18"/>
  <c r="C63" i="18"/>
  <c r="G62" i="18"/>
  <c r="E62" i="18"/>
  <c r="D62" i="18"/>
  <c r="C62" i="18"/>
  <c r="G61" i="18"/>
  <c r="E61" i="18"/>
  <c r="D61" i="18"/>
  <c r="C61" i="18"/>
  <c r="G60" i="18"/>
  <c r="E60" i="18"/>
  <c r="D60" i="18"/>
  <c r="C60" i="18"/>
  <c r="G59" i="18"/>
  <c r="E59" i="18"/>
  <c r="D59" i="18"/>
  <c r="C59" i="18"/>
  <c r="G58" i="18"/>
  <c r="E58" i="18"/>
  <c r="D58" i="18"/>
  <c r="C58" i="18"/>
  <c r="G57" i="18"/>
  <c r="E57" i="18"/>
  <c r="D57" i="18"/>
  <c r="C57" i="18"/>
  <c r="G56" i="18"/>
  <c r="E56" i="18"/>
  <c r="D56" i="18"/>
  <c r="C56" i="18"/>
  <c r="G55" i="18"/>
  <c r="E55" i="18"/>
  <c r="D55" i="18"/>
  <c r="C55" i="18"/>
  <c r="G54" i="18"/>
  <c r="E54" i="18"/>
  <c r="D54" i="18"/>
  <c r="C54" i="18"/>
  <c r="G53" i="18"/>
  <c r="D53" i="18"/>
  <c r="C53" i="18"/>
  <c r="G52" i="18"/>
  <c r="E52" i="18"/>
  <c r="D52" i="18"/>
  <c r="C52" i="18"/>
  <c r="G51" i="18"/>
  <c r="E51" i="18"/>
  <c r="D51" i="18"/>
  <c r="C51" i="18"/>
  <c r="G50" i="18"/>
  <c r="E50" i="18"/>
  <c r="D50" i="18"/>
  <c r="C50" i="18"/>
  <c r="G49" i="18"/>
  <c r="E49" i="18"/>
  <c r="D49" i="18"/>
  <c r="C49" i="18"/>
  <c r="G48" i="18"/>
  <c r="E48" i="18"/>
  <c r="D48" i="18"/>
  <c r="C48" i="18"/>
  <c r="G47" i="18"/>
  <c r="E47" i="18"/>
  <c r="D47" i="18"/>
  <c r="C47" i="18"/>
  <c r="G46" i="18"/>
  <c r="E46" i="18"/>
  <c r="D46" i="18"/>
  <c r="C46" i="18"/>
  <c r="G45" i="18"/>
  <c r="E45" i="18"/>
  <c r="D45" i="18"/>
  <c r="C45" i="18"/>
  <c r="G44" i="18"/>
  <c r="E44" i="18"/>
  <c r="D44" i="18"/>
  <c r="C44" i="18"/>
  <c r="G43" i="18"/>
  <c r="E43" i="18"/>
  <c r="D43" i="18"/>
  <c r="C43" i="18"/>
  <c r="G42" i="18"/>
  <c r="E42" i="18"/>
  <c r="D42" i="18"/>
  <c r="C42" i="18"/>
  <c r="G41" i="18"/>
  <c r="D41" i="18"/>
  <c r="C41" i="18"/>
  <c r="G40" i="18"/>
  <c r="F40" i="18"/>
  <c r="E40" i="18"/>
  <c r="D40" i="18"/>
  <c r="C40" i="18"/>
  <c r="T34" i="13" l="1"/>
  <c r="V32" i="16"/>
  <c r="V33" i="16"/>
  <c r="V31" i="16"/>
  <c r="V30" i="16"/>
  <c r="U30" i="16"/>
  <c r="U32" i="16"/>
  <c r="U31" i="16"/>
  <c r="U33" i="16"/>
  <c r="R32" i="16"/>
  <c r="R33" i="16"/>
  <c r="R30" i="16"/>
  <c r="R31" i="16"/>
  <c r="S33" i="16"/>
  <c r="S30" i="16"/>
  <c r="S32" i="16"/>
  <c r="S31" i="16"/>
  <c r="T33" i="16"/>
  <c r="T30" i="16"/>
  <c r="T31" i="16"/>
  <c r="T32" i="16"/>
  <c r="S15" i="16"/>
  <c r="S29" i="16"/>
  <c r="S21" i="16"/>
  <c r="S13" i="16"/>
  <c r="S5" i="16"/>
  <c r="S28" i="16"/>
  <c r="S20" i="16"/>
  <c r="S12" i="16"/>
  <c r="S4" i="16"/>
  <c r="S27" i="16"/>
  <c r="S19" i="16"/>
  <c r="S11" i="16"/>
  <c r="S3" i="16"/>
  <c r="S18" i="16"/>
  <c r="S10" i="16"/>
  <c r="S22" i="16"/>
  <c r="S26" i="16"/>
  <c r="S2" i="16"/>
  <c r="S6" i="16"/>
  <c r="S25" i="16"/>
  <c r="S17" i="16"/>
  <c r="S9" i="16"/>
  <c r="S24" i="16"/>
  <c r="S16" i="16"/>
  <c r="S8" i="16"/>
  <c r="S23" i="16"/>
  <c r="S7" i="16"/>
  <c r="S14" i="16"/>
  <c r="U24" i="16"/>
  <c r="U16" i="16"/>
  <c r="U8" i="16"/>
  <c r="U22" i="16"/>
  <c r="U14" i="16"/>
  <c r="U6" i="16"/>
  <c r="U29" i="16"/>
  <c r="U21" i="16"/>
  <c r="U13" i="16"/>
  <c r="U5" i="16"/>
  <c r="U20" i="16"/>
  <c r="U12" i="16"/>
  <c r="U4" i="16"/>
  <c r="U3" i="16"/>
  <c r="U15" i="16"/>
  <c r="U28" i="16"/>
  <c r="U27" i="16"/>
  <c r="U19" i="16"/>
  <c r="U11" i="16"/>
  <c r="U23" i="16"/>
  <c r="U26" i="16"/>
  <c r="U18" i="16"/>
  <c r="U10" i="16"/>
  <c r="U2" i="16"/>
  <c r="U17" i="16"/>
  <c r="U9" i="16"/>
  <c r="U7" i="16"/>
  <c r="U25" i="16"/>
  <c r="C73" i="18"/>
  <c r="E73" i="18"/>
  <c r="G73" i="18"/>
  <c r="D73" i="18"/>
  <c r="G30" i="16" l="1"/>
  <c r="X30" i="16"/>
  <c r="X31" i="16"/>
  <c r="X33" i="16"/>
  <c r="G32" i="16"/>
  <c r="I32" i="16" s="1"/>
  <c r="X32" i="16"/>
  <c r="S38" i="12"/>
  <c r="S38" i="11"/>
  <c r="K16" i="12"/>
  <c r="L31" i="17"/>
  <c r="L27" i="17"/>
  <c r="L21" i="17"/>
  <c r="L17" i="17"/>
  <c r="F46" i="1" l="1"/>
  <c r="J32" i="16"/>
  <c r="M45" i="1" s="1"/>
  <c r="K32" i="28"/>
  <c r="H30" i="16"/>
  <c r="K44" i="1" s="1"/>
  <c r="I30" i="16"/>
  <c r="F47" i="1"/>
  <c r="L45" i="1"/>
  <c r="H32" i="16"/>
  <c r="K45" i="1" s="1"/>
  <c r="Z8" i="12"/>
  <c r="V34" i="12"/>
  <c r="Y35" i="12"/>
  <c r="V37" i="12"/>
  <c r="W34" i="12"/>
  <c r="Z35" i="12"/>
  <c r="W37" i="12"/>
  <c r="X35" i="12"/>
  <c r="X34" i="12"/>
  <c r="X37" i="12"/>
  <c r="Z36" i="12"/>
  <c r="Y34" i="12"/>
  <c r="V36" i="12"/>
  <c r="Y37" i="12"/>
  <c r="Z34" i="12"/>
  <c r="W36" i="12"/>
  <c r="Z37" i="12"/>
  <c r="V35" i="12"/>
  <c r="X36" i="12"/>
  <c r="W35" i="12"/>
  <c r="Y36" i="12"/>
  <c r="V10" i="12"/>
  <c r="W10" i="12"/>
  <c r="X25" i="12"/>
  <c r="X9" i="12"/>
  <c r="Y16" i="12"/>
  <c r="V33" i="12"/>
  <c r="V25" i="12"/>
  <c r="V17" i="12"/>
  <c r="V9" i="12"/>
  <c r="W33" i="12"/>
  <c r="W25" i="12"/>
  <c r="W17" i="12"/>
  <c r="W9" i="12"/>
  <c r="X32" i="12"/>
  <c r="X24" i="12"/>
  <c r="X16" i="12"/>
  <c r="X8" i="12"/>
  <c r="Y31" i="12"/>
  <c r="Y23" i="12"/>
  <c r="Y15" i="12"/>
  <c r="Y7" i="12"/>
  <c r="Z30" i="12"/>
  <c r="Z22" i="12"/>
  <c r="Z14" i="12"/>
  <c r="V32" i="12"/>
  <c r="V24" i="12"/>
  <c r="V16" i="12"/>
  <c r="V8" i="12"/>
  <c r="W32" i="12"/>
  <c r="W24" i="12"/>
  <c r="W16" i="12"/>
  <c r="W8" i="12"/>
  <c r="X31" i="12"/>
  <c r="X23" i="12"/>
  <c r="X15" i="12"/>
  <c r="X7" i="12"/>
  <c r="Y30" i="12"/>
  <c r="Y22" i="12"/>
  <c r="Y14" i="12"/>
  <c r="Z6" i="12"/>
  <c r="Z29" i="12"/>
  <c r="Z21" i="12"/>
  <c r="Z13" i="12"/>
  <c r="V31" i="12"/>
  <c r="V23" i="12"/>
  <c r="V15" i="12"/>
  <c r="V7" i="12"/>
  <c r="W31" i="12"/>
  <c r="W23" i="12"/>
  <c r="W15" i="12"/>
  <c r="W7" i="12"/>
  <c r="X30" i="12"/>
  <c r="X22" i="12"/>
  <c r="X14" i="12"/>
  <c r="Y6" i="12"/>
  <c r="Y29" i="12"/>
  <c r="Y21" i="12"/>
  <c r="Y13" i="12"/>
  <c r="Z28" i="12"/>
  <c r="Z20" i="12"/>
  <c r="Z12" i="12"/>
  <c r="V30" i="12"/>
  <c r="V22" i="12"/>
  <c r="V14" i="12"/>
  <c r="W6" i="12"/>
  <c r="W30" i="12"/>
  <c r="W22" i="12"/>
  <c r="W14" i="12"/>
  <c r="X6" i="12"/>
  <c r="X29" i="12"/>
  <c r="X21" i="12"/>
  <c r="X13" i="12"/>
  <c r="Y28" i="12"/>
  <c r="Y20" i="12"/>
  <c r="Y12" i="12"/>
  <c r="Z27" i="12"/>
  <c r="Z19" i="12"/>
  <c r="Z11" i="12"/>
  <c r="V18" i="12"/>
  <c r="W26" i="12"/>
  <c r="Z15" i="12"/>
  <c r="V6" i="12"/>
  <c r="V29" i="12"/>
  <c r="V21" i="12"/>
  <c r="V13" i="12"/>
  <c r="W29" i="12"/>
  <c r="W21" i="12"/>
  <c r="W13" i="12"/>
  <c r="X28" i="12"/>
  <c r="X20" i="12"/>
  <c r="X12" i="12"/>
  <c r="Y27" i="12"/>
  <c r="Y19" i="12"/>
  <c r="Y11" i="12"/>
  <c r="Z26" i="12"/>
  <c r="Z18" i="12"/>
  <c r="Z10" i="12"/>
  <c r="V26" i="12"/>
  <c r="W18" i="12"/>
  <c r="X33" i="12"/>
  <c r="X17" i="12"/>
  <c r="Y32" i="12"/>
  <c r="Y24" i="12"/>
  <c r="Y8" i="12"/>
  <c r="Z31" i="12"/>
  <c r="Z23" i="12"/>
  <c r="Z7" i="12"/>
  <c r="V28" i="12"/>
  <c r="V20" i="12"/>
  <c r="V12" i="12"/>
  <c r="W28" i="12"/>
  <c r="W20" i="12"/>
  <c r="W12" i="12"/>
  <c r="X27" i="12"/>
  <c r="X19" i="12"/>
  <c r="X11" i="12"/>
  <c r="Y26" i="12"/>
  <c r="Y18" i="12"/>
  <c r="Y10" i="12"/>
  <c r="Z33" i="12"/>
  <c r="Z25" i="12"/>
  <c r="Z17" i="12"/>
  <c r="Z9" i="12"/>
  <c r="V27" i="12"/>
  <c r="V19" i="12"/>
  <c r="V11" i="12"/>
  <c r="W27" i="12"/>
  <c r="W19" i="12"/>
  <c r="W11" i="12"/>
  <c r="X26" i="12"/>
  <c r="X18" i="12"/>
  <c r="X10" i="12"/>
  <c r="Y33" i="12"/>
  <c r="Y25" i="12"/>
  <c r="Y17" i="12"/>
  <c r="Y9" i="12"/>
  <c r="Z32" i="12"/>
  <c r="Z24" i="12"/>
  <c r="Z16" i="12"/>
  <c r="F1" i="28"/>
  <c r="E1" i="28"/>
  <c r="D1" i="28"/>
  <c r="C1" i="28"/>
  <c r="B1" i="28"/>
  <c r="J30" i="16" l="1"/>
  <c r="M44" i="1" s="1"/>
  <c r="K30" i="28"/>
  <c r="B31" i="16"/>
  <c r="C32" i="1" s="1"/>
  <c r="G24" i="1" s="1"/>
  <c r="L44" i="1"/>
  <c r="B52" i="13"/>
  <c r="B33" i="16"/>
  <c r="C34" i="1" s="1"/>
  <c r="G34" i="1" s="1"/>
  <c r="B53" i="13"/>
  <c r="AA34" i="12"/>
  <c r="AA36" i="12"/>
  <c r="AA35" i="12"/>
  <c r="AA37" i="12"/>
  <c r="AA32" i="12"/>
  <c r="AA30" i="12"/>
  <c r="AA29" i="12"/>
  <c r="AA33" i="12"/>
  <c r="AA31" i="12"/>
  <c r="L18" i="1"/>
  <c r="L20" i="1"/>
  <c r="L22" i="1"/>
  <c r="L24" i="1"/>
  <c r="L26" i="1"/>
  <c r="L28" i="1"/>
  <c r="F22" i="1" l="1"/>
  <c r="D30" i="1"/>
  <c r="E10" i="1"/>
  <c r="C92" i="1"/>
  <c r="B91" i="1" s="1"/>
  <c r="D24" i="1"/>
  <c r="E30" i="1"/>
  <c r="A35" i="11"/>
  <c r="M35" i="11" s="1"/>
  <c r="A35" i="12"/>
  <c r="M35" i="12" s="1"/>
  <c r="A35" i="14"/>
  <c r="M35" i="14" s="1"/>
  <c r="F8" i="1"/>
  <c r="A35" i="4"/>
  <c r="A126" i="4" s="1"/>
  <c r="A35" i="3"/>
  <c r="A133" i="3" s="1"/>
  <c r="L52" i="13"/>
  <c r="D52" i="13"/>
  <c r="A37" i="14"/>
  <c r="A37" i="3"/>
  <c r="A37" i="4"/>
  <c r="C94" i="1"/>
  <c r="B93" i="1" s="1"/>
  <c r="A37" i="11"/>
  <c r="M37" i="11" s="1"/>
  <c r="A37" i="12"/>
  <c r="M37" i="12" s="1"/>
  <c r="L53" i="13"/>
  <c r="D53" i="13"/>
  <c r="L11" i="17"/>
  <c r="L7" i="17"/>
  <c r="F45" i="1" l="1"/>
  <c r="A139" i="14"/>
  <c r="M35" i="3"/>
  <c r="M35" i="4"/>
  <c r="A139" i="4"/>
  <c r="M37" i="4"/>
  <c r="A139" i="3"/>
  <c r="A140" i="3" s="1"/>
  <c r="M37" i="3"/>
  <c r="M37" i="14"/>
  <c r="A126" i="14"/>
  <c r="C41" i="16"/>
  <c r="A134" i="3" l="1"/>
  <c r="AB64" i="1"/>
  <c r="BD34" i="13" l="1"/>
  <c r="AD28" i="13" l="1"/>
  <c r="AD26" i="13"/>
  <c r="AD2" i="13"/>
  <c r="AD4" i="13"/>
  <c r="N7" i="11"/>
  <c r="N9" i="11"/>
  <c r="N11" i="11"/>
  <c r="N13" i="11"/>
  <c r="N15" i="11"/>
  <c r="N17" i="11"/>
  <c r="N19" i="11"/>
  <c r="N21" i="11"/>
  <c r="N23" i="11"/>
  <c r="N25" i="11"/>
  <c r="N27" i="11"/>
  <c r="N29" i="11"/>
  <c r="AB63" i="1"/>
  <c r="AD67" i="1" s="1"/>
  <c r="AA63" i="1"/>
  <c r="AB65" i="1"/>
  <c r="AA64" i="1" s="1"/>
  <c r="AB66" i="1"/>
  <c r="AA65" i="1" s="1"/>
  <c r="AB67" i="1"/>
  <c r="AA66" i="1" s="1"/>
  <c r="AB68" i="1"/>
  <c r="AA67" i="1" s="1"/>
  <c r="AB69" i="1"/>
  <c r="AE63" i="1" s="1"/>
  <c r="AB70" i="1"/>
  <c r="AA69" i="1" s="1"/>
  <c r="AB71" i="1"/>
  <c r="AA70" i="1" s="1"/>
  <c r="AB72" i="1"/>
  <c r="AA71" i="1" s="1"/>
  <c r="AB73" i="1"/>
  <c r="AA72" i="1" s="1"/>
  <c r="AB74" i="1"/>
  <c r="AA73" i="1" s="1"/>
  <c r="AB75" i="1"/>
  <c r="AA74" i="1" s="1"/>
  <c r="AB76" i="1"/>
  <c r="AA75" i="1" s="1"/>
  <c r="AB77" i="1"/>
  <c r="AE71" i="1" s="1"/>
  <c r="AB78" i="1"/>
  <c r="AA77" i="1" s="1"/>
  <c r="AB81" i="1"/>
  <c r="AA80" i="1" s="1"/>
  <c r="AB83" i="1"/>
  <c r="AA82" i="1" s="1"/>
  <c r="AB85" i="1"/>
  <c r="AE79" i="1" s="1"/>
  <c r="B119" i="7"/>
  <c r="C119" i="7"/>
  <c r="D119" i="7"/>
  <c r="E119" i="7"/>
  <c r="F119" i="7"/>
  <c r="G119" i="7"/>
  <c r="H119" i="7"/>
  <c r="I119" i="7"/>
  <c r="J119" i="7"/>
  <c r="B119" i="9"/>
  <c r="C119" i="9"/>
  <c r="D119" i="9"/>
  <c r="E119" i="9"/>
  <c r="F119" i="9"/>
  <c r="G119" i="9"/>
  <c r="H119" i="9"/>
  <c r="I119" i="9"/>
  <c r="J119" i="9"/>
  <c r="B119" i="20"/>
  <c r="C119" i="20"/>
  <c r="D119" i="20"/>
  <c r="E119" i="20"/>
  <c r="F119" i="20"/>
  <c r="G119" i="20"/>
  <c r="H119" i="20"/>
  <c r="I119" i="20"/>
  <c r="J119" i="20"/>
  <c r="B119" i="4"/>
  <c r="C119" i="4"/>
  <c r="D119" i="4"/>
  <c r="E119" i="4"/>
  <c r="F119" i="4"/>
  <c r="G119" i="4"/>
  <c r="H119" i="4"/>
  <c r="I119" i="4"/>
  <c r="J119" i="4"/>
  <c r="S39" i="4"/>
  <c r="S39" i="14"/>
  <c r="S39" i="6"/>
  <c r="S39" i="7"/>
  <c r="S39" i="15"/>
  <c r="S39" i="8"/>
  <c r="S39" i="9"/>
  <c r="S39" i="10"/>
  <c r="S39" i="19"/>
  <c r="S39" i="20"/>
  <c r="S39" i="21"/>
  <c r="S39" i="3"/>
  <c r="B125" i="6"/>
  <c r="C125" i="6"/>
  <c r="D125" i="6"/>
  <c r="E125" i="6"/>
  <c r="F125" i="6"/>
  <c r="G125" i="6"/>
  <c r="H125" i="6"/>
  <c r="I125" i="6"/>
  <c r="J125" i="6"/>
  <c r="B125" i="8"/>
  <c r="C125" i="8"/>
  <c r="D125" i="8"/>
  <c r="E125" i="8"/>
  <c r="F125" i="8"/>
  <c r="G125" i="8"/>
  <c r="H125" i="8"/>
  <c r="I125" i="8"/>
  <c r="J125" i="8"/>
  <c r="B125" i="19"/>
  <c r="C125" i="19"/>
  <c r="D125" i="19"/>
  <c r="E125" i="19"/>
  <c r="F125" i="19"/>
  <c r="G125" i="19"/>
  <c r="H125" i="19"/>
  <c r="I125" i="19"/>
  <c r="J125" i="19"/>
  <c r="B125" i="3"/>
  <c r="C125" i="3"/>
  <c r="D125" i="3"/>
  <c r="E125" i="3"/>
  <c r="F125" i="3"/>
  <c r="G125" i="3"/>
  <c r="H125" i="3"/>
  <c r="I125" i="3"/>
  <c r="J125" i="3"/>
  <c r="B119" i="6"/>
  <c r="C119" i="6"/>
  <c r="D119" i="6"/>
  <c r="E119" i="6"/>
  <c r="F119" i="6"/>
  <c r="G119" i="6"/>
  <c r="H119" i="6"/>
  <c r="I119" i="6"/>
  <c r="J119" i="6"/>
  <c r="B119" i="8"/>
  <c r="C119" i="8"/>
  <c r="D119" i="8"/>
  <c r="E119" i="8"/>
  <c r="F119" i="8"/>
  <c r="G119" i="8"/>
  <c r="H119" i="8"/>
  <c r="I119" i="8"/>
  <c r="J119" i="8"/>
  <c r="B119" i="19"/>
  <c r="C119" i="19"/>
  <c r="D119" i="19"/>
  <c r="E119" i="19"/>
  <c r="F119" i="19"/>
  <c r="G119" i="19"/>
  <c r="H119" i="19"/>
  <c r="I119" i="19"/>
  <c r="J119" i="19"/>
  <c r="B119" i="3"/>
  <c r="C119" i="3"/>
  <c r="D119" i="3"/>
  <c r="E119" i="3"/>
  <c r="F119" i="3"/>
  <c r="G119" i="3"/>
  <c r="H119" i="3"/>
  <c r="I119" i="3"/>
  <c r="J119" i="3"/>
  <c r="J106" i="6"/>
  <c r="J106" i="8"/>
  <c r="J106" i="19"/>
  <c r="J106" i="3"/>
  <c r="D106" i="6"/>
  <c r="E106" i="6"/>
  <c r="F106" i="6"/>
  <c r="G106" i="6"/>
  <c r="H106" i="6"/>
  <c r="I106" i="6"/>
  <c r="D106" i="8"/>
  <c r="E106" i="8"/>
  <c r="F106" i="8"/>
  <c r="G106" i="8"/>
  <c r="H106" i="8"/>
  <c r="I106" i="8"/>
  <c r="D106" i="19"/>
  <c r="E106" i="19"/>
  <c r="F106" i="19"/>
  <c r="G106" i="19"/>
  <c r="H106" i="19"/>
  <c r="I106" i="19"/>
  <c r="D106" i="3"/>
  <c r="E106" i="3"/>
  <c r="F106" i="3"/>
  <c r="G106" i="3"/>
  <c r="H106" i="3"/>
  <c r="I106" i="3"/>
  <c r="C106" i="6"/>
  <c r="C106" i="8"/>
  <c r="C106" i="19"/>
  <c r="C106" i="3"/>
  <c r="B106" i="6"/>
  <c r="B106" i="8"/>
  <c r="B106" i="19"/>
  <c r="B106" i="3"/>
  <c r="B86" i="6"/>
  <c r="B86" i="8"/>
  <c r="B86" i="19"/>
  <c r="B86" i="3"/>
  <c r="K32" i="11"/>
  <c r="N32" i="11" s="1"/>
  <c r="K30" i="11"/>
  <c r="N30" i="11" s="1"/>
  <c r="N33" i="12"/>
  <c r="K32" i="12"/>
  <c r="N32" i="12" s="1"/>
  <c r="N31" i="12"/>
  <c r="K30" i="12"/>
  <c r="N30" i="12" s="1"/>
  <c r="N33" i="4"/>
  <c r="K32" i="4"/>
  <c r="N32" i="4" s="1"/>
  <c r="N31" i="4"/>
  <c r="K30" i="4"/>
  <c r="N30" i="4" s="1"/>
  <c r="J32" i="14"/>
  <c r="J132" i="14" s="1"/>
  <c r="I32" i="14"/>
  <c r="I132" i="14" s="1"/>
  <c r="H32" i="14"/>
  <c r="H132" i="14" s="1"/>
  <c r="G32" i="14"/>
  <c r="G132" i="14" s="1"/>
  <c r="F32" i="14"/>
  <c r="F132" i="14" s="1"/>
  <c r="E32" i="14"/>
  <c r="E132" i="14" s="1"/>
  <c r="D32" i="14"/>
  <c r="D132" i="14" s="1"/>
  <c r="C32" i="14"/>
  <c r="C132" i="14" s="1"/>
  <c r="B32" i="14"/>
  <c r="B132" i="14" s="1"/>
  <c r="J30" i="14"/>
  <c r="I30" i="14"/>
  <c r="H30" i="14"/>
  <c r="G30" i="14"/>
  <c r="F30" i="14"/>
  <c r="E30" i="14"/>
  <c r="D30" i="14"/>
  <c r="C30" i="14"/>
  <c r="B30" i="14"/>
  <c r="K32" i="6"/>
  <c r="N36" i="6" s="1"/>
  <c r="K30" i="6"/>
  <c r="N12" i="6" s="1"/>
  <c r="K32" i="7"/>
  <c r="N36" i="7" s="1"/>
  <c r="K30" i="7"/>
  <c r="N12" i="7" s="1"/>
  <c r="J32" i="15"/>
  <c r="J132" i="15" s="1"/>
  <c r="I32" i="15"/>
  <c r="I132" i="15" s="1"/>
  <c r="H32" i="15"/>
  <c r="H132" i="15" s="1"/>
  <c r="G32" i="15"/>
  <c r="G132" i="15" s="1"/>
  <c r="F32" i="15"/>
  <c r="F132" i="15" s="1"/>
  <c r="E32" i="15"/>
  <c r="E132" i="15" s="1"/>
  <c r="D32" i="15"/>
  <c r="D132" i="15" s="1"/>
  <c r="C32" i="15"/>
  <c r="C132" i="15" s="1"/>
  <c r="B32" i="15"/>
  <c r="B132" i="15" s="1"/>
  <c r="J30" i="15"/>
  <c r="I30" i="15"/>
  <c r="H30" i="15"/>
  <c r="G30" i="15"/>
  <c r="F30" i="15"/>
  <c r="E30" i="15"/>
  <c r="D30" i="15"/>
  <c r="C30" i="15"/>
  <c r="B30" i="15"/>
  <c r="K32" i="8"/>
  <c r="N34" i="8" s="1"/>
  <c r="K30" i="8"/>
  <c r="N6" i="8" s="1"/>
  <c r="K32" i="9"/>
  <c r="N34" i="9" s="1"/>
  <c r="K30" i="9"/>
  <c r="N6" i="9" s="1"/>
  <c r="J32" i="10"/>
  <c r="J132" i="10" s="1"/>
  <c r="I32" i="10"/>
  <c r="I132" i="10" s="1"/>
  <c r="H32" i="10"/>
  <c r="H132" i="10" s="1"/>
  <c r="G32" i="10"/>
  <c r="G132" i="10" s="1"/>
  <c r="F32" i="10"/>
  <c r="F132" i="10" s="1"/>
  <c r="E32" i="10"/>
  <c r="E132" i="10" s="1"/>
  <c r="D32" i="10"/>
  <c r="D132" i="10" s="1"/>
  <c r="C32" i="10"/>
  <c r="C132" i="10" s="1"/>
  <c r="B32" i="10"/>
  <c r="B132" i="10" s="1"/>
  <c r="J30" i="10"/>
  <c r="I30" i="10"/>
  <c r="H30" i="10"/>
  <c r="G30" i="10"/>
  <c r="F30" i="10"/>
  <c r="E30" i="10"/>
  <c r="D30" i="10"/>
  <c r="C30" i="10"/>
  <c r="B30" i="10"/>
  <c r="K32" i="19"/>
  <c r="N8" i="19" s="1"/>
  <c r="K30" i="19"/>
  <c r="K32" i="20"/>
  <c r="N8" i="20" s="1"/>
  <c r="K30" i="20"/>
  <c r="N28" i="20" s="1"/>
  <c r="K32" i="3"/>
  <c r="N32" i="3" s="1"/>
  <c r="N31" i="3"/>
  <c r="K30" i="3"/>
  <c r="N30" i="3" s="1"/>
  <c r="A28" i="12"/>
  <c r="M28" i="12" s="1"/>
  <c r="A26" i="12"/>
  <c r="M26" i="12" s="1"/>
  <c r="A24" i="12"/>
  <c r="M24" i="12" s="1"/>
  <c r="A22" i="11"/>
  <c r="A20" i="12"/>
  <c r="M20" i="12" s="1"/>
  <c r="A18" i="11"/>
  <c r="A16" i="12"/>
  <c r="M16" i="12" s="1"/>
  <c r="A14" i="12"/>
  <c r="M14" i="12" s="1"/>
  <c r="A12" i="11"/>
  <c r="A10" i="11"/>
  <c r="M10" i="11" s="1"/>
  <c r="A8" i="12"/>
  <c r="M8" i="12" s="1"/>
  <c r="R25" i="16"/>
  <c r="T25" i="16"/>
  <c r="V25" i="16"/>
  <c r="R26" i="16"/>
  <c r="T26" i="16"/>
  <c r="V26" i="16"/>
  <c r="R27" i="16"/>
  <c r="T27" i="16"/>
  <c r="V27" i="16"/>
  <c r="R28" i="16"/>
  <c r="T28" i="16"/>
  <c r="V28" i="16"/>
  <c r="R29" i="16"/>
  <c r="T29" i="16"/>
  <c r="V29" i="16"/>
  <c r="R34" i="16"/>
  <c r="T34" i="16"/>
  <c r="U34" i="16"/>
  <c r="V34" i="16"/>
  <c r="R35" i="16"/>
  <c r="T35" i="16"/>
  <c r="U35" i="16"/>
  <c r="V35" i="16"/>
  <c r="F26" i="28" l="1"/>
  <c r="G39" i="13"/>
  <c r="N28" i="19"/>
  <c r="B28" i="28"/>
  <c r="B26" i="28"/>
  <c r="F28" i="28"/>
  <c r="Z16" i="19"/>
  <c r="Y16" i="19"/>
  <c r="X16" i="19"/>
  <c r="W16" i="19"/>
  <c r="V16" i="19"/>
  <c r="K132" i="14"/>
  <c r="K132" i="10"/>
  <c r="K132" i="15"/>
  <c r="V28" i="19"/>
  <c r="X35" i="19"/>
  <c r="V37" i="19"/>
  <c r="V34" i="19"/>
  <c r="Y35" i="19"/>
  <c r="W37" i="19"/>
  <c r="W34" i="19"/>
  <c r="Z35" i="19"/>
  <c r="X37" i="19"/>
  <c r="X34" i="19"/>
  <c r="V36" i="19"/>
  <c r="Y37" i="19"/>
  <c r="Y34" i="19"/>
  <c r="W36" i="19"/>
  <c r="Z37" i="19"/>
  <c r="Z36" i="19"/>
  <c r="Z34" i="19"/>
  <c r="X36" i="19"/>
  <c r="V35" i="19"/>
  <c r="Y36" i="19"/>
  <c r="W35" i="19"/>
  <c r="Y28" i="8"/>
  <c r="Y34" i="8"/>
  <c r="Z34" i="8"/>
  <c r="V35" i="8"/>
  <c r="W35" i="8"/>
  <c r="X35" i="8"/>
  <c r="V37" i="8"/>
  <c r="Y37" i="8"/>
  <c r="W36" i="8"/>
  <c r="V34" i="8"/>
  <c r="Y35" i="8"/>
  <c r="W37" i="8"/>
  <c r="Y36" i="8"/>
  <c r="Z36" i="8"/>
  <c r="W34" i="8"/>
  <c r="Z35" i="8"/>
  <c r="X37" i="8"/>
  <c r="V36" i="8"/>
  <c r="Z37" i="8"/>
  <c r="X36" i="8"/>
  <c r="X34" i="8"/>
  <c r="X28" i="6"/>
  <c r="Z34" i="6"/>
  <c r="V35" i="6"/>
  <c r="Y36" i="6"/>
  <c r="V34" i="6"/>
  <c r="W37" i="6"/>
  <c r="W35" i="6"/>
  <c r="Z36" i="6"/>
  <c r="X35" i="6"/>
  <c r="V37" i="6"/>
  <c r="Y35" i="6"/>
  <c r="W34" i="6"/>
  <c r="Z35" i="6"/>
  <c r="X37" i="6"/>
  <c r="W36" i="6"/>
  <c r="X36" i="6"/>
  <c r="X34" i="6"/>
  <c r="V36" i="6"/>
  <c r="Y37" i="6"/>
  <c r="Y34" i="6"/>
  <c r="Z37" i="6"/>
  <c r="W31" i="7"/>
  <c r="W35" i="7"/>
  <c r="Z36" i="7"/>
  <c r="X35" i="7"/>
  <c r="V37" i="7"/>
  <c r="Y36" i="7"/>
  <c r="V34" i="7"/>
  <c r="Y35" i="7"/>
  <c r="W37" i="7"/>
  <c r="W34" i="7"/>
  <c r="Z35" i="7"/>
  <c r="X37" i="7"/>
  <c r="X34" i="7"/>
  <c r="V36" i="7"/>
  <c r="Y37" i="7"/>
  <c r="V35" i="7"/>
  <c r="Y34" i="7"/>
  <c r="W36" i="7"/>
  <c r="Z37" i="7"/>
  <c r="Z34" i="7"/>
  <c r="X36" i="7"/>
  <c r="V28" i="20"/>
  <c r="X34" i="20"/>
  <c r="V36" i="20"/>
  <c r="Y37" i="20"/>
  <c r="Y34" i="20"/>
  <c r="W36" i="20"/>
  <c r="Z37" i="20"/>
  <c r="Z34" i="20"/>
  <c r="X36" i="20"/>
  <c r="W34" i="20"/>
  <c r="V35" i="20"/>
  <c r="Y36" i="20"/>
  <c r="X37" i="20"/>
  <c r="W35" i="20"/>
  <c r="Z36" i="20"/>
  <c r="Z35" i="20"/>
  <c r="X35" i="20"/>
  <c r="V37" i="20"/>
  <c r="V34" i="20"/>
  <c r="Y35" i="20"/>
  <c r="W37" i="20"/>
  <c r="X28" i="4"/>
  <c r="Z34" i="4"/>
  <c r="X36" i="4"/>
  <c r="Z37" i="4"/>
  <c r="V35" i="4"/>
  <c r="Y36" i="4"/>
  <c r="W36" i="4"/>
  <c r="W35" i="4"/>
  <c r="Z36" i="4"/>
  <c r="X35" i="4"/>
  <c r="V37" i="4"/>
  <c r="V34" i="4"/>
  <c r="Y35" i="4"/>
  <c r="W37" i="4"/>
  <c r="W34" i="4"/>
  <c r="Z35" i="4"/>
  <c r="X37" i="4"/>
  <c r="Y34" i="4"/>
  <c r="X34" i="4"/>
  <c r="V36" i="4"/>
  <c r="Y37" i="4"/>
  <c r="W28" i="9"/>
  <c r="V34" i="9"/>
  <c r="Y35" i="9"/>
  <c r="W37" i="9"/>
  <c r="W34" i="9"/>
  <c r="Z35" i="9"/>
  <c r="X37" i="9"/>
  <c r="X35" i="9"/>
  <c r="X34" i="9"/>
  <c r="V36" i="9"/>
  <c r="Y37" i="9"/>
  <c r="V37" i="9"/>
  <c r="Y34" i="9"/>
  <c r="W36" i="9"/>
  <c r="Z37" i="9"/>
  <c r="Z34" i="9"/>
  <c r="X36" i="9"/>
  <c r="V35" i="9"/>
  <c r="Y36" i="9"/>
  <c r="W35" i="9"/>
  <c r="Z36" i="9"/>
  <c r="X28" i="15"/>
  <c r="V34" i="15"/>
  <c r="Y35" i="15"/>
  <c r="W37" i="15"/>
  <c r="W34" i="15"/>
  <c r="Z35" i="15"/>
  <c r="X37" i="15"/>
  <c r="W35" i="15"/>
  <c r="X35" i="15"/>
  <c r="X34" i="15"/>
  <c r="V36" i="15"/>
  <c r="Y37" i="15"/>
  <c r="Y34" i="15"/>
  <c r="W36" i="15"/>
  <c r="Z37" i="15"/>
  <c r="Z34" i="15"/>
  <c r="X36" i="15"/>
  <c r="V35" i="15"/>
  <c r="Y36" i="15"/>
  <c r="Z36" i="15"/>
  <c r="V37" i="15"/>
  <c r="Y28" i="14"/>
  <c r="V35" i="14"/>
  <c r="Y36" i="14"/>
  <c r="W35" i="14"/>
  <c r="Z36" i="14"/>
  <c r="Y34" i="14"/>
  <c r="W36" i="14"/>
  <c r="X36" i="14"/>
  <c r="X35" i="14"/>
  <c r="V37" i="14"/>
  <c r="V34" i="14"/>
  <c r="Y35" i="14"/>
  <c r="W37" i="14"/>
  <c r="W34" i="14"/>
  <c r="Z35" i="14"/>
  <c r="X37" i="14"/>
  <c r="X34" i="14"/>
  <c r="V36" i="14"/>
  <c r="Y37" i="14"/>
  <c r="Z37" i="14"/>
  <c r="Z34" i="14"/>
  <c r="V28" i="21"/>
  <c r="W35" i="21"/>
  <c r="Z36" i="21"/>
  <c r="X35" i="21"/>
  <c r="V37" i="21"/>
  <c r="V34" i="21"/>
  <c r="Y35" i="21"/>
  <c r="W37" i="21"/>
  <c r="Z34" i="21"/>
  <c r="W34" i="21"/>
  <c r="Z35" i="21"/>
  <c r="X37" i="21"/>
  <c r="W36" i="21"/>
  <c r="X34" i="21"/>
  <c r="V36" i="21"/>
  <c r="Y37" i="21"/>
  <c r="Y34" i="21"/>
  <c r="Z37" i="21"/>
  <c r="X36" i="21"/>
  <c r="V35" i="21"/>
  <c r="Y36" i="21"/>
  <c r="Y34" i="10"/>
  <c r="W36" i="10"/>
  <c r="Z37" i="10"/>
  <c r="Z34" i="10"/>
  <c r="X36" i="10"/>
  <c r="V35" i="10"/>
  <c r="Y36" i="10"/>
  <c r="W34" i="10"/>
  <c r="V36" i="10"/>
  <c r="W35" i="10"/>
  <c r="Z36" i="10"/>
  <c r="X35" i="10"/>
  <c r="V37" i="10"/>
  <c r="V34" i="10"/>
  <c r="Y35" i="10"/>
  <c r="W37" i="10"/>
  <c r="Z35" i="10"/>
  <c r="X37" i="10"/>
  <c r="X34" i="10"/>
  <c r="Y37" i="10"/>
  <c r="Y28" i="3"/>
  <c r="W34" i="3"/>
  <c r="Z35" i="3"/>
  <c r="W37" i="3"/>
  <c r="V37" i="3"/>
  <c r="X34" i="3"/>
  <c r="X37" i="3"/>
  <c r="Z34" i="3"/>
  <c r="Z37" i="3"/>
  <c r="Z36" i="3"/>
  <c r="Y35" i="3"/>
  <c r="Y34" i="3"/>
  <c r="V36" i="3"/>
  <c r="Y37" i="3"/>
  <c r="W36" i="3"/>
  <c r="V35" i="3"/>
  <c r="X36" i="3"/>
  <c r="W35" i="3"/>
  <c r="Y36" i="3"/>
  <c r="X35" i="3"/>
  <c r="V34" i="3"/>
  <c r="H119" i="10"/>
  <c r="D119" i="21"/>
  <c r="I119" i="10"/>
  <c r="E119" i="15"/>
  <c r="B119" i="14"/>
  <c r="J119" i="14"/>
  <c r="G119" i="21"/>
  <c r="C119" i="21"/>
  <c r="D119" i="15"/>
  <c r="E119" i="21"/>
  <c r="J119" i="10"/>
  <c r="F119" i="15"/>
  <c r="C119" i="14"/>
  <c r="I119" i="14"/>
  <c r="F119" i="21"/>
  <c r="C119" i="10"/>
  <c r="G119" i="15"/>
  <c r="D119" i="14"/>
  <c r="D119" i="10"/>
  <c r="H119" i="15"/>
  <c r="E119" i="14"/>
  <c r="H119" i="21"/>
  <c r="E119" i="10"/>
  <c r="I119" i="15"/>
  <c r="F119" i="14"/>
  <c r="I119" i="21"/>
  <c r="F119" i="10"/>
  <c r="B119" i="15"/>
  <c r="J119" i="15"/>
  <c r="G119" i="14"/>
  <c r="B119" i="21"/>
  <c r="J119" i="21"/>
  <c r="G119" i="10"/>
  <c r="C119" i="15"/>
  <c r="H119" i="14"/>
  <c r="X25" i="16"/>
  <c r="G26" i="16"/>
  <c r="I26" i="16" s="1"/>
  <c r="X26" i="16"/>
  <c r="X28" i="16"/>
  <c r="G28" i="16"/>
  <c r="I28" i="16" s="1"/>
  <c r="X27" i="16"/>
  <c r="X29" i="16"/>
  <c r="AC85" i="1"/>
  <c r="AD75" i="1"/>
  <c r="K51" i="13"/>
  <c r="K50" i="13"/>
  <c r="K125" i="20"/>
  <c r="K32" i="21"/>
  <c r="N8" i="21" s="1"/>
  <c r="K32" i="10"/>
  <c r="N34" i="10" s="1"/>
  <c r="K30" i="10"/>
  <c r="N6" i="10" s="1"/>
  <c r="B119" i="10"/>
  <c r="K125" i="6"/>
  <c r="C51" i="13"/>
  <c r="K32" i="14"/>
  <c r="N32" i="14" s="1"/>
  <c r="K125" i="3"/>
  <c r="C50" i="13"/>
  <c r="AC83" i="1"/>
  <c r="A20" i="11"/>
  <c r="M20" i="11" s="1"/>
  <c r="AE77" i="1"/>
  <c r="AC73" i="1"/>
  <c r="A30" i="6"/>
  <c r="M12" i="6" s="1"/>
  <c r="J87" i="1"/>
  <c r="A32" i="21"/>
  <c r="M8" i="21" s="1"/>
  <c r="J124" i="1"/>
  <c r="A32" i="9"/>
  <c r="M34" i="9" s="1"/>
  <c r="C124" i="1"/>
  <c r="A32" i="6"/>
  <c r="M36" i="6" s="1"/>
  <c r="J89" i="1"/>
  <c r="A32" i="4"/>
  <c r="A132" i="4" s="1"/>
  <c r="C89" i="1"/>
  <c r="A32" i="19"/>
  <c r="M8" i="19" s="1"/>
  <c r="AE67" i="1"/>
  <c r="A30" i="19"/>
  <c r="M28" i="19" s="1"/>
  <c r="J122" i="1"/>
  <c r="A32" i="15"/>
  <c r="M36" i="15" s="1"/>
  <c r="A30" i="11"/>
  <c r="M30" i="11" s="1"/>
  <c r="C87" i="1"/>
  <c r="A30" i="10"/>
  <c r="M6" i="10" s="1"/>
  <c r="C122" i="1"/>
  <c r="AD69" i="1"/>
  <c r="AE65" i="1"/>
  <c r="A32" i="11"/>
  <c r="M32" i="11" s="1"/>
  <c r="A32" i="14"/>
  <c r="A132" i="14" s="1"/>
  <c r="A32" i="12"/>
  <c r="M32" i="12" s="1"/>
  <c r="A30" i="4"/>
  <c r="M30" i="4" s="1"/>
  <c r="A28" i="11"/>
  <c r="A32" i="8"/>
  <c r="M34" i="8" s="1"/>
  <c r="A18" i="12"/>
  <c r="M18" i="12" s="1"/>
  <c r="A32" i="20"/>
  <c r="M8" i="20" s="1"/>
  <c r="A32" i="10"/>
  <c r="M34" i="10" s="1"/>
  <c r="A30" i="14"/>
  <c r="AD85" i="1"/>
  <c r="AA84" i="1"/>
  <c r="AE83" i="1"/>
  <c r="AC75" i="1"/>
  <c r="AA76" i="1"/>
  <c r="AC77" i="1"/>
  <c r="AD77" i="1"/>
  <c r="AE75" i="1"/>
  <c r="AC67" i="1"/>
  <c r="AA68" i="1"/>
  <c r="AC65" i="1"/>
  <c r="AE69" i="1"/>
  <c r="A14" i="11"/>
  <c r="A10" i="12"/>
  <c r="M10" i="12" s="1"/>
  <c r="M12" i="11"/>
  <c r="A12" i="12"/>
  <c r="M12" i="12" s="1"/>
  <c r="A26" i="11"/>
  <c r="I17" i="29"/>
  <c r="A32" i="3"/>
  <c r="M18" i="11"/>
  <c r="A32" i="7"/>
  <c r="A16" i="11"/>
  <c r="A8" i="11"/>
  <c r="A24" i="11"/>
  <c r="A30" i="15"/>
  <c r="M12" i="15" s="1"/>
  <c r="A30" i="7"/>
  <c r="M12" i="7" s="1"/>
  <c r="A30" i="12"/>
  <c r="M30" i="12" s="1"/>
  <c r="I16" i="29"/>
  <c r="A30" i="3"/>
  <c r="M22" i="11"/>
  <c r="A22" i="12"/>
  <c r="M22" i="12" s="1"/>
  <c r="A30" i="9"/>
  <c r="M6" i="9" s="1"/>
  <c r="A30" i="8"/>
  <c r="M6" i="8" s="1"/>
  <c r="A30" i="21"/>
  <c r="M28" i="21" s="1"/>
  <c r="A30" i="20"/>
  <c r="M28" i="20" s="1"/>
  <c r="W33" i="3"/>
  <c r="W32" i="3"/>
  <c r="V30" i="3"/>
  <c r="V29" i="3"/>
  <c r="X33" i="21"/>
  <c r="W33" i="21"/>
  <c r="X32" i="21"/>
  <c r="Y31" i="21"/>
  <c r="Z30" i="21"/>
  <c r="V30" i="21"/>
  <c r="W29" i="21"/>
  <c r="X28" i="21"/>
  <c r="Y32" i="21"/>
  <c r="Z31" i="21"/>
  <c r="V31" i="21"/>
  <c r="W30" i="21"/>
  <c r="X29" i="21"/>
  <c r="Y28" i="21"/>
  <c r="Z33" i="21"/>
  <c r="V33" i="21"/>
  <c r="W32" i="21"/>
  <c r="X31" i="21"/>
  <c r="Y30" i="21"/>
  <c r="Z29" i="21"/>
  <c r="V29" i="21"/>
  <c r="W28" i="21"/>
  <c r="Y33" i="21"/>
  <c r="Z32" i="21"/>
  <c r="V32" i="21"/>
  <c r="W31" i="21"/>
  <c r="X30" i="21"/>
  <c r="Y29" i="21"/>
  <c r="Z28" i="21"/>
  <c r="Y32" i="20"/>
  <c r="V31" i="20"/>
  <c r="Z30" i="20"/>
  <c r="X29" i="20"/>
  <c r="X32" i="20"/>
  <c r="W29" i="20"/>
  <c r="X33" i="20"/>
  <c r="Z31" i="20"/>
  <c r="W30" i="20"/>
  <c r="Y28" i="20"/>
  <c r="W33" i="20"/>
  <c r="Y31" i="20"/>
  <c r="V30" i="20"/>
  <c r="X28" i="20"/>
  <c r="Z33" i="20"/>
  <c r="V33" i="20"/>
  <c r="W32" i="20"/>
  <c r="X31" i="20"/>
  <c r="Y30" i="20"/>
  <c r="Z29" i="20"/>
  <c r="V29" i="20"/>
  <c r="W28" i="20"/>
  <c r="Y33" i="20"/>
  <c r="Z32" i="20"/>
  <c r="V32" i="20"/>
  <c r="W31" i="20"/>
  <c r="X30" i="20"/>
  <c r="Y29" i="20"/>
  <c r="Z28" i="20"/>
  <c r="V33" i="19"/>
  <c r="Z29" i="19"/>
  <c r="W32" i="19"/>
  <c r="V29" i="19"/>
  <c r="X31" i="19"/>
  <c r="W28" i="19"/>
  <c r="Z33" i="19"/>
  <c r="Y30" i="19"/>
  <c r="X33" i="19"/>
  <c r="Y32" i="19"/>
  <c r="Z31" i="19"/>
  <c r="V31" i="19"/>
  <c r="W30" i="19"/>
  <c r="X29" i="19"/>
  <c r="Y28" i="19"/>
  <c r="W33" i="19"/>
  <c r="X32" i="19"/>
  <c r="Y31" i="19"/>
  <c r="Z30" i="19"/>
  <c r="V30" i="19"/>
  <c r="W29" i="19"/>
  <c r="X28" i="19"/>
  <c r="Y33" i="19"/>
  <c r="Z32" i="19"/>
  <c r="V32" i="19"/>
  <c r="W31" i="19"/>
  <c r="X30" i="19"/>
  <c r="Y29" i="19"/>
  <c r="Z28" i="19"/>
  <c r="V32" i="9"/>
  <c r="Z32" i="9"/>
  <c r="Z28" i="9"/>
  <c r="X30" i="9"/>
  <c r="Y33" i="9"/>
  <c r="Y29" i="9"/>
  <c r="W31" i="9"/>
  <c r="V28" i="9"/>
  <c r="X33" i="9"/>
  <c r="Y32" i="9"/>
  <c r="Z31" i="9"/>
  <c r="V31" i="9"/>
  <c r="W30" i="9"/>
  <c r="X29" i="9"/>
  <c r="Y28" i="9"/>
  <c r="W33" i="9"/>
  <c r="X32" i="9"/>
  <c r="Y31" i="9"/>
  <c r="Z30" i="9"/>
  <c r="V30" i="9"/>
  <c r="W29" i="9"/>
  <c r="X28" i="9"/>
  <c r="Z33" i="9"/>
  <c r="V33" i="9"/>
  <c r="W32" i="9"/>
  <c r="X31" i="9"/>
  <c r="Y30" i="9"/>
  <c r="Z29" i="9"/>
  <c r="V29" i="9"/>
  <c r="W32" i="8"/>
  <c r="Z33" i="8"/>
  <c r="Y30" i="8"/>
  <c r="V29" i="8"/>
  <c r="X32" i="8"/>
  <c r="Z30" i="8"/>
  <c r="W29" i="8"/>
  <c r="W33" i="8"/>
  <c r="Y31" i="8"/>
  <c r="V30" i="8"/>
  <c r="X28" i="8"/>
  <c r="V33" i="8"/>
  <c r="X31" i="8"/>
  <c r="Z29" i="8"/>
  <c r="W28" i="8"/>
  <c r="Y33" i="8"/>
  <c r="Z32" i="8"/>
  <c r="V32" i="8"/>
  <c r="W31" i="8"/>
  <c r="X30" i="8"/>
  <c r="Y29" i="8"/>
  <c r="Z28" i="8"/>
  <c r="V28" i="8"/>
  <c r="X33" i="8"/>
  <c r="Y32" i="8"/>
  <c r="Z31" i="8"/>
  <c r="V31" i="8"/>
  <c r="W30" i="8"/>
  <c r="X29" i="8"/>
  <c r="Z33" i="15"/>
  <c r="V33" i="15"/>
  <c r="X31" i="15"/>
  <c r="Y30" i="15"/>
  <c r="Z29" i="15"/>
  <c r="W28" i="15"/>
  <c r="Y33" i="15"/>
  <c r="Z32" i="15"/>
  <c r="V32" i="15"/>
  <c r="W31" i="15"/>
  <c r="X30" i="15"/>
  <c r="Y29" i="15"/>
  <c r="Z28" i="15"/>
  <c r="V28" i="15"/>
  <c r="X33" i="15"/>
  <c r="Y32" i="15"/>
  <c r="Z31" i="15"/>
  <c r="V31" i="15"/>
  <c r="W30" i="15"/>
  <c r="X29" i="15"/>
  <c r="Y28" i="15"/>
  <c r="W32" i="15"/>
  <c r="V29" i="15"/>
  <c r="W33" i="15"/>
  <c r="X32" i="15"/>
  <c r="Y31" i="15"/>
  <c r="Z30" i="15"/>
  <c r="V30" i="15"/>
  <c r="W29" i="15"/>
  <c r="AD79" i="1"/>
  <c r="AE73" i="1"/>
  <c r="AD63" i="1"/>
  <c r="AD81" i="1"/>
  <c r="AC79" i="1"/>
  <c r="AD73" i="1"/>
  <c r="AC71" i="1"/>
  <c r="AD65" i="1"/>
  <c r="AC63" i="1"/>
  <c r="AE81" i="1"/>
  <c r="AD71" i="1"/>
  <c r="AC69" i="1"/>
  <c r="Y32" i="6"/>
  <c r="X29" i="6"/>
  <c r="Z33" i="6"/>
  <c r="W32" i="6"/>
  <c r="Y30" i="6"/>
  <c r="V29" i="6"/>
  <c r="X33" i="6"/>
  <c r="Z31" i="6"/>
  <c r="W30" i="6"/>
  <c r="Y28" i="6"/>
  <c r="V31" i="6"/>
  <c r="V33" i="6"/>
  <c r="X31" i="6"/>
  <c r="Z29" i="6"/>
  <c r="W28" i="6"/>
  <c r="Y33" i="6"/>
  <c r="Z32" i="6"/>
  <c r="V32" i="6"/>
  <c r="W31" i="6"/>
  <c r="X30" i="6"/>
  <c r="Y29" i="6"/>
  <c r="Z28" i="6"/>
  <c r="V28" i="6"/>
  <c r="W33" i="6"/>
  <c r="X32" i="6"/>
  <c r="Y31" i="6"/>
  <c r="Z30" i="6"/>
  <c r="V30" i="6"/>
  <c r="W29" i="6"/>
  <c r="W32" i="14"/>
  <c r="V30" i="14"/>
  <c r="V29" i="14"/>
  <c r="W33" i="14"/>
  <c r="Y31" i="14"/>
  <c r="X28" i="14"/>
  <c r="Z33" i="14"/>
  <c r="Y30" i="14"/>
  <c r="V33" i="14"/>
  <c r="X31" i="14"/>
  <c r="Z29" i="14"/>
  <c r="W28" i="14"/>
  <c r="X32" i="14"/>
  <c r="Z30" i="14"/>
  <c r="W29" i="14"/>
  <c r="Y33" i="14"/>
  <c r="Z32" i="14"/>
  <c r="V32" i="14"/>
  <c r="W31" i="14"/>
  <c r="X30" i="14"/>
  <c r="Y29" i="14"/>
  <c r="Z28" i="14"/>
  <c r="V28" i="14"/>
  <c r="X33" i="14"/>
  <c r="Y32" i="14"/>
  <c r="Z31" i="14"/>
  <c r="V31" i="14"/>
  <c r="W30" i="14"/>
  <c r="X29" i="14"/>
  <c r="W28" i="4"/>
  <c r="V28" i="4"/>
  <c r="V33" i="4"/>
  <c r="X31" i="4"/>
  <c r="W31" i="4"/>
  <c r="Z29" i="4"/>
  <c r="Z32" i="4"/>
  <c r="Y29" i="4"/>
  <c r="Z33" i="4"/>
  <c r="W32" i="4"/>
  <c r="Y30" i="4"/>
  <c r="V29" i="4"/>
  <c r="Y33" i="4"/>
  <c r="V32" i="4"/>
  <c r="X30" i="4"/>
  <c r="Z28" i="4"/>
  <c r="K30" i="15"/>
  <c r="N12" i="15" s="1"/>
  <c r="K30" i="14"/>
  <c r="N30" i="14" s="1"/>
  <c r="K30" i="21"/>
  <c r="N28" i="21" s="1"/>
  <c r="K32" i="15"/>
  <c r="N36" i="15" s="1"/>
  <c r="X33" i="4"/>
  <c r="Y32" i="4"/>
  <c r="Z31" i="4"/>
  <c r="V31" i="4"/>
  <c r="W30" i="4"/>
  <c r="X29" i="4"/>
  <c r="Y28" i="4"/>
  <c r="W33" i="4"/>
  <c r="X32" i="4"/>
  <c r="Y31" i="4"/>
  <c r="Z30" i="4"/>
  <c r="V30" i="4"/>
  <c r="W29" i="4"/>
  <c r="Y31" i="3"/>
  <c r="X28" i="3"/>
  <c r="Z33" i="3"/>
  <c r="Y30" i="3"/>
  <c r="V33" i="3"/>
  <c r="X31" i="3"/>
  <c r="Z29" i="3"/>
  <c r="W28" i="3"/>
  <c r="X32" i="3"/>
  <c r="Z30" i="3"/>
  <c r="W29" i="3"/>
  <c r="Y33" i="3"/>
  <c r="Z32" i="3"/>
  <c r="V32" i="3"/>
  <c r="W31" i="3"/>
  <c r="X30" i="3"/>
  <c r="Y29" i="3"/>
  <c r="Z28" i="3"/>
  <c r="V28" i="3"/>
  <c r="X33" i="3"/>
  <c r="Y32" i="3"/>
  <c r="Z31" i="3"/>
  <c r="V31" i="3"/>
  <c r="W30" i="3"/>
  <c r="X29" i="3"/>
  <c r="W28" i="7"/>
  <c r="W31" i="10"/>
  <c r="W28" i="10"/>
  <c r="X28" i="10"/>
  <c r="W29" i="10"/>
  <c r="Y30" i="10"/>
  <c r="X31" i="10"/>
  <c r="V32" i="10"/>
  <c r="Z32" i="10"/>
  <c r="Y33" i="10"/>
  <c r="Y28" i="10"/>
  <c r="X29" i="10"/>
  <c r="V30" i="10"/>
  <c r="Z30" i="10"/>
  <c r="Y31" i="10"/>
  <c r="W32" i="10"/>
  <c r="V33" i="10"/>
  <c r="Z33" i="10"/>
  <c r="V28" i="10"/>
  <c r="Z28" i="10"/>
  <c r="Y29" i="10"/>
  <c r="W30" i="10"/>
  <c r="V31" i="10"/>
  <c r="Z31" i="10"/>
  <c r="X32" i="10"/>
  <c r="W33" i="10"/>
  <c r="X28" i="7"/>
  <c r="W29" i="7"/>
  <c r="Y30" i="7"/>
  <c r="X31" i="7"/>
  <c r="V32" i="7"/>
  <c r="Z32" i="7"/>
  <c r="Y33" i="7"/>
  <c r="Y28" i="7"/>
  <c r="X29" i="7"/>
  <c r="V30" i="7"/>
  <c r="Z30" i="7"/>
  <c r="Y31" i="7"/>
  <c r="W32" i="7"/>
  <c r="V33" i="7"/>
  <c r="Z33" i="7"/>
  <c r="V28" i="7"/>
  <c r="Z28" i="7"/>
  <c r="Y29" i="7"/>
  <c r="W30" i="7"/>
  <c r="V31" i="7"/>
  <c r="Z31" i="7"/>
  <c r="X32" i="7"/>
  <c r="W33" i="7"/>
  <c r="X33" i="10"/>
  <c r="X30" i="10"/>
  <c r="X33" i="7"/>
  <c r="X30" i="7"/>
  <c r="Y32" i="10"/>
  <c r="Z29" i="10"/>
  <c r="Y32" i="7"/>
  <c r="Z29" i="7"/>
  <c r="V29" i="10"/>
  <c r="V29" i="7"/>
  <c r="K119" i="7"/>
  <c r="K119" i="8"/>
  <c r="K119" i="20"/>
  <c r="K119" i="3"/>
  <c r="K119" i="19"/>
  <c r="K125" i="19"/>
  <c r="K119" i="9"/>
  <c r="K125" i="9"/>
  <c r="K125" i="8"/>
  <c r="K119" i="6"/>
  <c r="K125" i="7"/>
  <c r="K119" i="4"/>
  <c r="A132" i="7" l="1"/>
  <c r="M36" i="7"/>
  <c r="J26" i="16"/>
  <c r="M41" i="1" s="1"/>
  <c r="K26" i="28"/>
  <c r="J28" i="16"/>
  <c r="M43" i="1" s="1"/>
  <c r="K28" i="28"/>
  <c r="AA16" i="19"/>
  <c r="K119" i="15"/>
  <c r="AA30" i="15"/>
  <c r="AA35" i="15"/>
  <c r="AA36" i="9"/>
  <c r="AA37" i="20"/>
  <c r="AA35" i="7"/>
  <c r="AA36" i="4"/>
  <c r="L126" i="1"/>
  <c r="M128" i="1"/>
  <c r="K124" i="1"/>
  <c r="E128" i="1"/>
  <c r="F126" i="1"/>
  <c r="D122" i="1"/>
  <c r="F128" i="1"/>
  <c r="D124" i="1"/>
  <c r="E126" i="1"/>
  <c r="M126" i="1"/>
  <c r="K122" i="1"/>
  <c r="L128" i="1"/>
  <c r="E93" i="1"/>
  <c r="F91" i="1"/>
  <c r="D87" i="1"/>
  <c r="K89" i="1"/>
  <c r="M93" i="1"/>
  <c r="L91" i="1"/>
  <c r="F93" i="1"/>
  <c r="D89" i="1"/>
  <c r="E91" i="1"/>
  <c r="K87" i="1"/>
  <c r="L93" i="1"/>
  <c r="M91" i="1"/>
  <c r="A132" i="10"/>
  <c r="A132" i="15"/>
  <c r="A132" i="20"/>
  <c r="A132" i="9"/>
  <c r="A132" i="21"/>
  <c r="AA36" i="20"/>
  <c r="AA35" i="19"/>
  <c r="AA37" i="19"/>
  <c r="AA36" i="19"/>
  <c r="AA34" i="19"/>
  <c r="AA36" i="8"/>
  <c r="AA37" i="8"/>
  <c r="AA34" i="8"/>
  <c r="AA35" i="8"/>
  <c r="AA34" i="6"/>
  <c r="AA35" i="6"/>
  <c r="AA36" i="6"/>
  <c r="AA37" i="6"/>
  <c r="AA35" i="4"/>
  <c r="AA37" i="4"/>
  <c r="AA35" i="9"/>
  <c r="AA34" i="4"/>
  <c r="AA36" i="7"/>
  <c r="AA32" i="20"/>
  <c r="AA37" i="7"/>
  <c r="AA37" i="9"/>
  <c r="AA34" i="20"/>
  <c r="AA34" i="7"/>
  <c r="AA34" i="9"/>
  <c r="AA35" i="20"/>
  <c r="AA36" i="15"/>
  <c r="AA35" i="21"/>
  <c r="AA35" i="10"/>
  <c r="AA30" i="21"/>
  <c r="AA37" i="10"/>
  <c r="AA36" i="21"/>
  <c r="AA36" i="14"/>
  <c r="AA34" i="14"/>
  <c r="AA35" i="14"/>
  <c r="AA34" i="10"/>
  <c r="AA37" i="21"/>
  <c r="AA36" i="10"/>
  <c r="AA34" i="21"/>
  <c r="AA37" i="15"/>
  <c r="AA34" i="15"/>
  <c r="AA37" i="14"/>
  <c r="AA37" i="3"/>
  <c r="AA34" i="3"/>
  <c r="AA35" i="3"/>
  <c r="AA36" i="3"/>
  <c r="AA30" i="9"/>
  <c r="AA30" i="19"/>
  <c r="AA32" i="7"/>
  <c r="AA30" i="4"/>
  <c r="AA32" i="6"/>
  <c r="AA30" i="10"/>
  <c r="AA32" i="10"/>
  <c r="AA32" i="3"/>
  <c r="AA30" i="7"/>
  <c r="AA32" i="4"/>
  <c r="AA32" i="15"/>
  <c r="AA30" i="20"/>
  <c r="AA32" i="14"/>
  <c r="AA30" i="14"/>
  <c r="AA32" i="21"/>
  <c r="AA32" i="9"/>
  <c r="AA32" i="19"/>
  <c r="AA32" i="8"/>
  <c r="AA30" i="8"/>
  <c r="AA30" i="6"/>
  <c r="AA30" i="3"/>
  <c r="K119" i="14"/>
  <c r="L43" i="1"/>
  <c r="L41" i="1"/>
  <c r="A119" i="7"/>
  <c r="A119" i="19"/>
  <c r="A125" i="6"/>
  <c r="A125" i="19"/>
  <c r="K119" i="21"/>
  <c r="K119" i="10"/>
  <c r="M32" i="4"/>
  <c r="A119" i="14"/>
  <c r="A119" i="10"/>
  <c r="M30" i="14"/>
  <c r="H28" i="16"/>
  <c r="K43" i="1" s="1"/>
  <c r="H26" i="16"/>
  <c r="K41" i="1" s="1"/>
  <c r="A67" i="18"/>
  <c r="A51" i="13"/>
  <c r="A65" i="18"/>
  <c r="A50" i="13"/>
  <c r="AA31" i="3"/>
  <c r="AA31" i="15"/>
  <c r="AA33" i="8"/>
  <c r="AU29" i="18"/>
  <c r="AU31" i="18"/>
  <c r="AA33" i="9"/>
  <c r="M28" i="11"/>
  <c r="A119" i="6"/>
  <c r="A119" i="4"/>
  <c r="M14" i="11"/>
  <c r="A125" i="8"/>
  <c r="M32" i="14"/>
  <c r="A119" i="15"/>
  <c r="M26" i="11"/>
  <c r="M32" i="3"/>
  <c r="A28" i="28" s="1"/>
  <c r="A125" i="3"/>
  <c r="M16" i="11"/>
  <c r="M8" i="11"/>
  <c r="M24" i="11"/>
  <c r="M30" i="3"/>
  <c r="A26" i="28" s="1"/>
  <c r="A119" i="3"/>
  <c r="A119" i="8"/>
  <c r="A119" i="9"/>
  <c r="A119" i="20"/>
  <c r="A119" i="21"/>
  <c r="AA28" i="21"/>
  <c r="AA31" i="21"/>
  <c r="AA33" i="21"/>
  <c r="AA29" i="21"/>
  <c r="AA31" i="20"/>
  <c r="AA33" i="20"/>
  <c r="AA28" i="20"/>
  <c r="AA29" i="20"/>
  <c r="AA29" i="19"/>
  <c r="AA31" i="19"/>
  <c r="AA28" i="19"/>
  <c r="AA33" i="19"/>
  <c r="AA29" i="9"/>
  <c r="AA28" i="9"/>
  <c r="AA31" i="9"/>
  <c r="AA31" i="8"/>
  <c r="AA29" i="8"/>
  <c r="AA28" i="8"/>
  <c r="AA28" i="15"/>
  <c r="AA33" i="15"/>
  <c r="AA29" i="15"/>
  <c r="AA31" i="6"/>
  <c r="AA33" i="6"/>
  <c r="AA28" i="6"/>
  <c r="AA29" i="6"/>
  <c r="AA33" i="14"/>
  <c r="AA31" i="14"/>
  <c r="AA29" i="14"/>
  <c r="AA28" i="14"/>
  <c r="AA31" i="4"/>
  <c r="AA29" i="4"/>
  <c r="AA33" i="4"/>
  <c r="AA28" i="4"/>
  <c r="AA28" i="3"/>
  <c r="AA29" i="3"/>
  <c r="AA33" i="3"/>
  <c r="AA28" i="7"/>
  <c r="AA29" i="7"/>
  <c r="AA29" i="10"/>
  <c r="AA33" i="7"/>
  <c r="AA31" i="10"/>
  <c r="AA28" i="10"/>
  <c r="AA33" i="10"/>
  <c r="AA31" i="7"/>
  <c r="F69" i="18" l="1"/>
  <c r="F71" i="18"/>
  <c r="B50" i="13"/>
  <c r="H50" i="13" s="1"/>
  <c r="B27" i="16"/>
  <c r="B51" i="13"/>
  <c r="B29" i="16"/>
  <c r="C30" i="1" s="1"/>
  <c r="G8" i="1" s="1"/>
  <c r="AB79" i="1"/>
  <c r="F67" i="18"/>
  <c r="J3" i="4"/>
  <c r="D3" i="4"/>
  <c r="E3" i="4"/>
  <c r="F3" i="4"/>
  <c r="G3" i="4"/>
  <c r="H3" i="4"/>
  <c r="I3" i="4"/>
  <c r="C3" i="4"/>
  <c r="K22" i="3"/>
  <c r="D18" i="1" l="1"/>
  <c r="F16" i="1"/>
  <c r="E26" i="1"/>
  <c r="AA78" i="1"/>
  <c r="AE85" i="1"/>
  <c r="AC81" i="1"/>
  <c r="AD83" i="1"/>
  <c r="C28" i="1"/>
  <c r="C125" i="1"/>
  <c r="J90" i="1"/>
  <c r="B73" i="19"/>
  <c r="C73" i="19"/>
  <c r="D73" i="19"/>
  <c r="E73" i="19"/>
  <c r="F73" i="19"/>
  <c r="G73" i="19"/>
  <c r="H73" i="19"/>
  <c r="I73" i="19"/>
  <c r="J73" i="19"/>
  <c r="F34" i="1" l="1"/>
  <c r="G16" i="1"/>
  <c r="J129" i="1"/>
  <c r="I128" i="1" s="1"/>
  <c r="A37" i="21"/>
  <c r="A126" i="21" s="1"/>
  <c r="A37" i="20"/>
  <c r="A139" i="20" s="1"/>
  <c r="A37" i="19"/>
  <c r="A139" i="19" s="1"/>
  <c r="D10" i="1"/>
  <c r="E12" i="1"/>
  <c r="D1" i="18"/>
  <c r="D3" i="18" s="1"/>
  <c r="AD24" i="13" l="1"/>
  <c r="AD22" i="13"/>
  <c r="AD20" i="13"/>
  <c r="AD18" i="13"/>
  <c r="AD16" i="13"/>
  <c r="AD14" i="13"/>
  <c r="AD12" i="13"/>
  <c r="AD10" i="13"/>
  <c r="AD8" i="13"/>
  <c r="AD6" i="13"/>
  <c r="H1" i="18" l="1"/>
  <c r="H3" i="18" s="1"/>
  <c r="F1" i="18"/>
  <c r="F3" i="18" s="1"/>
  <c r="W8" i="3"/>
  <c r="Y6" i="3"/>
  <c r="V6" i="4"/>
  <c r="Y6" i="14"/>
  <c r="X6" i="6"/>
  <c r="V6" i="6"/>
  <c r="W6" i="6"/>
  <c r="Y6" i="6"/>
  <c r="Z6" i="6"/>
  <c r="W6" i="15"/>
  <c r="X6" i="15"/>
  <c r="Y6" i="8"/>
  <c r="X6" i="9"/>
  <c r="V6" i="9"/>
  <c r="Y6" i="9"/>
  <c r="Z6" i="9"/>
  <c r="Z6" i="10"/>
  <c r="W6" i="19"/>
  <c r="Y6" i="19"/>
  <c r="Y6" i="20"/>
  <c r="X6" i="21"/>
  <c r="W6" i="21"/>
  <c r="Z6" i="21"/>
  <c r="V6" i="11"/>
  <c r="Z6" i="11"/>
  <c r="V8" i="3"/>
  <c r="Y8" i="4"/>
  <c r="Y8" i="14"/>
  <c r="V8" i="6"/>
  <c r="W8" i="6"/>
  <c r="X8" i="6"/>
  <c r="Y8" i="6"/>
  <c r="Z8" i="6"/>
  <c r="V8" i="15"/>
  <c r="W8" i="15"/>
  <c r="X8" i="15"/>
  <c r="Y8" i="15"/>
  <c r="Z8" i="15"/>
  <c r="Y8" i="8"/>
  <c r="V8" i="9"/>
  <c r="W8" i="9"/>
  <c r="X8" i="9"/>
  <c r="Y8" i="9"/>
  <c r="Z8" i="9"/>
  <c r="V8" i="10"/>
  <c r="Z8" i="10"/>
  <c r="V8" i="19"/>
  <c r="W8" i="19"/>
  <c r="X8" i="19"/>
  <c r="Y8" i="19"/>
  <c r="Z8" i="19"/>
  <c r="Y8" i="20"/>
  <c r="V8" i="21"/>
  <c r="W8" i="21"/>
  <c r="X8" i="21"/>
  <c r="Y8" i="21"/>
  <c r="Z8" i="21"/>
  <c r="X8" i="11"/>
  <c r="X10" i="4"/>
  <c r="X10" i="14"/>
  <c r="V10" i="6"/>
  <c r="W10" i="6"/>
  <c r="X10" i="6"/>
  <c r="Y10" i="6"/>
  <c r="Z10" i="6"/>
  <c r="Y10" i="7"/>
  <c r="V10" i="15"/>
  <c r="W10" i="15"/>
  <c r="X10" i="15"/>
  <c r="Y10" i="15"/>
  <c r="Z10" i="15"/>
  <c r="X10" i="8"/>
  <c r="V10" i="9"/>
  <c r="W10" i="9"/>
  <c r="X10" i="9"/>
  <c r="Y10" i="9"/>
  <c r="Z10" i="9"/>
  <c r="Y10" i="10"/>
  <c r="V10" i="19"/>
  <c r="W10" i="19"/>
  <c r="X10" i="19"/>
  <c r="Y10" i="19"/>
  <c r="Z10" i="19"/>
  <c r="X10" i="20"/>
  <c r="V10" i="21"/>
  <c r="W10" i="21"/>
  <c r="X10" i="21"/>
  <c r="Y10" i="21"/>
  <c r="Z10" i="21"/>
  <c r="Y10" i="11"/>
  <c r="V12" i="4"/>
  <c r="Z12" i="4"/>
  <c r="Y12" i="14"/>
  <c r="V12" i="6"/>
  <c r="W12" i="6"/>
  <c r="X12" i="6"/>
  <c r="Y12" i="6"/>
  <c r="Z12" i="6"/>
  <c r="Y12" i="7"/>
  <c r="V12" i="15"/>
  <c r="W12" i="15"/>
  <c r="X12" i="15"/>
  <c r="Y12" i="15"/>
  <c r="Z12" i="15"/>
  <c r="Y12" i="8"/>
  <c r="V12" i="9"/>
  <c r="W12" i="9"/>
  <c r="X12" i="9"/>
  <c r="Y12" i="9"/>
  <c r="Z12" i="9"/>
  <c r="W12" i="10"/>
  <c r="V12" i="19"/>
  <c r="W12" i="19"/>
  <c r="X12" i="19"/>
  <c r="Y12" i="19"/>
  <c r="Z12" i="19"/>
  <c r="Y12" i="20"/>
  <c r="V12" i="21"/>
  <c r="W12" i="21"/>
  <c r="X12" i="21"/>
  <c r="Y12" i="21"/>
  <c r="Z12" i="21"/>
  <c r="V12" i="11"/>
  <c r="Z12" i="11"/>
  <c r="V14" i="3"/>
  <c r="Z14" i="3"/>
  <c r="W14" i="4"/>
  <c r="V14" i="14"/>
  <c r="Z14" i="14"/>
  <c r="V14" i="6"/>
  <c r="W14" i="6"/>
  <c r="X14" i="6"/>
  <c r="Y14" i="6"/>
  <c r="Z14" i="6"/>
  <c r="V14" i="15"/>
  <c r="W14" i="15"/>
  <c r="X14" i="15"/>
  <c r="Y14" i="15"/>
  <c r="Z14" i="15"/>
  <c r="V14" i="8"/>
  <c r="Z14" i="8"/>
  <c r="V14" i="9"/>
  <c r="W14" i="9"/>
  <c r="X14" i="9"/>
  <c r="Y14" i="9"/>
  <c r="Z14" i="9"/>
  <c r="X14" i="10"/>
  <c r="V14" i="19"/>
  <c r="W14" i="19"/>
  <c r="X14" i="19"/>
  <c r="Y14" i="19"/>
  <c r="Z14" i="19"/>
  <c r="V14" i="20"/>
  <c r="Z14" i="20"/>
  <c r="V14" i="21"/>
  <c r="W14" i="21"/>
  <c r="X14" i="21"/>
  <c r="Y14" i="21"/>
  <c r="Z14" i="21"/>
  <c r="Y14" i="11"/>
  <c r="V16" i="3"/>
  <c r="Z16" i="3"/>
  <c r="X16" i="4"/>
  <c r="W16" i="14"/>
  <c r="V16" i="6"/>
  <c r="W16" i="6"/>
  <c r="X16" i="6"/>
  <c r="Y16" i="6"/>
  <c r="Z16" i="6"/>
  <c r="V16" i="15"/>
  <c r="W16" i="15"/>
  <c r="X16" i="15"/>
  <c r="Y16" i="15"/>
  <c r="Z16" i="15"/>
  <c r="W16" i="8"/>
  <c r="V16" i="9"/>
  <c r="W16" i="9"/>
  <c r="X16" i="9"/>
  <c r="Y16" i="9"/>
  <c r="Z16" i="9"/>
  <c r="X16" i="10"/>
  <c r="Y16" i="20"/>
  <c r="V16" i="21"/>
  <c r="W16" i="21"/>
  <c r="X16" i="21"/>
  <c r="Y16" i="21"/>
  <c r="Z16" i="21"/>
  <c r="Y16" i="11"/>
  <c r="V18" i="3"/>
  <c r="Z18" i="3"/>
  <c r="W18" i="4"/>
  <c r="V18" i="14"/>
  <c r="Z18" i="14"/>
  <c r="V18" i="6"/>
  <c r="W18" i="6"/>
  <c r="X18" i="6"/>
  <c r="Y18" i="6"/>
  <c r="Z18" i="6"/>
  <c r="W18" i="7"/>
  <c r="V18" i="15"/>
  <c r="W18" i="15"/>
  <c r="X18" i="15"/>
  <c r="Y18" i="15"/>
  <c r="Z18" i="15"/>
  <c r="V18" i="8"/>
  <c r="Z18" i="8"/>
  <c r="V18" i="9"/>
  <c r="W18" i="9"/>
  <c r="X18" i="9"/>
  <c r="Y18" i="9"/>
  <c r="Z18" i="9"/>
  <c r="V18" i="10"/>
  <c r="Z18" i="10"/>
  <c r="V18" i="19"/>
  <c r="W18" i="19"/>
  <c r="X18" i="19"/>
  <c r="Y18" i="19"/>
  <c r="Z18" i="19"/>
  <c r="V18" i="20"/>
  <c r="Z18" i="20"/>
  <c r="V18" i="21"/>
  <c r="W18" i="21"/>
  <c r="X18" i="21"/>
  <c r="Y18" i="21"/>
  <c r="Z18" i="21"/>
  <c r="V18" i="11"/>
  <c r="Z18" i="11"/>
  <c r="W20" i="3"/>
  <c r="X20" i="4"/>
  <c r="W20" i="14"/>
  <c r="V20" i="6"/>
  <c r="W20" i="6"/>
  <c r="X20" i="6"/>
  <c r="Y20" i="6"/>
  <c r="Z20" i="6"/>
  <c r="V20" i="15"/>
  <c r="W20" i="15"/>
  <c r="X20" i="15"/>
  <c r="Y20" i="15"/>
  <c r="Z20" i="15"/>
  <c r="W20" i="8"/>
  <c r="V20" i="9"/>
  <c r="W20" i="9"/>
  <c r="X20" i="9"/>
  <c r="Y20" i="9"/>
  <c r="Z20" i="9"/>
  <c r="V20" i="10"/>
  <c r="Z20" i="10"/>
  <c r="V20" i="19"/>
  <c r="W20" i="19"/>
  <c r="X20" i="19"/>
  <c r="Y20" i="19"/>
  <c r="Z20" i="19"/>
  <c r="W20" i="20"/>
  <c r="V20" i="21"/>
  <c r="W20" i="21"/>
  <c r="X20" i="21"/>
  <c r="Y20" i="21"/>
  <c r="Z20" i="21"/>
  <c r="X20" i="11"/>
  <c r="Y22" i="3"/>
  <c r="V22" i="4"/>
  <c r="X22" i="4"/>
  <c r="Y22" i="4"/>
  <c r="Z22" i="4"/>
  <c r="W22" i="14"/>
  <c r="X22" i="14"/>
  <c r="Y22" i="14"/>
  <c r="V22" i="6"/>
  <c r="W22" i="6"/>
  <c r="X22" i="6"/>
  <c r="Y22" i="6"/>
  <c r="Z22" i="6"/>
  <c r="V22" i="15"/>
  <c r="W22" i="15"/>
  <c r="X22" i="15"/>
  <c r="Y22" i="15"/>
  <c r="Z22" i="15"/>
  <c r="W22" i="8"/>
  <c r="X22" i="8"/>
  <c r="Y22" i="8"/>
  <c r="V22" i="9"/>
  <c r="W22" i="9"/>
  <c r="X22" i="9"/>
  <c r="Y22" i="9"/>
  <c r="Z22" i="9"/>
  <c r="W22" i="10"/>
  <c r="V22" i="19"/>
  <c r="W22" i="19"/>
  <c r="X22" i="19"/>
  <c r="Y22" i="19"/>
  <c r="Z22" i="19"/>
  <c r="W22" i="20"/>
  <c r="X22" i="20"/>
  <c r="Y22" i="20"/>
  <c r="V22" i="21"/>
  <c r="W22" i="21"/>
  <c r="X22" i="21"/>
  <c r="Y22" i="21"/>
  <c r="Z22" i="21"/>
  <c r="Y22" i="11"/>
  <c r="W24" i="3"/>
  <c r="V24" i="4"/>
  <c r="W24" i="4"/>
  <c r="Y24" i="4"/>
  <c r="Z24" i="4"/>
  <c r="V24" i="14"/>
  <c r="X24" i="14"/>
  <c r="Y24" i="14"/>
  <c r="Z24" i="14"/>
  <c r="V24" i="6"/>
  <c r="W24" i="6"/>
  <c r="X24" i="6"/>
  <c r="Y24" i="6"/>
  <c r="Z24" i="6"/>
  <c r="V24" i="15"/>
  <c r="W24" i="15"/>
  <c r="X24" i="15"/>
  <c r="Y24" i="15"/>
  <c r="Z24" i="15"/>
  <c r="V24" i="8"/>
  <c r="W24" i="8"/>
  <c r="X24" i="8"/>
  <c r="Y24" i="8"/>
  <c r="Z24" i="8"/>
  <c r="V24" i="9"/>
  <c r="W24" i="9"/>
  <c r="X24" i="9"/>
  <c r="Y24" i="9"/>
  <c r="Z24" i="9"/>
  <c r="Y24" i="10"/>
  <c r="V24" i="19"/>
  <c r="W24" i="19"/>
  <c r="X24" i="19"/>
  <c r="Y24" i="19"/>
  <c r="Z24" i="19"/>
  <c r="V24" i="20"/>
  <c r="W24" i="20"/>
  <c r="X24" i="20"/>
  <c r="Y24" i="20"/>
  <c r="Z24" i="20"/>
  <c r="V24" i="21"/>
  <c r="W24" i="21"/>
  <c r="X24" i="21"/>
  <c r="Y24" i="21"/>
  <c r="Z24" i="21"/>
  <c r="V24" i="11"/>
  <c r="Z24" i="11"/>
  <c r="W26" i="3"/>
  <c r="V26" i="4"/>
  <c r="W26" i="4"/>
  <c r="X26" i="4"/>
  <c r="Y26" i="4"/>
  <c r="Z26" i="4"/>
  <c r="V26" i="14"/>
  <c r="W26" i="14"/>
  <c r="X26" i="14"/>
  <c r="Y26" i="14"/>
  <c r="Z26" i="14"/>
  <c r="V26" i="6"/>
  <c r="W26" i="6"/>
  <c r="X26" i="6"/>
  <c r="Y26" i="6"/>
  <c r="Z26" i="6"/>
  <c r="V26" i="15"/>
  <c r="W26" i="15"/>
  <c r="X26" i="15"/>
  <c r="Y26" i="15"/>
  <c r="Z26" i="15"/>
  <c r="V26" i="8"/>
  <c r="W26" i="8"/>
  <c r="X26" i="8"/>
  <c r="Y26" i="8"/>
  <c r="Z26" i="8"/>
  <c r="V26" i="9"/>
  <c r="W26" i="9"/>
  <c r="X26" i="9"/>
  <c r="Y26" i="9"/>
  <c r="Z26" i="9"/>
  <c r="X26" i="10"/>
  <c r="V26" i="19"/>
  <c r="W26" i="19"/>
  <c r="X26" i="19"/>
  <c r="Y26" i="19"/>
  <c r="Z26" i="19"/>
  <c r="V26" i="20"/>
  <c r="W26" i="20"/>
  <c r="X26" i="20"/>
  <c r="Y26" i="20"/>
  <c r="Z26" i="20"/>
  <c r="V26" i="21"/>
  <c r="W26" i="21"/>
  <c r="X26" i="21"/>
  <c r="Y26" i="21"/>
  <c r="Z26" i="21"/>
  <c r="Y26" i="11"/>
  <c r="X28" i="11"/>
  <c r="K6" i="4"/>
  <c r="N6" i="4" s="1"/>
  <c r="R2" i="16"/>
  <c r="T2" i="16"/>
  <c r="V2" i="16"/>
  <c r="R24" i="16"/>
  <c r="T24" i="16"/>
  <c r="V24" i="16"/>
  <c r="K16" i="19"/>
  <c r="N26" i="19" s="1"/>
  <c r="K16" i="20"/>
  <c r="N26" i="20" s="1"/>
  <c r="K26" i="11"/>
  <c r="N26" i="11" s="1"/>
  <c r="J41" i="4"/>
  <c r="I41" i="4"/>
  <c r="H41" i="4"/>
  <c r="G41" i="4"/>
  <c r="F41" i="4"/>
  <c r="E41" i="4"/>
  <c r="D41" i="4"/>
  <c r="C41" i="4"/>
  <c r="B41" i="4"/>
  <c r="J6" i="14"/>
  <c r="J41" i="14" s="1"/>
  <c r="I6" i="14"/>
  <c r="I41" i="14" s="1"/>
  <c r="H6" i="14"/>
  <c r="H41" i="14" s="1"/>
  <c r="G6" i="14"/>
  <c r="G41" i="14" s="1"/>
  <c r="F6" i="14"/>
  <c r="F41" i="14" s="1"/>
  <c r="E6" i="14"/>
  <c r="E41" i="14" s="1"/>
  <c r="D6" i="14"/>
  <c r="D41" i="14" s="1"/>
  <c r="C6" i="14"/>
  <c r="C41" i="14" s="1"/>
  <c r="B6" i="14"/>
  <c r="B41" i="14" s="1"/>
  <c r="J80" i="20"/>
  <c r="I80" i="20"/>
  <c r="H80" i="20"/>
  <c r="G80" i="20"/>
  <c r="F80" i="20"/>
  <c r="E80" i="20"/>
  <c r="D80" i="20"/>
  <c r="C80" i="20"/>
  <c r="B80" i="20"/>
  <c r="J86" i="21"/>
  <c r="I86" i="21"/>
  <c r="H86" i="21"/>
  <c r="G86" i="21"/>
  <c r="F86" i="21"/>
  <c r="E86" i="21"/>
  <c r="D86" i="21"/>
  <c r="C86" i="21"/>
  <c r="B86" i="21"/>
  <c r="B60" i="21"/>
  <c r="C60" i="21"/>
  <c r="E60" i="21"/>
  <c r="F60" i="21"/>
  <c r="G60" i="21"/>
  <c r="H60" i="21"/>
  <c r="I60" i="21"/>
  <c r="J60" i="21"/>
  <c r="B54" i="21"/>
  <c r="C54" i="21"/>
  <c r="D54" i="21"/>
  <c r="E54" i="21"/>
  <c r="F54" i="21"/>
  <c r="G54" i="21"/>
  <c r="H54" i="21"/>
  <c r="I54" i="21"/>
  <c r="J54" i="21"/>
  <c r="B47" i="21"/>
  <c r="C47" i="21"/>
  <c r="D47" i="21"/>
  <c r="E47" i="21"/>
  <c r="F47" i="21"/>
  <c r="G47" i="21"/>
  <c r="H47" i="21"/>
  <c r="I47" i="21"/>
  <c r="J47" i="21"/>
  <c r="B67" i="21"/>
  <c r="C67" i="21"/>
  <c r="D67" i="21"/>
  <c r="E67" i="21"/>
  <c r="F67" i="21"/>
  <c r="G67" i="21"/>
  <c r="H67" i="21"/>
  <c r="I67" i="21"/>
  <c r="J67" i="21"/>
  <c r="B80" i="21"/>
  <c r="C80" i="21"/>
  <c r="D80" i="21"/>
  <c r="E80" i="21"/>
  <c r="F80" i="21"/>
  <c r="G80" i="21"/>
  <c r="H80" i="21"/>
  <c r="I80" i="21"/>
  <c r="J80" i="21"/>
  <c r="B106" i="21"/>
  <c r="C106" i="21"/>
  <c r="D106" i="21"/>
  <c r="E106" i="21"/>
  <c r="F106" i="21"/>
  <c r="G106" i="21"/>
  <c r="H106" i="21"/>
  <c r="I106" i="21"/>
  <c r="J106" i="21"/>
  <c r="C41" i="21"/>
  <c r="D41" i="21"/>
  <c r="E41" i="21"/>
  <c r="F41" i="21"/>
  <c r="G41" i="21"/>
  <c r="H41" i="21"/>
  <c r="I41" i="21"/>
  <c r="J41" i="21"/>
  <c r="B41" i="21"/>
  <c r="B8" i="10"/>
  <c r="C8" i="10"/>
  <c r="C60" i="10" s="1"/>
  <c r="D8" i="10"/>
  <c r="D60" i="10" s="1"/>
  <c r="E8" i="10"/>
  <c r="E60" i="10" s="1"/>
  <c r="F8" i="10"/>
  <c r="F60" i="10" s="1"/>
  <c r="G8" i="10"/>
  <c r="G60" i="10" s="1"/>
  <c r="H8" i="10"/>
  <c r="H60" i="10" s="1"/>
  <c r="I8" i="10"/>
  <c r="I60" i="10" s="1"/>
  <c r="J8" i="10"/>
  <c r="J60" i="10" s="1"/>
  <c r="B10" i="10"/>
  <c r="C10" i="10"/>
  <c r="C54" i="10" s="1"/>
  <c r="D10" i="10"/>
  <c r="D54" i="10" s="1"/>
  <c r="E10" i="10"/>
  <c r="E54" i="10" s="1"/>
  <c r="F10" i="10"/>
  <c r="F54" i="10" s="1"/>
  <c r="G10" i="10"/>
  <c r="G54" i="10" s="1"/>
  <c r="H10" i="10"/>
  <c r="H54" i="10" s="1"/>
  <c r="I10" i="10"/>
  <c r="I54" i="10" s="1"/>
  <c r="J10" i="10"/>
  <c r="J54" i="10" s="1"/>
  <c r="B12" i="10"/>
  <c r="B47" i="10" s="1"/>
  <c r="C12" i="10"/>
  <c r="C47" i="10" s="1"/>
  <c r="D12" i="10"/>
  <c r="D47" i="10" s="1"/>
  <c r="E12" i="10"/>
  <c r="E47" i="10" s="1"/>
  <c r="F12" i="10"/>
  <c r="F47" i="10" s="1"/>
  <c r="G12" i="10"/>
  <c r="G47" i="10" s="1"/>
  <c r="H12" i="10"/>
  <c r="H47" i="10" s="1"/>
  <c r="I12" i="10"/>
  <c r="I47" i="10" s="1"/>
  <c r="J12" i="10"/>
  <c r="J47" i="10" s="1"/>
  <c r="B14" i="10"/>
  <c r="C14" i="10"/>
  <c r="C67" i="10" s="1"/>
  <c r="D14" i="10"/>
  <c r="D67" i="10" s="1"/>
  <c r="E14" i="10"/>
  <c r="E67" i="10" s="1"/>
  <c r="F14" i="10"/>
  <c r="F67" i="10" s="1"/>
  <c r="G14" i="10"/>
  <c r="G67" i="10" s="1"/>
  <c r="H14" i="10"/>
  <c r="H67" i="10" s="1"/>
  <c r="I14" i="10"/>
  <c r="I67" i="10" s="1"/>
  <c r="J14" i="10"/>
  <c r="J67" i="10" s="1"/>
  <c r="B16" i="10"/>
  <c r="B86" i="10" s="1"/>
  <c r="C16" i="10"/>
  <c r="C86" i="10" s="1"/>
  <c r="D16" i="10"/>
  <c r="D86" i="10" s="1"/>
  <c r="E16" i="10"/>
  <c r="E86" i="10" s="1"/>
  <c r="F16" i="10"/>
  <c r="F86" i="10" s="1"/>
  <c r="G16" i="10"/>
  <c r="G86" i="10" s="1"/>
  <c r="H16" i="10"/>
  <c r="H86" i="10" s="1"/>
  <c r="I16" i="10"/>
  <c r="I86" i="10" s="1"/>
  <c r="J16" i="10"/>
  <c r="J86" i="10" s="1"/>
  <c r="B18" i="10"/>
  <c r="C18" i="10"/>
  <c r="C80" i="10" s="1"/>
  <c r="D18" i="10"/>
  <c r="D80" i="10" s="1"/>
  <c r="E18" i="10"/>
  <c r="E80" i="10" s="1"/>
  <c r="F18" i="10"/>
  <c r="F80" i="10" s="1"/>
  <c r="G18" i="10"/>
  <c r="G80" i="10" s="1"/>
  <c r="H18" i="10"/>
  <c r="H80" i="10" s="1"/>
  <c r="I18" i="10"/>
  <c r="I80" i="10" s="1"/>
  <c r="J18" i="10"/>
  <c r="J80" i="10" s="1"/>
  <c r="B20" i="10"/>
  <c r="B73" i="10" s="1"/>
  <c r="C20" i="10"/>
  <c r="C73" i="10" s="1"/>
  <c r="D20" i="10"/>
  <c r="D73" i="10" s="1"/>
  <c r="E20" i="10"/>
  <c r="E73" i="10" s="1"/>
  <c r="F20" i="10"/>
  <c r="F73" i="10" s="1"/>
  <c r="G20" i="10"/>
  <c r="G73" i="10" s="1"/>
  <c r="H20" i="10"/>
  <c r="H73" i="10" s="1"/>
  <c r="I20" i="10"/>
  <c r="I73" i="10" s="1"/>
  <c r="J20" i="10"/>
  <c r="J73" i="10" s="1"/>
  <c r="B22" i="10"/>
  <c r="B93" i="10" s="1"/>
  <c r="C22" i="10"/>
  <c r="C93" i="10" s="1"/>
  <c r="D22" i="10"/>
  <c r="D93" i="10" s="1"/>
  <c r="E22" i="10"/>
  <c r="E93" i="10" s="1"/>
  <c r="F22" i="10"/>
  <c r="F93" i="10" s="1"/>
  <c r="G22" i="10"/>
  <c r="G93" i="10" s="1"/>
  <c r="H22" i="10"/>
  <c r="H93" i="10" s="1"/>
  <c r="I22" i="10"/>
  <c r="I93" i="10" s="1"/>
  <c r="J22" i="10"/>
  <c r="J93" i="10" s="1"/>
  <c r="B24" i="10"/>
  <c r="B112" i="10" s="1"/>
  <c r="C24" i="10"/>
  <c r="C112" i="10" s="1"/>
  <c r="D24" i="10"/>
  <c r="D112" i="10" s="1"/>
  <c r="E24" i="10"/>
  <c r="E112" i="10" s="1"/>
  <c r="F24" i="10"/>
  <c r="F112" i="10" s="1"/>
  <c r="G24" i="10"/>
  <c r="G112" i="10" s="1"/>
  <c r="H24" i="10"/>
  <c r="H112" i="10" s="1"/>
  <c r="I24" i="10"/>
  <c r="I112" i="10" s="1"/>
  <c r="J24" i="10"/>
  <c r="J112" i="10" s="1"/>
  <c r="B26" i="10"/>
  <c r="C26" i="10"/>
  <c r="C106" i="10" s="1"/>
  <c r="D26" i="10"/>
  <c r="D106" i="10" s="1"/>
  <c r="E26" i="10"/>
  <c r="E106" i="10" s="1"/>
  <c r="F26" i="10"/>
  <c r="F106" i="10" s="1"/>
  <c r="G26" i="10"/>
  <c r="G106" i="10" s="1"/>
  <c r="H26" i="10"/>
  <c r="H106" i="10" s="1"/>
  <c r="I26" i="10"/>
  <c r="I106" i="10" s="1"/>
  <c r="J26" i="10"/>
  <c r="J106" i="10" s="1"/>
  <c r="B28" i="10"/>
  <c r="B99" i="10" s="1"/>
  <c r="C28" i="10"/>
  <c r="C99" i="10" s="1"/>
  <c r="D28" i="10"/>
  <c r="D99" i="10" s="1"/>
  <c r="E28" i="10"/>
  <c r="E99" i="10" s="1"/>
  <c r="F28" i="10"/>
  <c r="F99" i="10" s="1"/>
  <c r="G28" i="10"/>
  <c r="G99" i="10" s="1"/>
  <c r="H28" i="10"/>
  <c r="H99" i="10" s="1"/>
  <c r="I28" i="10"/>
  <c r="I99" i="10" s="1"/>
  <c r="J28" i="10"/>
  <c r="J99" i="10" s="1"/>
  <c r="C6" i="10"/>
  <c r="C41" i="10" s="1"/>
  <c r="D6" i="10"/>
  <c r="D41" i="10" s="1"/>
  <c r="E6" i="10"/>
  <c r="E41" i="10" s="1"/>
  <c r="F6" i="10"/>
  <c r="F41" i="10" s="1"/>
  <c r="G6" i="10"/>
  <c r="G41" i="10" s="1"/>
  <c r="H6" i="10"/>
  <c r="H41" i="10" s="1"/>
  <c r="I6" i="10"/>
  <c r="I41" i="10" s="1"/>
  <c r="J6" i="10"/>
  <c r="J41" i="10" s="1"/>
  <c r="B6" i="10"/>
  <c r="B8" i="15"/>
  <c r="B60" i="15" s="1"/>
  <c r="C8" i="15"/>
  <c r="C60" i="15" s="1"/>
  <c r="D8" i="15"/>
  <c r="D60" i="15" s="1"/>
  <c r="E8" i="15"/>
  <c r="E60" i="15" s="1"/>
  <c r="F8" i="15"/>
  <c r="F60" i="15" s="1"/>
  <c r="G8" i="15"/>
  <c r="G60" i="15" s="1"/>
  <c r="H8" i="15"/>
  <c r="H60" i="15" s="1"/>
  <c r="I8" i="15"/>
  <c r="I60" i="15" s="1"/>
  <c r="J8" i="15"/>
  <c r="J60" i="15" s="1"/>
  <c r="B10" i="15"/>
  <c r="B54" i="15" s="1"/>
  <c r="C10" i="15"/>
  <c r="C54" i="15" s="1"/>
  <c r="D10" i="15"/>
  <c r="D54" i="15" s="1"/>
  <c r="E10" i="15"/>
  <c r="E54" i="15" s="1"/>
  <c r="F10" i="15"/>
  <c r="F54" i="15" s="1"/>
  <c r="G10" i="15"/>
  <c r="G54" i="15" s="1"/>
  <c r="H10" i="15"/>
  <c r="H54" i="15" s="1"/>
  <c r="I10" i="15"/>
  <c r="I54" i="15" s="1"/>
  <c r="J10" i="15"/>
  <c r="J54" i="15" s="1"/>
  <c r="B12" i="15"/>
  <c r="B47" i="15" s="1"/>
  <c r="C12" i="15"/>
  <c r="C47" i="15" s="1"/>
  <c r="D12" i="15"/>
  <c r="D47" i="15" s="1"/>
  <c r="E12" i="15"/>
  <c r="E47" i="15" s="1"/>
  <c r="F12" i="15"/>
  <c r="F47" i="15" s="1"/>
  <c r="G12" i="15"/>
  <c r="G47" i="15" s="1"/>
  <c r="H12" i="15"/>
  <c r="H47" i="15" s="1"/>
  <c r="I12" i="15"/>
  <c r="I47" i="15" s="1"/>
  <c r="J12" i="15"/>
  <c r="J47" i="15" s="1"/>
  <c r="B14" i="15"/>
  <c r="B67" i="15" s="1"/>
  <c r="C14" i="15"/>
  <c r="C67" i="15" s="1"/>
  <c r="D14" i="15"/>
  <c r="D67" i="15" s="1"/>
  <c r="E14" i="15"/>
  <c r="E67" i="15" s="1"/>
  <c r="F14" i="15"/>
  <c r="F67" i="15" s="1"/>
  <c r="G14" i="15"/>
  <c r="G67" i="15" s="1"/>
  <c r="H14" i="15"/>
  <c r="H67" i="15" s="1"/>
  <c r="I14" i="15"/>
  <c r="I67" i="15" s="1"/>
  <c r="J14" i="15"/>
  <c r="J67" i="15" s="1"/>
  <c r="B16" i="15"/>
  <c r="B86" i="15" s="1"/>
  <c r="C16" i="15"/>
  <c r="C86" i="15" s="1"/>
  <c r="D16" i="15"/>
  <c r="D86" i="15" s="1"/>
  <c r="E16" i="15"/>
  <c r="E86" i="15" s="1"/>
  <c r="F16" i="15"/>
  <c r="F86" i="15" s="1"/>
  <c r="G16" i="15"/>
  <c r="G86" i="15" s="1"/>
  <c r="H16" i="15"/>
  <c r="H86" i="15" s="1"/>
  <c r="I16" i="15"/>
  <c r="I86" i="15" s="1"/>
  <c r="J16" i="15"/>
  <c r="J86" i="15" s="1"/>
  <c r="B18" i="15"/>
  <c r="B80" i="15" s="1"/>
  <c r="C18" i="15"/>
  <c r="C80" i="15" s="1"/>
  <c r="D18" i="15"/>
  <c r="E18" i="15"/>
  <c r="E80" i="15" s="1"/>
  <c r="F18" i="15"/>
  <c r="F80" i="15" s="1"/>
  <c r="G18" i="15"/>
  <c r="G80" i="15" s="1"/>
  <c r="H18" i="15"/>
  <c r="H80" i="15" s="1"/>
  <c r="I18" i="15"/>
  <c r="I80" i="15" s="1"/>
  <c r="J18" i="15"/>
  <c r="J80" i="15" s="1"/>
  <c r="B20" i="15"/>
  <c r="B73" i="15" s="1"/>
  <c r="C20" i="15"/>
  <c r="C73" i="15" s="1"/>
  <c r="D20" i="15"/>
  <c r="D73" i="15" s="1"/>
  <c r="E20" i="15"/>
  <c r="E73" i="15" s="1"/>
  <c r="F20" i="15"/>
  <c r="F73" i="15" s="1"/>
  <c r="G20" i="15"/>
  <c r="G73" i="15" s="1"/>
  <c r="H20" i="15"/>
  <c r="H73" i="15" s="1"/>
  <c r="I20" i="15"/>
  <c r="I73" i="15" s="1"/>
  <c r="J20" i="15"/>
  <c r="J73" i="15" s="1"/>
  <c r="B22" i="15"/>
  <c r="B93" i="15" s="1"/>
  <c r="C22" i="15"/>
  <c r="C93" i="15" s="1"/>
  <c r="D22" i="15"/>
  <c r="D93" i="15" s="1"/>
  <c r="E22" i="15"/>
  <c r="E93" i="15" s="1"/>
  <c r="F22" i="15"/>
  <c r="F93" i="15" s="1"/>
  <c r="G22" i="15"/>
  <c r="G93" i="15" s="1"/>
  <c r="H22" i="15"/>
  <c r="H93" i="15" s="1"/>
  <c r="I22" i="15"/>
  <c r="I93" i="15" s="1"/>
  <c r="J22" i="15"/>
  <c r="J93" i="15" s="1"/>
  <c r="B24" i="15"/>
  <c r="B112" i="15" s="1"/>
  <c r="C24" i="15"/>
  <c r="C112" i="15" s="1"/>
  <c r="D24" i="15"/>
  <c r="D112" i="15" s="1"/>
  <c r="E24" i="15"/>
  <c r="E112" i="15" s="1"/>
  <c r="F24" i="15"/>
  <c r="F112" i="15" s="1"/>
  <c r="G24" i="15"/>
  <c r="G112" i="15" s="1"/>
  <c r="H24" i="15"/>
  <c r="H112" i="15" s="1"/>
  <c r="I24" i="15"/>
  <c r="I112" i="15" s="1"/>
  <c r="J24" i="15"/>
  <c r="J112" i="15" s="1"/>
  <c r="B26" i="15"/>
  <c r="B106" i="15" s="1"/>
  <c r="C26" i="15"/>
  <c r="C106" i="15" s="1"/>
  <c r="D26" i="15"/>
  <c r="D106" i="15" s="1"/>
  <c r="E26" i="15"/>
  <c r="E106" i="15" s="1"/>
  <c r="F26" i="15"/>
  <c r="F106" i="15" s="1"/>
  <c r="G26" i="15"/>
  <c r="G106" i="15" s="1"/>
  <c r="H26" i="15"/>
  <c r="H106" i="15" s="1"/>
  <c r="I26" i="15"/>
  <c r="I106" i="15" s="1"/>
  <c r="J26" i="15"/>
  <c r="J106" i="15" s="1"/>
  <c r="B28" i="15"/>
  <c r="B99" i="15" s="1"/>
  <c r="C28" i="15"/>
  <c r="C99" i="15" s="1"/>
  <c r="D28" i="15"/>
  <c r="D99" i="15" s="1"/>
  <c r="E28" i="15"/>
  <c r="E99" i="15" s="1"/>
  <c r="F28" i="15"/>
  <c r="F99" i="15" s="1"/>
  <c r="G28" i="15"/>
  <c r="G99" i="15" s="1"/>
  <c r="H28" i="15"/>
  <c r="H99" i="15" s="1"/>
  <c r="I28" i="15"/>
  <c r="I99" i="15" s="1"/>
  <c r="J28" i="15"/>
  <c r="J99" i="15" s="1"/>
  <c r="C6" i="15"/>
  <c r="C41" i="15" s="1"/>
  <c r="D6" i="15"/>
  <c r="D41" i="15" s="1"/>
  <c r="E6" i="15"/>
  <c r="E41" i="15" s="1"/>
  <c r="F6" i="15"/>
  <c r="F41" i="15" s="1"/>
  <c r="G6" i="15"/>
  <c r="G41" i="15" s="1"/>
  <c r="H6" i="15"/>
  <c r="H41" i="15" s="1"/>
  <c r="I6" i="15"/>
  <c r="I41" i="15" s="1"/>
  <c r="J6" i="15"/>
  <c r="J41" i="15" s="1"/>
  <c r="B6" i="15"/>
  <c r="B8" i="14"/>
  <c r="C8" i="14"/>
  <c r="C60" i="14" s="1"/>
  <c r="D8" i="14"/>
  <c r="D60" i="14" s="1"/>
  <c r="E8" i="14"/>
  <c r="E60" i="14" s="1"/>
  <c r="F8" i="14"/>
  <c r="F60" i="14" s="1"/>
  <c r="G8" i="14"/>
  <c r="G60" i="14" s="1"/>
  <c r="H8" i="14"/>
  <c r="H60" i="14" s="1"/>
  <c r="I8" i="14"/>
  <c r="I60" i="14" s="1"/>
  <c r="J8" i="14"/>
  <c r="J60" i="14" s="1"/>
  <c r="B10" i="14"/>
  <c r="B54" i="14" s="1"/>
  <c r="C10" i="14"/>
  <c r="C54" i="14" s="1"/>
  <c r="D10" i="14"/>
  <c r="D54" i="14" s="1"/>
  <c r="E10" i="14"/>
  <c r="E54" i="14" s="1"/>
  <c r="F10" i="14"/>
  <c r="F54" i="14" s="1"/>
  <c r="G10" i="14"/>
  <c r="G54" i="14" s="1"/>
  <c r="H10" i="14"/>
  <c r="H54" i="14" s="1"/>
  <c r="I10" i="14"/>
  <c r="I54" i="14" s="1"/>
  <c r="J10" i="14"/>
  <c r="J54" i="14" s="1"/>
  <c r="B12" i="14"/>
  <c r="B47" i="14" s="1"/>
  <c r="C12" i="14"/>
  <c r="C47" i="14" s="1"/>
  <c r="D12" i="14"/>
  <c r="D47" i="14" s="1"/>
  <c r="E12" i="14"/>
  <c r="E47" i="14" s="1"/>
  <c r="F12" i="14"/>
  <c r="F47" i="14" s="1"/>
  <c r="G12" i="14"/>
  <c r="G47" i="14" s="1"/>
  <c r="H12" i="14"/>
  <c r="H47" i="14" s="1"/>
  <c r="I12" i="14"/>
  <c r="I47" i="14" s="1"/>
  <c r="J12" i="14"/>
  <c r="J47" i="14" s="1"/>
  <c r="B14" i="14"/>
  <c r="B67" i="14" s="1"/>
  <c r="C14" i="14"/>
  <c r="C67" i="14" s="1"/>
  <c r="D14" i="14"/>
  <c r="D67" i="14" s="1"/>
  <c r="E14" i="14"/>
  <c r="E67" i="14" s="1"/>
  <c r="F14" i="14"/>
  <c r="F67" i="14" s="1"/>
  <c r="G14" i="14"/>
  <c r="G67" i="14" s="1"/>
  <c r="H14" i="14"/>
  <c r="H67" i="14" s="1"/>
  <c r="I14" i="14"/>
  <c r="I67" i="14" s="1"/>
  <c r="J14" i="14"/>
  <c r="J67" i="14" s="1"/>
  <c r="B16" i="14"/>
  <c r="C16" i="14"/>
  <c r="C86" i="14" s="1"/>
  <c r="D16" i="14"/>
  <c r="D86" i="14" s="1"/>
  <c r="E16" i="14"/>
  <c r="E86" i="14" s="1"/>
  <c r="F16" i="14"/>
  <c r="F86" i="14" s="1"/>
  <c r="G16" i="14"/>
  <c r="G86" i="14" s="1"/>
  <c r="H16" i="14"/>
  <c r="H86" i="14" s="1"/>
  <c r="I16" i="14"/>
  <c r="I86" i="14" s="1"/>
  <c r="J16" i="14"/>
  <c r="J86" i="14" s="1"/>
  <c r="B18" i="14"/>
  <c r="B80" i="14" s="1"/>
  <c r="C18" i="14"/>
  <c r="C80" i="14" s="1"/>
  <c r="D18" i="14"/>
  <c r="D80" i="14" s="1"/>
  <c r="E18" i="14"/>
  <c r="E80" i="14" s="1"/>
  <c r="F18" i="14"/>
  <c r="F80" i="14" s="1"/>
  <c r="G18" i="14"/>
  <c r="G80" i="14" s="1"/>
  <c r="H18" i="14"/>
  <c r="H80" i="14" s="1"/>
  <c r="I18" i="14"/>
  <c r="I80" i="14" s="1"/>
  <c r="J18" i="14"/>
  <c r="J80" i="14" s="1"/>
  <c r="B20" i="14"/>
  <c r="B73" i="14" s="1"/>
  <c r="C20" i="14"/>
  <c r="C73" i="14" s="1"/>
  <c r="D20" i="14"/>
  <c r="D73" i="14" s="1"/>
  <c r="E20" i="14"/>
  <c r="E73" i="14" s="1"/>
  <c r="F20" i="14"/>
  <c r="F73" i="14" s="1"/>
  <c r="G20" i="14"/>
  <c r="G73" i="14" s="1"/>
  <c r="H20" i="14"/>
  <c r="H73" i="14" s="1"/>
  <c r="I20" i="14"/>
  <c r="I73" i="14" s="1"/>
  <c r="J20" i="14"/>
  <c r="J73" i="14" s="1"/>
  <c r="B22" i="14"/>
  <c r="B93" i="14" s="1"/>
  <c r="C22" i="14"/>
  <c r="C93" i="14" s="1"/>
  <c r="D22" i="14"/>
  <c r="D93" i="14" s="1"/>
  <c r="E22" i="14"/>
  <c r="E93" i="14" s="1"/>
  <c r="F22" i="14"/>
  <c r="F93" i="14" s="1"/>
  <c r="G22" i="14"/>
  <c r="G93" i="14" s="1"/>
  <c r="H22" i="14"/>
  <c r="H93" i="14" s="1"/>
  <c r="I22" i="14"/>
  <c r="I93" i="14" s="1"/>
  <c r="J22" i="14"/>
  <c r="J93" i="14" s="1"/>
  <c r="B24" i="14"/>
  <c r="B112" i="14" s="1"/>
  <c r="C24" i="14"/>
  <c r="C112" i="14" s="1"/>
  <c r="D24" i="14"/>
  <c r="D112" i="14" s="1"/>
  <c r="E24" i="14"/>
  <c r="E112" i="14" s="1"/>
  <c r="F24" i="14"/>
  <c r="F112" i="14" s="1"/>
  <c r="G24" i="14"/>
  <c r="G112" i="14" s="1"/>
  <c r="H24" i="14"/>
  <c r="H112" i="14" s="1"/>
  <c r="I24" i="14"/>
  <c r="I112" i="14" s="1"/>
  <c r="J24" i="14"/>
  <c r="J112" i="14" s="1"/>
  <c r="B26" i="14"/>
  <c r="B106" i="14" s="1"/>
  <c r="C26" i="14"/>
  <c r="C106" i="14" s="1"/>
  <c r="D26" i="14"/>
  <c r="D106" i="14" s="1"/>
  <c r="E26" i="14"/>
  <c r="E106" i="14" s="1"/>
  <c r="F26" i="14"/>
  <c r="F106" i="14" s="1"/>
  <c r="G26" i="14"/>
  <c r="G106" i="14" s="1"/>
  <c r="H26" i="14"/>
  <c r="H106" i="14" s="1"/>
  <c r="I26" i="14"/>
  <c r="I106" i="14" s="1"/>
  <c r="J26" i="14"/>
  <c r="J106" i="14" s="1"/>
  <c r="B28" i="14"/>
  <c r="B99" i="14" s="1"/>
  <c r="C28" i="14"/>
  <c r="C99" i="14" s="1"/>
  <c r="D28" i="14"/>
  <c r="D99" i="14" s="1"/>
  <c r="E28" i="14"/>
  <c r="E99" i="14" s="1"/>
  <c r="F28" i="14"/>
  <c r="F99" i="14" s="1"/>
  <c r="G28" i="14"/>
  <c r="G99" i="14" s="1"/>
  <c r="H28" i="14"/>
  <c r="H99" i="14" s="1"/>
  <c r="I28" i="14"/>
  <c r="I99" i="14" s="1"/>
  <c r="J28" i="14"/>
  <c r="J99" i="14" s="1"/>
  <c r="K28" i="3"/>
  <c r="N28" i="3" s="1"/>
  <c r="K6" i="3"/>
  <c r="N6" i="3" s="1"/>
  <c r="K8" i="3"/>
  <c r="N8" i="3" s="1"/>
  <c r="K10" i="3"/>
  <c r="N10" i="3" s="1"/>
  <c r="K12" i="3"/>
  <c r="N12" i="3" s="1"/>
  <c r="K14" i="3"/>
  <c r="N14" i="3" s="1"/>
  <c r="K16" i="3"/>
  <c r="N16" i="3" s="1"/>
  <c r="K18" i="3"/>
  <c r="N18" i="3" s="1"/>
  <c r="K20" i="3"/>
  <c r="N20" i="3" s="1"/>
  <c r="N22" i="3"/>
  <c r="K24" i="3"/>
  <c r="N24" i="3" s="1"/>
  <c r="K26" i="3"/>
  <c r="N26" i="3" s="1"/>
  <c r="J41" i="3"/>
  <c r="J47" i="3"/>
  <c r="I41" i="3"/>
  <c r="I47" i="3"/>
  <c r="H41" i="3"/>
  <c r="H47" i="3"/>
  <c r="G41" i="3"/>
  <c r="G47" i="3"/>
  <c r="F41" i="3"/>
  <c r="F47" i="3"/>
  <c r="E41" i="3"/>
  <c r="E47" i="3"/>
  <c r="D41" i="3"/>
  <c r="D47" i="3"/>
  <c r="C41" i="3"/>
  <c r="C47" i="3"/>
  <c r="B41" i="3"/>
  <c r="B47" i="3"/>
  <c r="B41" i="19"/>
  <c r="C41" i="19"/>
  <c r="D41" i="19"/>
  <c r="E41" i="19"/>
  <c r="F41" i="19"/>
  <c r="G41" i="19"/>
  <c r="H41" i="19"/>
  <c r="I41" i="19"/>
  <c r="J41" i="19"/>
  <c r="C2" i="20"/>
  <c r="C2" i="21" s="1"/>
  <c r="D2" i="20"/>
  <c r="D2" i="21" s="1"/>
  <c r="E2" i="20"/>
  <c r="E2" i="21" s="1"/>
  <c r="F2" i="20"/>
  <c r="F2" i="21" s="1"/>
  <c r="G2" i="20"/>
  <c r="G2" i="21" s="1"/>
  <c r="H2" i="20"/>
  <c r="H2" i="21" s="1"/>
  <c r="I2" i="20"/>
  <c r="I2" i="21" s="1"/>
  <c r="J2" i="20"/>
  <c r="J2" i="21" s="1"/>
  <c r="C3" i="20"/>
  <c r="C3" i="21" s="1"/>
  <c r="D3" i="20"/>
  <c r="D3" i="21" s="1"/>
  <c r="E3" i="20"/>
  <c r="E3" i="21" s="1"/>
  <c r="F3" i="20"/>
  <c r="F3" i="21" s="1"/>
  <c r="G3" i="20"/>
  <c r="G3" i="21" s="1"/>
  <c r="H3" i="20"/>
  <c r="H3" i="21" s="1"/>
  <c r="I3" i="20"/>
  <c r="I3" i="21" s="1"/>
  <c r="J3" i="20"/>
  <c r="J3" i="21" s="1"/>
  <c r="C4" i="20"/>
  <c r="C4" i="21" s="1"/>
  <c r="D4" i="20"/>
  <c r="D4" i="21" s="1"/>
  <c r="E4" i="20"/>
  <c r="E4" i="21" s="1"/>
  <c r="F4" i="20"/>
  <c r="F4" i="21" s="1"/>
  <c r="G4" i="20"/>
  <c r="G4" i="21" s="1"/>
  <c r="H4" i="20"/>
  <c r="H4" i="21" s="1"/>
  <c r="I4" i="20"/>
  <c r="I4" i="21" s="1"/>
  <c r="J4" i="20"/>
  <c r="J4" i="21" s="1"/>
  <c r="B3" i="20"/>
  <c r="B3" i="21" s="1"/>
  <c r="B4" i="20"/>
  <c r="B4" i="21" s="1"/>
  <c r="B2" i="20"/>
  <c r="B2" i="21" s="1"/>
  <c r="C2" i="19"/>
  <c r="D2" i="19"/>
  <c r="E2" i="19"/>
  <c r="F2" i="19"/>
  <c r="G2" i="19"/>
  <c r="H2" i="19"/>
  <c r="I2" i="19"/>
  <c r="J2" i="19"/>
  <c r="C3" i="19"/>
  <c r="D3" i="19"/>
  <c r="E3" i="19"/>
  <c r="F3" i="19"/>
  <c r="G3" i="19"/>
  <c r="H3" i="19"/>
  <c r="I3" i="19"/>
  <c r="J3" i="19"/>
  <c r="C4" i="19"/>
  <c r="D4" i="19"/>
  <c r="E4" i="19"/>
  <c r="F4" i="19"/>
  <c r="G4" i="19"/>
  <c r="H4" i="19"/>
  <c r="I4" i="19"/>
  <c r="J4" i="19"/>
  <c r="B3" i="19"/>
  <c r="B4" i="19"/>
  <c r="B2" i="19"/>
  <c r="L41" i="17"/>
  <c r="L37" i="17"/>
  <c r="B2" i="7"/>
  <c r="B2" i="15" s="1"/>
  <c r="C2" i="7"/>
  <c r="C2" i="15" s="1"/>
  <c r="D2" i="7"/>
  <c r="D2" i="15" s="1"/>
  <c r="E2" i="7"/>
  <c r="E2" i="15" s="1"/>
  <c r="F2" i="7"/>
  <c r="F2" i="15" s="1"/>
  <c r="G2" i="7"/>
  <c r="G2" i="15" s="1"/>
  <c r="H2" i="7"/>
  <c r="H2" i="15" s="1"/>
  <c r="I2" i="7"/>
  <c r="I2" i="15" s="1"/>
  <c r="J2" i="7"/>
  <c r="J2" i="15" s="1"/>
  <c r="L62" i="17"/>
  <c r="L58" i="17"/>
  <c r="K6" i="19"/>
  <c r="N24" i="19" s="1"/>
  <c r="J4" i="9"/>
  <c r="J4" i="10" s="1"/>
  <c r="B4" i="9"/>
  <c r="B4" i="10" s="1"/>
  <c r="C4" i="9"/>
  <c r="C4" i="10" s="1"/>
  <c r="D4" i="9"/>
  <c r="D4" i="10" s="1"/>
  <c r="E4" i="9"/>
  <c r="E4" i="10" s="1"/>
  <c r="F4" i="9"/>
  <c r="F4" i="10" s="1"/>
  <c r="G4" i="9"/>
  <c r="G4" i="10" s="1"/>
  <c r="H4" i="9"/>
  <c r="H4" i="10" s="1"/>
  <c r="I4" i="9"/>
  <c r="I4" i="10" s="1"/>
  <c r="J4" i="8"/>
  <c r="B4" i="8"/>
  <c r="C4" i="8"/>
  <c r="D4" i="8"/>
  <c r="E4" i="8"/>
  <c r="F4" i="8"/>
  <c r="G4" i="8"/>
  <c r="H4" i="8"/>
  <c r="I4" i="8"/>
  <c r="J4" i="7"/>
  <c r="J4" i="15" s="1"/>
  <c r="B4" i="7"/>
  <c r="B4" i="15" s="1"/>
  <c r="C4" i="7"/>
  <c r="C4" i="15" s="1"/>
  <c r="D4" i="7"/>
  <c r="D4" i="15" s="1"/>
  <c r="E4" i="7"/>
  <c r="E4" i="15" s="1"/>
  <c r="F4" i="7"/>
  <c r="F4" i="15" s="1"/>
  <c r="G4" i="7"/>
  <c r="G4" i="15" s="1"/>
  <c r="H4" i="7"/>
  <c r="H4" i="15" s="1"/>
  <c r="I4" i="7"/>
  <c r="I4" i="15" s="1"/>
  <c r="J4" i="6"/>
  <c r="B4" i="6"/>
  <c r="C4" i="6"/>
  <c r="D4" i="6"/>
  <c r="E4" i="6"/>
  <c r="F4" i="6"/>
  <c r="G4" i="6"/>
  <c r="H4" i="6"/>
  <c r="I4" i="6"/>
  <c r="J112" i="19"/>
  <c r="I112" i="19"/>
  <c r="H112" i="19"/>
  <c r="G112" i="19"/>
  <c r="F112" i="19"/>
  <c r="E112" i="19"/>
  <c r="D112" i="19"/>
  <c r="C112" i="19"/>
  <c r="B112" i="19"/>
  <c r="K106" i="19"/>
  <c r="J93" i="19"/>
  <c r="J99" i="19"/>
  <c r="I93" i="19"/>
  <c r="I99" i="19"/>
  <c r="H93" i="19"/>
  <c r="H99" i="19"/>
  <c r="G93" i="19"/>
  <c r="G99" i="19"/>
  <c r="F93" i="19"/>
  <c r="F99" i="19"/>
  <c r="E93" i="19"/>
  <c r="E99" i="19"/>
  <c r="D93" i="19"/>
  <c r="D99" i="19"/>
  <c r="C93" i="19"/>
  <c r="C99" i="19"/>
  <c r="B93" i="19"/>
  <c r="B99" i="19"/>
  <c r="J80" i="19"/>
  <c r="J86" i="19"/>
  <c r="I80" i="19"/>
  <c r="I86" i="19"/>
  <c r="H80" i="19"/>
  <c r="H86" i="19"/>
  <c r="G80" i="19"/>
  <c r="G86" i="19"/>
  <c r="F80" i="19"/>
  <c r="F86" i="19"/>
  <c r="E80" i="19"/>
  <c r="E86" i="19"/>
  <c r="D80" i="19"/>
  <c r="D86" i="19"/>
  <c r="C80" i="19"/>
  <c r="C86" i="19"/>
  <c r="B80" i="19"/>
  <c r="J67" i="19"/>
  <c r="I67" i="19"/>
  <c r="H67" i="19"/>
  <c r="G67" i="19"/>
  <c r="F67" i="19"/>
  <c r="E67" i="19"/>
  <c r="D67" i="19"/>
  <c r="C67" i="19"/>
  <c r="B67" i="19"/>
  <c r="J54" i="19"/>
  <c r="J60" i="19"/>
  <c r="I54" i="19"/>
  <c r="I60" i="19"/>
  <c r="H54" i="19"/>
  <c r="H60" i="19"/>
  <c r="G54" i="19"/>
  <c r="G60" i="19"/>
  <c r="F54" i="19"/>
  <c r="F60" i="19"/>
  <c r="E54" i="19"/>
  <c r="E60" i="19"/>
  <c r="D54" i="19"/>
  <c r="D60" i="19"/>
  <c r="C54" i="19"/>
  <c r="C60" i="19"/>
  <c r="B54" i="19"/>
  <c r="B60" i="19"/>
  <c r="J47" i="19"/>
  <c r="I47" i="19"/>
  <c r="H47" i="19"/>
  <c r="G47" i="19"/>
  <c r="F47" i="19"/>
  <c r="E47" i="19"/>
  <c r="D47" i="19"/>
  <c r="C47" i="19"/>
  <c r="B47" i="19"/>
  <c r="K28" i="19"/>
  <c r="N22" i="19" s="1"/>
  <c r="V27" i="19"/>
  <c r="W27" i="19"/>
  <c r="X27" i="19"/>
  <c r="Y27" i="19"/>
  <c r="Z27" i="19"/>
  <c r="K26" i="19"/>
  <c r="N10" i="19" s="1"/>
  <c r="V25" i="19"/>
  <c r="W25" i="19"/>
  <c r="X25" i="19"/>
  <c r="Y25" i="19"/>
  <c r="Z25" i="19"/>
  <c r="K24" i="19"/>
  <c r="N36" i="19" s="1"/>
  <c r="V23" i="19"/>
  <c r="W23" i="19"/>
  <c r="X23" i="19"/>
  <c r="Y23" i="19"/>
  <c r="Z23" i="19"/>
  <c r="K22" i="19"/>
  <c r="N16" i="19" s="1"/>
  <c r="V21" i="19"/>
  <c r="W21" i="19"/>
  <c r="X21" i="19"/>
  <c r="Y21" i="19"/>
  <c r="Z21" i="19"/>
  <c r="K18" i="19"/>
  <c r="N32" i="19" s="1"/>
  <c r="K20" i="19"/>
  <c r="N20" i="19" s="1"/>
  <c r="V19" i="19"/>
  <c r="W19" i="19"/>
  <c r="X19" i="19"/>
  <c r="Y19" i="19"/>
  <c r="Z19" i="19"/>
  <c r="V17" i="19"/>
  <c r="W17" i="19"/>
  <c r="X17" i="19"/>
  <c r="Y17" i="19"/>
  <c r="Z17" i="19"/>
  <c r="V15" i="19"/>
  <c r="W15" i="19"/>
  <c r="X15" i="19"/>
  <c r="Y15" i="19"/>
  <c r="Z15" i="19"/>
  <c r="K12" i="19"/>
  <c r="N12" i="19" s="1"/>
  <c r="K14" i="19"/>
  <c r="N6" i="19" s="1"/>
  <c r="V13" i="19"/>
  <c r="W13" i="19"/>
  <c r="X13" i="19"/>
  <c r="Y13" i="19"/>
  <c r="Z13" i="19"/>
  <c r="V11" i="19"/>
  <c r="W11" i="19"/>
  <c r="X11" i="19"/>
  <c r="Y11" i="19"/>
  <c r="Z11" i="19"/>
  <c r="K10" i="19"/>
  <c r="N34" i="19" s="1"/>
  <c r="V9" i="19"/>
  <c r="W9" i="19"/>
  <c r="X9" i="19"/>
  <c r="Y9" i="19"/>
  <c r="Z9" i="19"/>
  <c r="K8" i="19"/>
  <c r="N14" i="19" s="1"/>
  <c r="V7" i="19"/>
  <c r="W7" i="19"/>
  <c r="X7" i="19"/>
  <c r="Y7" i="19"/>
  <c r="Z7" i="19"/>
  <c r="T5" i="12"/>
  <c r="R5" i="6"/>
  <c r="P5" i="20"/>
  <c r="J112" i="20"/>
  <c r="I112" i="20"/>
  <c r="H112" i="20"/>
  <c r="G112" i="20"/>
  <c r="F112" i="20"/>
  <c r="E112" i="20"/>
  <c r="D112" i="20"/>
  <c r="C112" i="20"/>
  <c r="B112" i="20"/>
  <c r="J93" i="20"/>
  <c r="I93" i="20"/>
  <c r="H93" i="20"/>
  <c r="G93" i="20"/>
  <c r="F93" i="20"/>
  <c r="E93" i="20"/>
  <c r="D93" i="20"/>
  <c r="C93" i="20"/>
  <c r="B93" i="20"/>
  <c r="J67" i="20"/>
  <c r="J73" i="20"/>
  <c r="I67" i="20"/>
  <c r="I73" i="20"/>
  <c r="H67" i="20"/>
  <c r="H73" i="20"/>
  <c r="G67" i="20"/>
  <c r="G73" i="20"/>
  <c r="F67" i="20"/>
  <c r="F73" i="20"/>
  <c r="E67" i="20"/>
  <c r="E73" i="20"/>
  <c r="D67" i="20"/>
  <c r="D73" i="20"/>
  <c r="C67" i="20"/>
  <c r="C73" i="20"/>
  <c r="B67" i="20"/>
  <c r="B73" i="20"/>
  <c r="J54" i="20"/>
  <c r="J60" i="20"/>
  <c r="I54" i="20"/>
  <c r="I60" i="20"/>
  <c r="H54" i="20"/>
  <c r="H60" i="20"/>
  <c r="G54" i="20"/>
  <c r="G60" i="20"/>
  <c r="F54" i="20"/>
  <c r="F60" i="20"/>
  <c r="E54" i="20"/>
  <c r="E60" i="20"/>
  <c r="D54" i="20"/>
  <c r="D60" i="20"/>
  <c r="C54" i="20"/>
  <c r="C60" i="20"/>
  <c r="B54" i="20"/>
  <c r="B60" i="20"/>
  <c r="J41" i="20"/>
  <c r="J47" i="20"/>
  <c r="I41" i="20"/>
  <c r="I47" i="20"/>
  <c r="H41" i="20"/>
  <c r="H47" i="20"/>
  <c r="G41" i="20"/>
  <c r="G47" i="20"/>
  <c r="F41" i="20"/>
  <c r="F47" i="20"/>
  <c r="E41" i="20"/>
  <c r="E47" i="20"/>
  <c r="D41" i="20"/>
  <c r="D47" i="20"/>
  <c r="C41" i="20"/>
  <c r="C47" i="20"/>
  <c r="B41" i="20"/>
  <c r="B47" i="20"/>
  <c r="K28" i="20"/>
  <c r="N22" i="20" s="1"/>
  <c r="V27" i="20"/>
  <c r="W27" i="20"/>
  <c r="X27" i="20"/>
  <c r="Y27" i="20"/>
  <c r="Z27" i="20"/>
  <c r="K26" i="20"/>
  <c r="N10" i="20" s="1"/>
  <c r="V25" i="20"/>
  <c r="W25" i="20"/>
  <c r="X25" i="20"/>
  <c r="Y25" i="20"/>
  <c r="Z25" i="20"/>
  <c r="K24" i="20"/>
  <c r="N36" i="20" s="1"/>
  <c r="V23" i="20"/>
  <c r="W23" i="20"/>
  <c r="X23" i="20"/>
  <c r="Y23" i="20"/>
  <c r="Z23" i="20"/>
  <c r="K22" i="20"/>
  <c r="N16" i="20" s="1"/>
  <c r="V21" i="20"/>
  <c r="W21" i="20"/>
  <c r="X21" i="20"/>
  <c r="Y21" i="20"/>
  <c r="Z21" i="20"/>
  <c r="K18" i="20"/>
  <c r="N32" i="20" s="1"/>
  <c r="K20" i="20"/>
  <c r="N20" i="20" s="1"/>
  <c r="V19" i="20"/>
  <c r="W19" i="20"/>
  <c r="X19" i="20"/>
  <c r="Y19" i="20"/>
  <c r="Z19" i="20"/>
  <c r="V17" i="20"/>
  <c r="W17" i="20"/>
  <c r="X17" i="20"/>
  <c r="Y17" i="20"/>
  <c r="Z17" i="20"/>
  <c r="V15" i="20"/>
  <c r="W15" i="20"/>
  <c r="X15" i="20"/>
  <c r="Y15" i="20"/>
  <c r="Z15" i="20"/>
  <c r="K12" i="20"/>
  <c r="N12" i="20" s="1"/>
  <c r="K14" i="20"/>
  <c r="N6" i="20" s="1"/>
  <c r="V13" i="20"/>
  <c r="W13" i="20"/>
  <c r="X13" i="20"/>
  <c r="Y13" i="20"/>
  <c r="Z13" i="20"/>
  <c r="V11" i="20"/>
  <c r="W11" i="20"/>
  <c r="X11" i="20"/>
  <c r="Y11" i="20"/>
  <c r="Z11" i="20"/>
  <c r="K10" i="20"/>
  <c r="N34" i="20" s="1"/>
  <c r="V9" i="20"/>
  <c r="W9" i="20"/>
  <c r="X9" i="20"/>
  <c r="Y9" i="20"/>
  <c r="Z9" i="20"/>
  <c r="K8" i="20"/>
  <c r="N14" i="20" s="1"/>
  <c r="V7" i="20"/>
  <c r="W7" i="20"/>
  <c r="X7" i="20"/>
  <c r="Y7" i="20"/>
  <c r="Z7" i="20"/>
  <c r="K6" i="20"/>
  <c r="N24" i="20" s="1"/>
  <c r="V27" i="21"/>
  <c r="W27" i="21"/>
  <c r="X27" i="21"/>
  <c r="Y27" i="21"/>
  <c r="Z27" i="21"/>
  <c r="V25" i="21"/>
  <c r="W25" i="21"/>
  <c r="X25" i="21"/>
  <c r="Y25" i="21"/>
  <c r="Z25" i="21"/>
  <c r="V23" i="21"/>
  <c r="W23" i="21"/>
  <c r="X23" i="21"/>
  <c r="Y23" i="21"/>
  <c r="Z23" i="21"/>
  <c r="V21" i="21"/>
  <c r="W21" i="21"/>
  <c r="X21" i="21"/>
  <c r="Y21" i="21"/>
  <c r="Z21" i="21"/>
  <c r="V19" i="21"/>
  <c r="W19" i="21"/>
  <c r="X19" i="21"/>
  <c r="Y19" i="21"/>
  <c r="Z19" i="21"/>
  <c r="V17" i="21"/>
  <c r="W17" i="21"/>
  <c r="X17" i="21"/>
  <c r="Y17" i="21"/>
  <c r="Z17" i="21"/>
  <c r="V15" i="21"/>
  <c r="W15" i="21"/>
  <c r="X15" i="21"/>
  <c r="Y15" i="21"/>
  <c r="Z15" i="21"/>
  <c r="V13" i="21"/>
  <c r="W13" i="21"/>
  <c r="X13" i="21"/>
  <c r="Y13" i="21"/>
  <c r="Z13" i="21"/>
  <c r="V11" i="21"/>
  <c r="W11" i="21"/>
  <c r="X11" i="21"/>
  <c r="Y11" i="21"/>
  <c r="Z11" i="21"/>
  <c r="V9" i="21"/>
  <c r="W9" i="21"/>
  <c r="X9" i="21"/>
  <c r="Y9" i="21"/>
  <c r="Z9" i="21"/>
  <c r="V7" i="21"/>
  <c r="W7" i="21"/>
  <c r="X7" i="21"/>
  <c r="Y7" i="21"/>
  <c r="Z7" i="21"/>
  <c r="V3" i="16"/>
  <c r="V4" i="16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36" i="16"/>
  <c r="R20" i="16"/>
  <c r="T20" i="16"/>
  <c r="R18" i="16"/>
  <c r="T18" i="16"/>
  <c r="R12" i="16"/>
  <c r="T12" i="16"/>
  <c r="R22" i="16"/>
  <c r="T22" i="16"/>
  <c r="R6" i="16"/>
  <c r="T6" i="16"/>
  <c r="R8" i="16"/>
  <c r="T8" i="16"/>
  <c r="R16" i="16"/>
  <c r="T16" i="16"/>
  <c r="R10" i="16"/>
  <c r="T10" i="16"/>
  <c r="R14" i="16"/>
  <c r="T14" i="16"/>
  <c r="R4" i="16"/>
  <c r="T4" i="16"/>
  <c r="K14" i="7"/>
  <c r="N24" i="7" s="1"/>
  <c r="K10" i="4"/>
  <c r="N10" i="4" s="1"/>
  <c r="N7" i="12"/>
  <c r="N9" i="12"/>
  <c r="N11" i="12"/>
  <c r="N13" i="12"/>
  <c r="N15" i="12"/>
  <c r="N17" i="12"/>
  <c r="N19" i="12"/>
  <c r="N21" i="12"/>
  <c r="N23" i="12"/>
  <c r="N25" i="12"/>
  <c r="N27" i="12"/>
  <c r="N29" i="12"/>
  <c r="N7" i="3"/>
  <c r="N9" i="3"/>
  <c r="N11" i="3"/>
  <c r="N13" i="3"/>
  <c r="N15" i="3"/>
  <c r="N17" i="3"/>
  <c r="N19" i="3"/>
  <c r="N21" i="3"/>
  <c r="N23" i="3"/>
  <c r="N25" i="3"/>
  <c r="N27" i="3"/>
  <c r="N29" i="3"/>
  <c r="N7" i="4"/>
  <c r="N9" i="4"/>
  <c r="N11" i="4"/>
  <c r="N13" i="4"/>
  <c r="N15" i="4"/>
  <c r="N17" i="4"/>
  <c r="N19" i="4"/>
  <c r="N21" i="4"/>
  <c r="N23" i="4"/>
  <c r="N25" i="4"/>
  <c r="N27" i="4"/>
  <c r="N29" i="4"/>
  <c r="T3" i="16"/>
  <c r="T5" i="16"/>
  <c r="T7" i="16"/>
  <c r="T9" i="16"/>
  <c r="T11" i="16"/>
  <c r="T13" i="16"/>
  <c r="T15" i="16"/>
  <c r="T17" i="16"/>
  <c r="T19" i="16"/>
  <c r="T21" i="16"/>
  <c r="T23" i="16"/>
  <c r="R3" i="16"/>
  <c r="R5" i="16"/>
  <c r="R7" i="16"/>
  <c r="R9" i="16"/>
  <c r="R11" i="16"/>
  <c r="R13" i="16"/>
  <c r="R15" i="16"/>
  <c r="R17" i="16"/>
  <c r="R19" i="16"/>
  <c r="R21" i="16"/>
  <c r="R23" i="16"/>
  <c r="V9" i="11"/>
  <c r="V17" i="11"/>
  <c r="Z17" i="11"/>
  <c r="X21" i="11"/>
  <c r="V25" i="11"/>
  <c r="X7" i="11"/>
  <c r="W9" i="11"/>
  <c r="W11" i="11"/>
  <c r="W13" i="11"/>
  <c r="W15" i="11"/>
  <c r="Z19" i="11"/>
  <c r="Z23" i="11"/>
  <c r="Z25" i="11"/>
  <c r="Z27" i="11"/>
  <c r="Y29" i="11"/>
  <c r="F65" i="18"/>
  <c r="AA31" i="11"/>
  <c r="F66" i="18" s="1"/>
  <c r="B66" i="18" s="1"/>
  <c r="Y7" i="9"/>
  <c r="V7" i="9"/>
  <c r="V11" i="9"/>
  <c r="V15" i="9"/>
  <c r="V19" i="9"/>
  <c r="V23" i="9"/>
  <c r="V27" i="9"/>
  <c r="W9" i="9"/>
  <c r="W13" i="9"/>
  <c r="W17" i="9"/>
  <c r="W21" i="9"/>
  <c r="W25" i="9"/>
  <c r="V9" i="9"/>
  <c r="V17" i="9"/>
  <c r="V25" i="9"/>
  <c r="W15" i="9"/>
  <c r="W11" i="9"/>
  <c r="W27" i="9"/>
  <c r="V13" i="9"/>
  <c r="V21" i="9"/>
  <c r="W7" i="9"/>
  <c r="W23" i="9"/>
  <c r="W19" i="9"/>
  <c r="V17" i="10"/>
  <c r="W9" i="10"/>
  <c r="V11" i="10"/>
  <c r="X11" i="10"/>
  <c r="Z11" i="10"/>
  <c r="V19" i="10"/>
  <c r="W17" i="10"/>
  <c r="W23" i="10"/>
  <c r="V7" i="10"/>
  <c r="W15" i="10"/>
  <c r="Y15" i="10"/>
  <c r="V23" i="10"/>
  <c r="W25" i="10"/>
  <c r="W7" i="10"/>
  <c r="W21" i="10"/>
  <c r="V7" i="14"/>
  <c r="V11" i="14"/>
  <c r="V15" i="14"/>
  <c r="V19" i="14"/>
  <c r="V23" i="14"/>
  <c r="V27" i="14"/>
  <c r="W7" i="14"/>
  <c r="W11" i="14"/>
  <c r="W15" i="14"/>
  <c r="W19" i="14"/>
  <c r="W23" i="14"/>
  <c r="W27" i="14"/>
  <c r="V9" i="14"/>
  <c r="V13" i="14"/>
  <c r="V17" i="14"/>
  <c r="V21" i="14"/>
  <c r="V25" i="14"/>
  <c r="W9" i="14"/>
  <c r="W13" i="14"/>
  <c r="W17" i="14"/>
  <c r="W21" i="14"/>
  <c r="W25" i="14"/>
  <c r="V9" i="15"/>
  <c r="V13" i="15"/>
  <c r="V17" i="15"/>
  <c r="W17" i="15"/>
  <c r="X17" i="15"/>
  <c r="Y17" i="15"/>
  <c r="Z17" i="15"/>
  <c r="V21" i="15"/>
  <c r="V25" i="15"/>
  <c r="W7" i="15"/>
  <c r="W11" i="15"/>
  <c r="W15" i="15"/>
  <c r="W19" i="15"/>
  <c r="W23" i="15"/>
  <c r="W27" i="15"/>
  <c r="W9" i="15"/>
  <c r="W25" i="15"/>
  <c r="V7" i="15"/>
  <c r="V11" i="15"/>
  <c r="V15" i="15"/>
  <c r="V19" i="15"/>
  <c r="X19" i="15"/>
  <c r="Y19" i="15"/>
  <c r="Z19" i="15"/>
  <c r="V23" i="15"/>
  <c r="V27" i="15"/>
  <c r="W13" i="15"/>
  <c r="W21" i="15"/>
  <c r="V13" i="7"/>
  <c r="W21" i="7"/>
  <c r="V11" i="7"/>
  <c r="V27" i="7"/>
  <c r="W19" i="7"/>
  <c r="V9" i="6"/>
  <c r="V13" i="6"/>
  <c r="V17" i="6"/>
  <c r="V21" i="6"/>
  <c r="V25" i="6"/>
  <c r="W7" i="6"/>
  <c r="W11" i="6"/>
  <c r="W15" i="6"/>
  <c r="W19" i="6"/>
  <c r="W23" i="6"/>
  <c r="W27" i="6"/>
  <c r="V7" i="6"/>
  <c r="V11" i="6"/>
  <c r="V15" i="6"/>
  <c r="V19" i="6"/>
  <c r="V23" i="6"/>
  <c r="V27" i="6"/>
  <c r="W9" i="6"/>
  <c r="W13" i="6"/>
  <c r="W17" i="6"/>
  <c r="W21" i="6"/>
  <c r="W25" i="6"/>
  <c r="W7" i="8"/>
  <c r="W11" i="8"/>
  <c r="W15" i="8"/>
  <c r="W19" i="8"/>
  <c r="W23" i="8"/>
  <c r="W27" i="8"/>
  <c r="V9" i="8"/>
  <c r="V13" i="8"/>
  <c r="V17" i="8"/>
  <c r="V21" i="8"/>
  <c r="V25" i="8"/>
  <c r="W9" i="8"/>
  <c r="W13" i="8"/>
  <c r="W17" i="8"/>
  <c r="W21" i="8"/>
  <c r="W25" i="8"/>
  <c r="V7" i="8"/>
  <c r="V11" i="8"/>
  <c r="V15" i="8"/>
  <c r="V19" i="8"/>
  <c r="V23" i="8"/>
  <c r="V27" i="8"/>
  <c r="V7" i="4"/>
  <c r="V11" i="4"/>
  <c r="V15" i="4"/>
  <c r="V19" i="4"/>
  <c r="V23" i="4"/>
  <c r="V27" i="4"/>
  <c r="V13" i="4"/>
  <c r="W13" i="4"/>
  <c r="W21" i="4"/>
  <c r="W7" i="4"/>
  <c r="W11" i="4"/>
  <c r="W15" i="4"/>
  <c r="W19" i="4"/>
  <c r="W23" i="4"/>
  <c r="W27" i="4"/>
  <c r="V9" i="4"/>
  <c r="V17" i="4"/>
  <c r="V21" i="4"/>
  <c r="V25" i="4"/>
  <c r="W9" i="4"/>
  <c r="W17" i="4"/>
  <c r="W25" i="4"/>
  <c r="V15" i="3"/>
  <c r="V19" i="3"/>
  <c r="V9" i="3"/>
  <c r="V13" i="3"/>
  <c r="V25" i="3"/>
  <c r="Y27" i="14"/>
  <c r="X19" i="10"/>
  <c r="Z11" i="8"/>
  <c r="Y17" i="10"/>
  <c r="Y15" i="8"/>
  <c r="Y9" i="3"/>
  <c r="Y21" i="3"/>
  <c r="Y25" i="3"/>
  <c r="Y11" i="3"/>
  <c r="Y15" i="3"/>
  <c r="Y27" i="3"/>
  <c r="W9" i="3"/>
  <c r="W21" i="3"/>
  <c r="W25" i="3"/>
  <c r="X7" i="6"/>
  <c r="Z9" i="6"/>
  <c r="X11" i="6"/>
  <c r="Z13" i="6"/>
  <c r="X15" i="6"/>
  <c r="Z17" i="6"/>
  <c r="X19" i="6"/>
  <c r="Z7" i="6"/>
  <c r="X9" i="6"/>
  <c r="Z11" i="6"/>
  <c r="X13" i="6"/>
  <c r="Z15" i="6"/>
  <c r="X17" i="6"/>
  <c r="Z19" i="6"/>
  <c r="X21" i="6"/>
  <c r="Z23" i="6"/>
  <c r="X25" i="6"/>
  <c r="Z27" i="6"/>
  <c r="Y11" i="6"/>
  <c r="Y19" i="6"/>
  <c r="Y21" i="6"/>
  <c r="X23" i="6"/>
  <c r="Y7" i="6"/>
  <c r="Y15" i="6"/>
  <c r="Z25" i="6"/>
  <c r="Y27" i="6"/>
  <c r="Y17" i="6"/>
  <c r="Z21" i="6"/>
  <c r="Y25" i="6"/>
  <c r="Y9" i="6"/>
  <c r="Y23" i="6"/>
  <c r="X27" i="6"/>
  <c r="Y13" i="6"/>
  <c r="X7" i="15"/>
  <c r="Z9" i="15"/>
  <c r="X11" i="15"/>
  <c r="Z13" i="15"/>
  <c r="X15" i="15"/>
  <c r="Z7" i="15"/>
  <c r="X9" i="15"/>
  <c r="Z11" i="15"/>
  <c r="X13" i="15"/>
  <c r="Z15" i="15"/>
  <c r="X21" i="15"/>
  <c r="Z23" i="15"/>
  <c r="X25" i="15"/>
  <c r="Z27" i="15"/>
  <c r="Y7" i="15"/>
  <c r="Y15" i="15"/>
  <c r="Z21" i="15"/>
  <c r="Y23" i="15"/>
  <c r="Y25" i="15"/>
  <c r="X27" i="15"/>
  <c r="Y11" i="15"/>
  <c r="Y13" i="15"/>
  <c r="Z25" i="15"/>
  <c r="Y27" i="15"/>
  <c r="X7" i="4"/>
  <c r="Z9" i="4"/>
  <c r="X11" i="4"/>
  <c r="Z13" i="4"/>
  <c r="X15" i="4"/>
  <c r="Z17" i="4"/>
  <c r="X19" i="4"/>
  <c r="Z21" i="4"/>
  <c r="X23" i="4"/>
  <c r="Z25" i="4"/>
  <c r="X27" i="4"/>
  <c r="Z7" i="4"/>
  <c r="X9" i="4"/>
  <c r="Z11" i="4"/>
  <c r="X13" i="4"/>
  <c r="Z15" i="4"/>
  <c r="X17" i="4"/>
  <c r="Z19" i="4"/>
  <c r="X21" i="4"/>
  <c r="Z23" i="4"/>
  <c r="X25" i="4"/>
  <c r="Z27" i="4"/>
  <c r="Y7" i="4"/>
  <c r="Y15" i="4"/>
  <c r="Y23" i="4"/>
  <c r="Y11" i="4"/>
  <c r="Y19" i="4"/>
  <c r="Y27" i="4"/>
  <c r="Y13" i="4"/>
  <c r="Y21" i="4"/>
  <c r="Y9" i="4"/>
  <c r="Y25" i="4"/>
  <c r="X25" i="3"/>
  <c r="Z19" i="3"/>
  <c r="X9" i="3"/>
  <c r="Y27" i="9"/>
  <c r="Y9" i="9"/>
  <c r="Y21" i="15"/>
  <c r="Y11" i="14"/>
  <c r="Z7" i="10"/>
  <c r="X9" i="10"/>
  <c r="X13" i="10"/>
  <c r="X17" i="10"/>
  <c r="Z19" i="10"/>
  <c r="X21" i="10"/>
  <c r="Z23" i="10"/>
  <c r="X25" i="10"/>
  <c r="Z27" i="10"/>
  <c r="X7" i="10"/>
  <c r="Z17" i="10"/>
  <c r="Y19" i="10"/>
  <c r="Y21" i="10"/>
  <c r="X23" i="10"/>
  <c r="Z9" i="10"/>
  <c r="Y13" i="10"/>
  <c r="Z25" i="10"/>
  <c r="Y27" i="10"/>
  <c r="Z7" i="7"/>
  <c r="Z15" i="7"/>
  <c r="Z23" i="7"/>
  <c r="X7" i="7"/>
  <c r="X15" i="7"/>
  <c r="X23" i="7"/>
  <c r="Y13" i="7"/>
  <c r="Y17" i="7"/>
  <c r="Y27" i="7"/>
  <c r="X27" i="3"/>
  <c r="Z13" i="3"/>
  <c r="X11" i="3"/>
  <c r="Y25" i="10"/>
  <c r="Z21" i="10"/>
  <c r="Y7" i="10"/>
  <c r="X17" i="8"/>
  <c r="Y9" i="15"/>
  <c r="Z7" i="9"/>
  <c r="X9" i="9"/>
  <c r="Z11" i="9"/>
  <c r="X13" i="9"/>
  <c r="Z15" i="9"/>
  <c r="X17" i="9"/>
  <c r="Z9" i="9"/>
  <c r="Y11" i="9"/>
  <c r="Y13" i="9"/>
  <c r="X15" i="9"/>
  <c r="Z19" i="9"/>
  <c r="X21" i="9"/>
  <c r="Z23" i="9"/>
  <c r="X25" i="9"/>
  <c r="Z27" i="9"/>
  <c r="X7" i="9"/>
  <c r="Z17" i="9"/>
  <c r="X19" i="9"/>
  <c r="Z21" i="9"/>
  <c r="X23" i="9"/>
  <c r="Z25" i="9"/>
  <c r="X27" i="9"/>
  <c r="Z13" i="9"/>
  <c r="Y17" i="9"/>
  <c r="Y25" i="9"/>
  <c r="Y15" i="9"/>
  <c r="Y21" i="9"/>
  <c r="Z23" i="3"/>
  <c r="X21" i="3"/>
  <c r="Z7" i="3"/>
  <c r="Y19" i="9"/>
  <c r="Y17" i="4"/>
  <c r="X7" i="8"/>
  <c r="Z9" i="8"/>
  <c r="X11" i="8"/>
  <c r="Z13" i="8"/>
  <c r="X15" i="8"/>
  <c r="Z17" i="8"/>
  <c r="X19" i="8"/>
  <c r="Z21" i="8"/>
  <c r="X23" i="8"/>
  <c r="Z25" i="8"/>
  <c r="X27" i="8"/>
  <c r="Z15" i="8"/>
  <c r="Y17" i="8"/>
  <c r="Y19" i="8"/>
  <c r="X21" i="8"/>
  <c r="Z7" i="8"/>
  <c r="Y9" i="8"/>
  <c r="Y11" i="8"/>
  <c r="X13" i="8"/>
  <c r="Z23" i="8"/>
  <c r="Y25" i="8"/>
  <c r="Y27" i="8"/>
  <c r="X9" i="8"/>
  <c r="Z19" i="8"/>
  <c r="Y23" i="8"/>
  <c r="Y7" i="8"/>
  <c r="Y21" i="8"/>
  <c r="X25" i="8"/>
  <c r="Z7" i="14"/>
  <c r="X9" i="14"/>
  <c r="Z11" i="14"/>
  <c r="X13" i="14"/>
  <c r="Z15" i="14"/>
  <c r="X17" i="14"/>
  <c r="Z19" i="14"/>
  <c r="X21" i="14"/>
  <c r="Z23" i="14"/>
  <c r="X25" i="14"/>
  <c r="Z27" i="14"/>
  <c r="X7" i="14"/>
  <c r="Z9" i="14"/>
  <c r="X11" i="14"/>
  <c r="Z13" i="14"/>
  <c r="X15" i="14"/>
  <c r="Z17" i="14"/>
  <c r="X19" i="14"/>
  <c r="Z21" i="14"/>
  <c r="X23" i="14"/>
  <c r="Z25" i="14"/>
  <c r="X27" i="14"/>
  <c r="Y9" i="14"/>
  <c r="Y17" i="14"/>
  <c r="Y25" i="14"/>
  <c r="Y13" i="14"/>
  <c r="Y21" i="14"/>
  <c r="Y7" i="14"/>
  <c r="Y23" i="14"/>
  <c r="Y15" i="14"/>
  <c r="Y19" i="14"/>
  <c r="Z25" i="3"/>
  <c r="X23" i="3"/>
  <c r="Z9" i="3"/>
  <c r="X7" i="3"/>
  <c r="X27" i="10"/>
  <c r="Y23" i="10"/>
  <c r="Y9" i="10"/>
  <c r="Y23" i="9"/>
  <c r="X11" i="9"/>
  <c r="Z27" i="8"/>
  <c r="Y13" i="8"/>
  <c r="X23" i="15"/>
  <c r="R5" i="9"/>
  <c r="B3" i="12"/>
  <c r="C3" i="12"/>
  <c r="D3" i="12"/>
  <c r="E3" i="12"/>
  <c r="F3" i="12"/>
  <c r="G3" i="12"/>
  <c r="H3" i="12"/>
  <c r="I3" i="12"/>
  <c r="J3" i="12"/>
  <c r="B4" i="12"/>
  <c r="C4" i="12"/>
  <c r="D4" i="12"/>
  <c r="E4" i="12"/>
  <c r="F4" i="12"/>
  <c r="G4" i="12"/>
  <c r="H4" i="12"/>
  <c r="I4" i="12"/>
  <c r="J4" i="12"/>
  <c r="C2" i="12"/>
  <c r="D2" i="12"/>
  <c r="E2" i="12"/>
  <c r="F2" i="12"/>
  <c r="G2" i="12"/>
  <c r="H2" i="12"/>
  <c r="I2" i="12"/>
  <c r="J2" i="12"/>
  <c r="B2" i="12"/>
  <c r="B3" i="11"/>
  <c r="C3" i="11"/>
  <c r="D3" i="11"/>
  <c r="E3" i="11"/>
  <c r="F3" i="11"/>
  <c r="G3" i="11"/>
  <c r="H3" i="11"/>
  <c r="I3" i="11"/>
  <c r="J3" i="11"/>
  <c r="B4" i="11"/>
  <c r="C4" i="11"/>
  <c r="D4" i="11"/>
  <c r="E4" i="11"/>
  <c r="F4" i="11"/>
  <c r="G4" i="11"/>
  <c r="H4" i="11"/>
  <c r="I4" i="11"/>
  <c r="J4" i="11"/>
  <c r="C2" i="11"/>
  <c r="D2" i="11"/>
  <c r="E2" i="11"/>
  <c r="F2" i="11"/>
  <c r="G2" i="11"/>
  <c r="H2" i="11"/>
  <c r="I2" i="11"/>
  <c r="J2" i="11"/>
  <c r="B2" i="11"/>
  <c r="B3" i="9"/>
  <c r="B3" i="10" s="1"/>
  <c r="C3" i="9"/>
  <c r="C3" i="10" s="1"/>
  <c r="D3" i="9"/>
  <c r="D3" i="10" s="1"/>
  <c r="E3" i="9"/>
  <c r="E3" i="10" s="1"/>
  <c r="F3" i="9"/>
  <c r="F3" i="10" s="1"/>
  <c r="G3" i="9"/>
  <c r="G3" i="10" s="1"/>
  <c r="H3" i="9"/>
  <c r="H3" i="10" s="1"/>
  <c r="I3" i="9"/>
  <c r="I3" i="10" s="1"/>
  <c r="J3" i="9"/>
  <c r="J3" i="10" s="1"/>
  <c r="C2" i="9"/>
  <c r="C2" i="10" s="1"/>
  <c r="D2" i="9"/>
  <c r="D2" i="10" s="1"/>
  <c r="E2" i="9"/>
  <c r="E2" i="10" s="1"/>
  <c r="F2" i="9"/>
  <c r="F2" i="10" s="1"/>
  <c r="G2" i="9"/>
  <c r="G2" i="10" s="1"/>
  <c r="H2" i="9"/>
  <c r="H2" i="10" s="1"/>
  <c r="I2" i="9"/>
  <c r="I2" i="10" s="1"/>
  <c r="J2" i="9"/>
  <c r="J2" i="10" s="1"/>
  <c r="B2" i="9"/>
  <c r="B2" i="10" s="1"/>
  <c r="B3" i="8"/>
  <c r="C3" i="8"/>
  <c r="D3" i="8"/>
  <c r="E3" i="8"/>
  <c r="F3" i="8"/>
  <c r="G3" i="8"/>
  <c r="H3" i="8"/>
  <c r="I3" i="8"/>
  <c r="J3" i="8"/>
  <c r="B47" i="8"/>
  <c r="D47" i="8"/>
  <c r="E47" i="8"/>
  <c r="F47" i="8"/>
  <c r="H47" i="8"/>
  <c r="I47" i="8"/>
  <c r="J47" i="8"/>
  <c r="D54" i="8"/>
  <c r="H54" i="8"/>
  <c r="B60" i="8"/>
  <c r="F60" i="8"/>
  <c r="J60" i="8"/>
  <c r="B73" i="8"/>
  <c r="D73" i="8"/>
  <c r="E73" i="8"/>
  <c r="F73" i="8"/>
  <c r="H73" i="8"/>
  <c r="I73" i="8"/>
  <c r="J73" i="8"/>
  <c r="D80" i="8"/>
  <c r="H80" i="8"/>
  <c r="F86" i="8"/>
  <c r="J86" i="8"/>
  <c r="B99" i="8"/>
  <c r="D99" i="8"/>
  <c r="E99" i="8"/>
  <c r="F99" i="8"/>
  <c r="H99" i="8"/>
  <c r="I99" i="8"/>
  <c r="J99" i="8"/>
  <c r="B112" i="8"/>
  <c r="F112" i="8"/>
  <c r="J112" i="8"/>
  <c r="C2" i="8"/>
  <c r="D2" i="8"/>
  <c r="E2" i="8"/>
  <c r="F2" i="8"/>
  <c r="G2" i="8"/>
  <c r="H2" i="8"/>
  <c r="I2" i="8"/>
  <c r="J2" i="8"/>
  <c r="B2" i="8"/>
  <c r="B3" i="7"/>
  <c r="B3" i="15" s="1"/>
  <c r="C3" i="7"/>
  <c r="C3" i="15" s="1"/>
  <c r="D3" i="7"/>
  <c r="D3" i="15" s="1"/>
  <c r="E3" i="7"/>
  <c r="E3" i="15" s="1"/>
  <c r="F3" i="7"/>
  <c r="F3" i="15" s="1"/>
  <c r="G3" i="7"/>
  <c r="G3" i="15" s="1"/>
  <c r="H3" i="7"/>
  <c r="H3" i="15" s="1"/>
  <c r="I3" i="7"/>
  <c r="I3" i="15" s="1"/>
  <c r="J3" i="7"/>
  <c r="J3" i="15" s="1"/>
  <c r="C2" i="6"/>
  <c r="D2" i="6"/>
  <c r="E2" i="6"/>
  <c r="F2" i="6"/>
  <c r="G2" i="6"/>
  <c r="H2" i="6"/>
  <c r="I2" i="6"/>
  <c r="J2" i="6"/>
  <c r="C3" i="6"/>
  <c r="D3" i="6"/>
  <c r="E3" i="6"/>
  <c r="F3" i="6"/>
  <c r="G3" i="6"/>
  <c r="H3" i="6"/>
  <c r="I3" i="6"/>
  <c r="J3" i="6"/>
  <c r="B3" i="6"/>
  <c r="B2" i="6"/>
  <c r="B3" i="4"/>
  <c r="B3" i="14" s="1"/>
  <c r="C3" i="14"/>
  <c r="D3" i="14"/>
  <c r="E3" i="14"/>
  <c r="F3" i="14"/>
  <c r="G3" i="14"/>
  <c r="H3" i="14"/>
  <c r="I3" i="14"/>
  <c r="J3" i="14"/>
  <c r="B4" i="4"/>
  <c r="C4" i="4"/>
  <c r="C4" i="14" s="1"/>
  <c r="D4" i="4"/>
  <c r="D4" i="14" s="1"/>
  <c r="E4" i="4"/>
  <c r="E4" i="14" s="1"/>
  <c r="F4" i="4"/>
  <c r="F4" i="14" s="1"/>
  <c r="G4" i="4"/>
  <c r="G4" i="14" s="1"/>
  <c r="H4" i="4"/>
  <c r="H4" i="14" s="1"/>
  <c r="I4" i="4"/>
  <c r="I4" i="14" s="1"/>
  <c r="J4" i="4"/>
  <c r="J4" i="14" s="1"/>
  <c r="C2" i="4"/>
  <c r="C2" i="14" s="1"/>
  <c r="D2" i="4"/>
  <c r="D2" i="14" s="1"/>
  <c r="E2" i="4"/>
  <c r="E2" i="14" s="1"/>
  <c r="F2" i="4"/>
  <c r="F2" i="14" s="1"/>
  <c r="G2" i="4"/>
  <c r="G2" i="14" s="1"/>
  <c r="H2" i="4"/>
  <c r="H2" i="14" s="1"/>
  <c r="I2" i="4"/>
  <c r="I2" i="14" s="1"/>
  <c r="J2" i="4"/>
  <c r="J2" i="14" s="1"/>
  <c r="B2" i="4"/>
  <c r="B2" i="14" s="1"/>
  <c r="B3" i="3"/>
  <c r="C3" i="3"/>
  <c r="D3" i="3"/>
  <c r="E3" i="3"/>
  <c r="F3" i="3"/>
  <c r="G3" i="3"/>
  <c r="H3" i="3"/>
  <c r="I3" i="3"/>
  <c r="J3" i="3"/>
  <c r="B4" i="3"/>
  <c r="C4" i="3"/>
  <c r="D4" i="3"/>
  <c r="E4" i="3"/>
  <c r="F4" i="3"/>
  <c r="G4" i="3"/>
  <c r="H4" i="3"/>
  <c r="I4" i="3"/>
  <c r="J4" i="3"/>
  <c r="C2" i="3"/>
  <c r="D2" i="3"/>
  <c r="E2" i="3"/>
  <c r="F2" i="3"/>
  <c r="G2" i="3"/>
  <c r="H2" i="3"/>
  <c r="I2" i="3"/>
  <c r="J2" i="3"/>
  <c r="B2" i="3"/>
  <c r="L52" i="17"/>
  <c r="B80" i="7"/>
  <c r="C80" i="7"/>
  <c r="D80" i="7"/>
  <c r="E80" i="7"/>
  <c r="F80" i="7"/>
  <c r="G80" i="7"/>
  <c r="H80" i="7"/>
  <c r="I80" i="7"/>
  <c r="J80" i="7"/>
  <c r="B80" i="9"/>
  <c r="C80" i="9"/>
  <c r="D80" i="9"/>
  <c r="E80" i="9"/>
  <c r="F80" i="9"/>
  <c r="G80" i="9"/>
  <c r="H80" i="9"/>
  <c r="I80" i="9"/>
  <c r="J80" i="9"/>
  <c r="B80" i="4"/>
  <c r="C80" i="4"/>
  <c r="D80" i="4"/>
  <c r="E80" i="4"/>
  <c r="F80" i="4"/>
  <c r="G80" i="4"/>
  <c r="H80" i="4"/>
  <c r="I80" i="4"/>
  <c r="J80" i="4"/>
  <c r="B73" i="7"/>
  <c r="C73" i="7"/>
  <c r="D73" i="7"/>
  <c r="E73" i="7"/>
  <c r="F73" i="7"/>
  <c r="G73" i="7"/>
  <c r="H73" i="7"/>
  <c r="I73" i="7"/>
  <c r="J73" i="7"/>
  <c r="B73" i="9"/>
  <c r="C73" i="9"/>
  <c r="D73" i="9"/>
  <c r="E73" i="9"/>
  <c r="F73" i="9"/>
  <c r="G73" i="9"/>
  <c r="H73" i="9"/>
  <c r="I73" i="9"/>
  <c r="J73" i="9"/>
  <c r="B73" i="4"/>
  <c r="C73" i="4"/>
  <c r="D73" i="4"/>
  <c r="E73" i="4"/>
  <c r="F73" i="4"/>
  <c r="G73" i="4"/>
  <c r="H73" i="4"/>
  <c r="I73" i="4"/>
  <c r="J73" i="4"/>
  <c r="B54" i="7"/>
  <c r="C54" i="7"/>
  <c r="D54" i="7"/>
  <c r="E54" i="7"/>
  <c r="F54" i="7"/>
  <c r="G54" i="7"/>
  <c r="H54" i="7"/>
  <c r="I54" i="7"/>
  <c r="J54" i="7"/>
  <c r="B54" i="9"/>
  <c r="C54" i="9"/>
  <c r="D54" i="9"/>
  <c r="E54" i="9"/>
  <c r="F54" i="9"/>
  <c r="G54" i="9"/>
  <c r="H54" i="9"/>
  <c r="I54" i="9"/>
  <c r="J54" i="9"/>
  <c r="B54" i="4"/>
  <c r="C54" i="4"/>
  <c r="D54" i="4"/>
  <c r="E54" i="4"/>
  <c r="F54" i="4"/>
  <c r="G54" i="4"/>
  <c r="H54" i="4"/>
  <c r="I54" i="4"/>
  <c r="J54" i="4"/>
  <c r="B47" i="7"/>
  <c r="C47" i="7"/>
  <c r="D47" i="7"/>
  <c r="E47" i="7"/>
  <c r="F47" i="7"/>
  <c r="G47" i="7"/>
  <c r="H47" i="7"/>
  <c r="I47" i="7"/>
  <c r="J47" i="7"/>
  <c r="B47" i="9"/>
  <c r="C47" i="9"/>
  <c r="D47" i="9"/>
  <c r="E47" i="9"/>
  <c r="F47" i="9"/>
  <c r="G47" i="9"/>
  <c r="H47" i="9"/>
  <c r="I47" i="9"/>
  <c r="J47" i="9"/>
  <c r="B47" i="4"/>
  <c r="C47" i="4"/>
  <c r="D47" i="4"/>
  <c r="E47" i="4"/>
  <c r="F47" i="4"/>
  <c r="G47" i="4"/>
  <c r="H47" i="4"/>
  <c r="I47" i="4"/>
  <c r="J47" i="4"/>
  <c r="B112" i="4"/>
  <c r="C112" i="4"/>
  <c r="D112" i="4"/>
  <c r="E112" i="4"/>
  <c r="F112" i="4"/>
  <c r="G112" i="4"/>
  <c r="H112" i="4"/>
  <c r="I112" i="4"/>
  <c r="J112" i="4"/>
  <c r="B112" i="6"/>
  <c r="C112" i="6"/>
  <c r="D112" i="6"/>
  <c r="E112" i="6"/>
  <c r="F112" i="6"/>
  <c r="G112" i="6"/>
  <c r="H112" i="6"/>
  <c r="I112" i="6"/>
  <c r="J112" i="6"/>
  <c r="B112" i="7"/>
  <c r="C112" i="7"/>
  <c r="D112" i="7"/>
  <c r="E112" i="7"/>
  <c r="F112" i="7"/>
  <c r="G112" i="7"/>
  <c r="H112" i="7"/>
  <c r="I112" i="7"/>
  <c r="J112" i="7"/>
  <c r="C112" i="8"/>
  <c r="D112" i="8"/>
  <c r="E112" i="8"/>
  <c r="G112" i="8"/>
  <c r="H112" i="8"/>
  <c r="I112" i="8"/>
  <c r="B112" i="9"/>
  <c r="C112" i="9"/>
  <c r="D112" i="9"/>
  <c r="E112" i="9"/>
  <c r="F112" i="9"/>
  <c r="G112" i="9"/>
  <c r="H112" i="9"/>
  <c r="I112" i="9"/>
  <c r="J112" i="9"/>
  <c r="B112" i="3"/>
  <c r="C112" i="3"/>
  <c r="D112" i="3"/>
  <c r="E112" i="3"/>
  <c r="F112" i="3"/>
  <c r="G112" i="3"/>
  <c r="H112" i="3"/>
  <c r="I112" i="3"/>
  <c r="J112" i="3"/>
  <c r="B99" i="6"/>
  <c r="C99" i="6"/>
  <c r="D99" i="6"/>
  <c r="E99" i="6"/>
  <c r="F99" i="6"/>
  <c r="G99" i="6"/>
  <c r="H99" i="6"/>
  <c r="I99" i="6"/>
  <c r="J99" i="6"/>
  <c r="C99" i="8"/>
  <c r="G99" i="8"/>
  <c r="B99" i="3"/>
  <c r="C99" i="3"/>
  <c r="D99" i="3"/>
  <c r="E99" i="3"/>
  <c r="F99" i="3"/>
  <c r="G99" i="3"/>
  <c r="H99" i="3"/>
  <c r="I99" i="3"/>
  <c r="J99" i="3"/>
  <c r="B93" i="4"/>
  <c r="C93" i="4"/>
  <c r="D93" i="4"/>
  <c r="E93" i="4"/>
  <c r="F93" i="4"/>
  <c r="G93" i="4"/>
  <c r="H93" i="4"/>
  <c r="I93" i="4"/>
  <c r="J93" i="4"/>
  <c r="B93" i="6"/>
  <c r="C93" i="6"/>
  <c r="D93" i="6"/>
  <c r="E93" i="6"/>
  <c r="F93" i="6"/>
  <c r="G93" i="6"/>
  <c r="H93" i="6"/>
  <c r="I93" i="6"/>
  <c r="J93" i="6"/>
  <c r="B93" i="7"/>
  <c r="C93" i="7"/>
  <c r="D93" i="7"/>
  <c r="E93" i="7"/>
  <c r="F93" i="7"/>
  <c r="G93" i="7"/>
  <c r="H93" i="7"/>
  <c r="I93" i="7"/>
  <c r="J93" i="7"/>
  <c r="B93" i="8"/>
  <c r="C93" i="8"/>
  <c r="D93" i="8"/>
  <c r="E93" i="8"/>
  <c r="F93" i="8"/>
  <c r="G93" i="8"/>
  <c r="H93" i="8"/>
  <c r="I93" i="8"/>
  <c r="J93" i="8"/>
  <c r="B93" i="9"/>
  <c r="C93" i="9"/>
  <c r="D93" i="9"/>
  <c r="E93" i="9"/>
  <c r="F93" i="9"/>
  <c r="G93" i="9"/>
  <c r="H93" i="9"/>
  <c r="I93" i="9"/>
  <c r="J93" i="9"/>
  <c r="B93" i="3"/>
  <c r="C93" i="3"/>
  <c r="D93" i="3"/>
  <c r="E93" i="3"/>
  <c r="F93" i="3"/>
  <c r="G93" i="3"/>
  <c r="H93" i="3"/>
  <c r="I93" i="3"/>
  <c r="J93" i="3"/>
  <c r="C86" i="6"/>
  <c r="D86" i="6"/>
  <c r="E86" i="6"/>
  <c r="F86" i="6"/>
  <c r="G86" i="6"/>
  <c r="H86" i="6"/>
  <c r="I86" i="6"/>
  <c r="J86" i="6"/>
  <c r="C86" i="8"/>
  <c r="D86" i="8"/>
  <c r="E86" i="8"/>
  <c r="G86" i="8"/>
  <c r="H86" i="8"/>
  <c r="I86" i="8"/>
  <c r="C86" i="3"/>
  <c r="D86" i="3"/>
  <c r="E86" i="3"/>
  <c r="F86" i="3"/>
  <c r="G86" i="3"/>
  <c r="H86" i="3"/>
  <c r="I86" i="3"/>
  <c r="J86" i="3"/>
  <c r="B80" i="6"/>
  <c r="C80" i="6"/>
  <c r="D80" i="6"/>
  <c r="E80" i="6"/>
  <c r="F80" i="6"/>
  <c r="G80" i="6"/>
  <c r="H80" i="6"/>
  <c r="I80" i="6"/>
  <c r="J80" i="6"/>
  <c r="B80" i="8"/>
  <c r="C80" i="8"/>
  <c r="E80" i="8"/>
  <c r="F80" i="8"/>
  <c r="G80" i="8"/>
  <c r="I80" i="8"/>
  <c r="J80" i="8"/>
  <c r="B80" i="3"/>
  <c r="C80" i="3"/>
  <c r="D80" i="3"/>
  <c r="E80" i="3"/>
  <c r="F80" i="3"/>
  <c r="G80" i="3"/>
  <c r="H80" i="3"/>
  <c r="I80" i="3"/>
  <c r="J80" i="3"/>
  <c r="B73" i="6"/>
  <c r="C73" i="6"/>
  <c r="D73" i="6"/>
  <c r="E73" i="6"/>
  <c r="F73" i="6"/>
  <c r="G73" i="6"/>
  <c r="H73" i="6"/>
  <c r="I73" i="6"/>
  <c r="J73" i="6"/>
  <c r="C73" i="8"/>
  <c r="G73" i="8"/>
  <c r="B73" i="3"/>
  <c r="C73" i="3"/>
  <c r="D73" i="3"/>
  <c r="E73" i="3"/>
  <c r="F73" i="3"/>
  <c r="G73" i="3"/>
  <c r="H73" i="3"/>
  <c r="I73" i="3"/>
  <c r="J73" i="3"/>
  <c r="B67" i="4"/>
  <c r="C67" i="4"/>
  <c r="D67" i="4"/>
  <c r="E67" i="4"/>
  <c r="F67" i="4"/>
  <c r="G67" i="4"/>
  <c r="H67" i="4"/>
  <c r="I67" i="4"/>
  <c r="J67" i="4"/>
  <c r="B67" i="6"/>
  <c r="C67" i="6"/>
  <c r="D67" i="6"/>
  <c r="E67" i="6"/>
  <c r="F67" i="6"/>
  <c r="G67" i="6"/>
  <c r="H67" i="6"/>
  <c r="I67" i="6"/>
  <c r="J67" i="6"/>
  <c r="B67" i="7"/>
  <c r="C67" i="7"/>
  <c r="D67" i="7"/>
  <c r="E67" i="7"/>
  <c r="F67" i="7"/>
  <c r="G67" i="7"/>
  <c r="H67" i="7"/>
  <c r="I67" i="7"/>
  <c r="J67" i="7"/>
  <c r="B67" i="8"/>
  <c r="C67" i="8"/>
  <c r="D67" i="8"/>
  <c r="E67" i="8"/>
  <c r="F67" i="8"/>
  <c r="G67" i="8"/>
  <c r="H67" i="8"/>
  <c r="I67" i="8"/>
  <c r="J67" i="8"/>
  <c r="B67" i="9"/>
  <c r="C67" i="9"/>
  <c r="D67" i="9"/>
  <c r="E67" i="9"/>
  <c r="F67" i="9"/>
  <c r="G67" i="9"/>
  <c r="H67" i="9"/>
  <c r="I67" i="9"/>
  <c r="J67" i="9"/>
  <c r="B67" i="3"/>
  <c r="C67" i="3"/>
  <c r="D67" i="3"/>
  <c r="E67" i="3"/>
  <c r="F67" i="3"/>
  <c r="G67" i="3"/>
  <c r="H67" i="3"/>
  <c r="I67" i="3"/>
  <c r="J67" i="3"/>
  <c r="B60" i="4"/>
  <c r="C60" i="4"/>
  <c r="D60" i="4"/>
  <c r="E60" i="4"/>
  <c r="F60" i="4"/>
  <c r="G60" i="4"/>
  <c r="H60" i="4"/>
  <c r="I60" i="4"/>
  <c r="J60" i="4"/>
  <c r="B60" i="6"/>
  <c r="C60" i="6"/>
  <c r="D60" i="6"/>
  <c r="E60" i="6"/>
  <c r="F60" i="6"/>
  <c r="G60" i="6"/>
  <c r="H60" i="6"/>
  <c r="I60" i="6"/>
  <c r="J60" i="6"/>
  <c r="B60" i="7"/>
  <c r="C60" i="7"/>
  <c r="D60" i="7"/>
  <c r="E60" i="7"/>
  <c r="F60" i="7"/>
  <c r="G60" i="7"/>
  <c r="H60" i="7"/>
  <c r="I60" i="7"/>
  <c r="J60" i="7"/>
  <c r="C60" i="8"/>
  <c r="D60" i="8"/>
  <c r="E60" i="8"/>
  <c r="G60" i="8"/>
  <c r="H60" i="8"/>
  <c r="I60" i="8"/>
  <c r="B60" i="9"/>
  <c r="C60" i="9"/>
  <c r="D60" i="9"/>
  <c r="E60" i="9"/>
  <c r="F60" i="9"/>
  <c r="G60" i="9"/>
  <c r="H60" i="9"/>
  <c r="I60" i="9"/>
  <c r="J60" i="9"/>
  <c r="B60" i="3"/>
  <c r="C60" i="3"/>
  <c r="D60" i="3"/>
  <c r="E60" i="3"/>
  <c r="F60" i="3"/>
  <c r="G60" i="3"/>
  <c r="H60" i="3"/>
  <c r="I60" i="3"/>
  <c r="J60" i="3"/>
  <c r="B54" i="6"/>
  <c r="C54" i="6"/>
  <c r="D54" i="6"/>
  <c r="E54" i="6"/>
  <c r="F54" i="6"/>
  <c r="G54" i="6"/>
  <c r="H54" i="6"/>
  <c r="I54" i="6"/>
  <c r="J54" i="6"/>
  <c r="B54" i="8"/>
  <c r="C54" i="8"/>
  <c r="E54" i="8"/>
  <c r="F54" i="8"/>
  <c r="G54" i="8"/>
  <c r="I54" i="8"/>
  <c r="J54" i="8"/>
  <c r="B54" i="3"/>
  <c r="C54" i="3"/>
  <c r="D54" i="3"/>
  <c r="E54" i="3"/>
  <c r="F54" i="3"/>
  <c r="G54" i="3"/>
  <c r="H54" i="3"/>
  <c r="I54" i="3"/>
  <c r="J54" i="3"/>
  <c r="B47" i="6"/>
  <c r="C47" i="6"/>
  <c r="D47" i="6"/>
  <c r="E47" i="6"/>
  <c r="F47" i="6"/>
  <c r="G47" i="6"/>
  <c r="H47" i="6"/>
  <c r="I47" i="6"/>
  <c r="J47" i="6"/>
  <c r="C47" i="8"/>
  <c r="G47" i="8"/>
  <c r="B41" i="6"/>
  <c r="C41" i="6"/>
  <c r="D41" i="6"/>
  <c r="E41" i="6"/>
  <c r="F41" i="6"/>
  <c r="G41" i="6"/>
  <c r="H41" i="6"/>
  <c r="I41" i="6"/>
  <c r="J41" i="6"/>
  <c r="B41" i="7"/>
  <c r="C41" i="7"/>
  <c r="D41" i="7"/>
  <c r="E41" i="7"/>
  <c r="F41" i="7"/>
  <c r="G41" i="7"/>
  <c r="H41" i="7"/>
  <c r="I41" i="7"/>
  <c r="J41" i="7"/>
  <c r="B41" i="8"/>
  <c r="C41" i="8"/>
  <c r="D41" i="8"/>
  <c r="E41" i="8"/>
  <c r="F41" i="8"/>
  <c r="G41" i="8"/>
  <c r="H41" i="8"/>
  <c r="I41" i="8"/>
  <c r="J41" i="8"/>
  <c r="B41" i="9"/>
  <c r="C41" i="9"/>
  <c r="D41" i="9"/>
  <c r="E41" i="9"/>
  <c r="F41" i="9"/>
  <c r="G41" i="9"/>
  <c r="H41" i="9"/>
  <c r="I41" i="9"/>
  <c r="J41" i="9"/>
  <c r="K28" i="7"/>
  <c r="N18" i="7" s="1"/>
  <c r="K26" i="7"/>
  <c r="N34" i="7" s="1"/>
  <c r="K24" i="7"/>
  <c r="N26" i="7" s="1"/>
  <c r="K22" i="7"/>
  <c r="N10" i="7" s="1"/>
  <c r="K20" i="7"/>
  <c r="N32" i="7" s="1"/>
  <c r="K18" i="7"/>
  <c r="N8" i="7" s="1"/>
  <c r="K16" i="7"/>
  <c r="N16" i="7" s="1"/>
  <c r="K12" i="7"/>
  <c r="N30" i="7" s="1"/>
  <c r="K10" i="7"/>
  <c r="N22" i="7" s="1"/>
  <c r="K8" i="7"/>
  <c r="N6" i="7" s="1"/>
  <c r="K6" i="7"/>
  <c r="N14" i="7" s="1"/>
  <c r="K8" i="4"/>
  <c r="N8" i="4" s="1"/>
  <c r="K12" i="4"/>
  <c r="N12" i="4" s="1"/>
  <c r="K14" i="4"/>
  <c r="N14" i="4" s="1"/>
  <c r="K16" i="4"/>
  <c r="N16" i="4" s="1"/>
  <c r="K18" i="4"/>
  <c r="N18" i="4" s="1"/>
  <c r="K20" i="4"/>
  <c r="N20" i="4" s="1"/>
  <c r="K22" i="4"/>
  <c r="N22" i="4" s="1"/>
  <c r="K24" i="4"/>
  <c r="N24" i="4" s="1"/>
  <c r="K26" i="4"/>
  <c r="N26" i="4" s="1"/>
  <c r="K28" i="4"/>
  <c r="N28" i="4" s="1"/>
  <c r="K8" i="6"/>
  <c r="N6" i="6" s="1"/>
  <c r="K10" i="6"/>
  <c r="N22" i="6" s="1"/>
  <c r="K12" i="6"/>
  <c r="N30" i="6" s="1"/>
  <c r="K14" i="6"/>
  <c r="N24" i="6" s="1"/>
  <c r="K16" i="6"/>
  <c r="N16" i="6" s="1"/>
  <c r="K18" i="6"/>
  <c r="N8" i="6" s="1"/>
  <c r="K20" i="6"/>
  <c r="N32" i="6" s="1"/>
  <c r="K22" i="6"/>
  <c r="N10" i="6" s="1"/>
  <c r="K24" i="6"/>
  <c r="N26" i="6" s="1"/>
  <c r="K26" i="6"/>
  <c r="N34" i="6" s="1"/>
  <c r="K28" i="6"/>
  <c r="N18" i="6" s="1"/>
  <c r="K8" i="8"/>
  <c r="N14" i="8" s="1"/>
  <c r="K10" i="8"/>
  <c r="N26" i="8" s="1"/>
  <c r="K12" i="8"/>
  <c r="N36" i="8" s="1"/>
  <c r="K14" i="8"/>
  <c r="N30" i="8" s="1"/>
  <c r="K16" i="8"/>
  <c r="N24" i="8" s="1"/>
  <c r="K18" i="8"/>
  <c r="N10" i="8" s="1"/>
  <c r="K20" i="8"/>
  <c r="N20" i="8" s="1"/>
  <c r="K22" i="8"/>
  <c r="N12" i="8" s="1"/>
  <c r="K24" i="8"/>
  <c r="N18" i="8" s="1"/>
  <c r="K24" i="9"/>
  <c r="N18" i="9" s="1"/>
  <c r="K26" i="8"/>
  <c r="N22" i="8" s="1"/>
  <c r="K28" i="8"/>
  <c r="N32" i="8" s="1"/>
  <c r="K8" i="9"/>
  <c r="N14" i="9" s="1"/>
  <c r="K10" i="9"/>
  <c r="N26" i="9" s="1"/>
  <c r="K12" i="9"/>
  <c r="N36" i="9" s="1"/>
  <c r="K14" i="9"/>
  <c r="N30" i="9" s="1"/>
  <c r="K16" i="9"/>
  <c r="N24" i="9" s="1"/>
  <c r="K18" i="9"/>
  <c r="N10" i="9" s="1"/>
  <c r="K20" i="9"/>
  <c r="N20" i="9" s="1"/>
  <c r="K22" i="9"/>
  <c r="N12" i="9" s="1"/>
  <c r="K26" i="9"/>
  <c r="N22" i="9" s="1"/>
  <c r="K28" i="9"/>
  <c r="N32" i="9" s="1"/>
  <c r="K8" i="11"/>
  <c r="K10" i="11"/>
  <c r="K12" i="11"/>
  <c r="K14" i="11"/>
  <c r="K16" i="11"/>
  <c r="K18" i="11"/>
  <c r="K20" i="11"/>
  <c r="K22" i="11"/>
  <c r="K24" i="11"/>
  <c r="K28" i="11"/>
  <c r="K8" i="12"/>
  <c r="N8" i="12" s="1"/>
  <c r="K10" i="12"/>
  <c r="N10" i="12" s="1"/>
  <c r="K12" i="12"/>
  <c r="N12" i="12" s="1"/>
  <c r="K14" i="12"/>
  <c r="N14" i="12" s="1"/>
  <c r="N16" i="12"/>
  <c r="K18" i="12"/>
  <c r="N18" i="12" s="1"/>
  <c r="K20" i="12"/>
  <c r="N20" i="12" s="1"/>
  <c r="K22" i="12"/>
  <c r="N22" i="12" s="1"/>
  <c r="K24" i="12"/>
  <c r="N24" i="12" s="1"/>
  <c r="K26" i="12"/>
  <c r="K28" i="12"/>
  <c r="N28" i="12" s="1"/>
  <c r="K6" i="6"/>
  <c r="N14" i="6" s="1"/>
  <c r="K6" i="8"/>
  <c r="N8" i="8" s="1"/>
  <c r="K6" i="9"/>
  <c r="N8" i="9" s="1"/>
  <c r="K6" i="11"/>
  <c r="K6" i="12"/>
  <c r="N6" i="12" s="1"/>
  <c r="G48" i="13" l="1"/>
  <c r="G46" i="13"/>
  <c r="E32" i="28"/>
  <c r="G53" i="13"/>
  <c r="H53" i="13" s="1"/>
  <c r="C28" i="28"/>
  <c r="D28" i="28"/>
  <c r="C30" i="28"/>
  <c r="F49" i="1"/>
  <c r="G47" i="13"/>
  <c r="D32" i="28"/>
  <c r="G40" i="13"/>
  <c r="D26" i="28"/>
  <c r="D30" i="28"/>
  <c r="G49" i="13"/>
  <c r="C26" i="28"/>
  <c r="G52" i="13"/>
  <c r="H52" i="13" s="1"/>
  <c r="E30" i="28"/>
  <c r="G51" i="13"/>
  <c r="H51" i="13" s="1"/>
  <c r="E28" i="28"/>
  <c r="G43" i="13"/>
  <c r="C8" i="28"/>
  <c r="C32" i="28"/>
  <c r="G38" i="13"/>
  <c r="G42" i="13"/>
  <c r="G41" i="13"/>
  <c r="G45" i="13"/>
  <c r="F48" i="1"/>
  <c r="B4" i="14"/>
  <c r="E139" i="3"/>
  <c r="D133" i="3"/>
  <c r="I133" i="3"/>
  <c r="G139" i="3"/>
  <c r="J133" i="3"/>
  <c r="C139" i="3"/>
  <c r="H133" i="3"/>
  <c r="I140" i="3"/>
  <c r="E140" i="3"/>
  <c r="F133" i="3"/>
  <c r="D134" i="3"/>
  <c r="F134" i="3"/>
  <c r="B139" i="3"/>
  <c r="F140" i="3"/>
  <c r="J139" i="3"/>
  <c r="I139" i="3"/>
  <c r="J140" i="3"/>
  <c r="E134" i="3"/>
  <c r="G140" i="3"/>
  <c r="C134" i="3"/>
  <c r="B133" i="3"/>
  <c r="H140" i="3"/>
  <c r="D140" i="3"/>
  <c r="E133" i="3"/>
  <c r="H134" i="3"/>
  <c r="C133" i="3"/>
  <c r="G134" i="3"/>
  <c r="C140" i="3"/>
  <c r="G133" i="3"/>
  <c r="F139" i="3"/>
  <c r="I134" i="3"/>
  <c r="B140" i="3"/>
  <c r="D139" i="3"/>
  <c r="J134" i="3"/>
  <c r="B134" i="3"/>
  <c r="H139" i="3"/>
  <c r="E14" i="28"/>
  <c r="E20" i="28"/>
  <c r="E2" i="28"/>
  <c r="D8" i="28"/>
  <c r="D20" i="28"/>
  <c r="D10" i="28"/>
  <c r="C14" i="28"/>
  <c r="C18" i="28"/>
  <c r="B60" i="10"/>
  <c r="K60" i="10" s="1"/>
  <c r="K73" i="10"/>
  <c r="B67" i="10"/>
  <c r="K67" i="10" s="1"/>
  <c r="B41" i="10"/>
  <c r="K41" i="10" s="1"/>
  <c r="K125" i="10"/>
  <c r="B106" i="10"/>
  <c r="K106" i="10" s="1"/>
  <c r="B80" i="10"/>
  <c r="K80" i="10" s="1"/>
  <c r="B54" i="10"/>
  <c r="K54" i="10" s="1"/>
  <c r="B2" i="28"/>
  <c r="X5" i="16"/>
  <c r="X21" i="16"/>
  <c r="X9" i="16"/>
  <c r="G22" i="16"/>
  <c r="I22" i="16" s="1"/>
  <c r="X22" i="16"/>
  <c r="X23" i="16"/>
  <c r="X7" i="16"/>
  <c r="X24" i="16"/>
  <c r="G24" i="16"/>
  <c r="I24" i="16" s="1"/>
  <c r="X19" i="16"/>
  <c r="X3" i="16"/>
  <c r="X16" i="16"/>
  <c r="G16" i="16"/>
  <c r="I16" i="16" s="1"/>
  <c r="X17" i="16"/>
  <c r="G4" i="16"/>
  <c r="I4" i="16" s="1"/>
  <c r="X4" i="16"/>
  <c r="G18" i="16"/>
  <c r="I18" i="16" s="1"/>
  <c r="X18" i="16"/>
  <c r="X2" i="16"/>
  <c r="G2" i="16"/>
  <c r="G10" i="16"/>
  <c r="I10" i="16" s="1"/>
  <c r="X10" i="16"/>
  <c r="X12" i="16"/>
  <c r="G12" i="16"/>
  <c r="I12" i="16" s="1"/>
  <c r="X15" i="16"/>
  <c r="X13" i="16"/>
  <c r="X14" i="16"/>
  <c r="G14" i="16"/>
  <c r="I14" i="16" s="1"/>
  <c r="G6" i="16"/>
  <c r="I6" i="16" s="1"/>
  <c r="X6" i="16"/>
  <c r="G20" i="16"/>
  <c r="I20" i="16" s="1"/>
  <c r="X20" i="16"/>
  <c r="X11" i="16"/>
  <c r="G8" i="16"/>
  <c r="I8" i="16" s="1"/>
  <c r="X8" i="16"/>
  <c r="N28" i="11"/>
  <c r="N24" i="11"/>
  <c r="N22" i="11"/>
  <c r="N20" i="11"/>
  <c r="N18" i="11"/>
  <c r="N16" i="11"/>
  <c r="N14" i="11"/>
  <c r="N12" i="11"/>
  <c r="E8" i="28"/>
  <c r="E22" i="28"/>
  <c r="E16" i="28"/>
  <c r="D16" i="28"/>
  <c r="D22" i="28"/>
  <c r="D24" i="28"/>
  <c r="D14" i="28"/>
  <c r="D6" i="28"/>
  <c r="C4" i="28"/>
  <c r="C10" i="28"/>
  <c r="C12" i="28"/>
  <c r="K54" i="6"/>
  <c r="B24" i="28"/>
  <c r="B20" i="28"/>
  <c r="B18" i="28"/>
  <c r="B8" i="28"/>
  <c r="B4" i="28"/>
  <c r="B16" i="28"/>
  <c r="B14" i="28"/>
  <c r="B12" i="28"/>
  <c r="B10" i="28"/>
  <c r="B22" i="28"/>
  <c r="B6" i="28"/>
  <c r="P5" i="3"/>
  <c r="T5" i="15"/>
  <c r="P5" i="4"/>
  <c r="T5" i="8"/>
  <c r="P5" i="8"/>
  <c r="P5" i="21"/>
  <c r="P5" i="9"/>
  <c r="P5" i="7"/>
  <c r="P5" i="6"/>
  <c r="T5" i="20"/>
  <c r="T5" i="4"/>
  <c r="T5" i="11"/>
  <c r="P5" i="15"/>
  <c r="P5" i="14"/>
  <c r="T5" i="21"/>
  <c r="T5" i="14"/>
  <c r="P5" i="12"/>
  <c r="P5" i="10"/>
  <c r="P5" i="11"/>
  <c r="S5" i="8"/>
  <c r="P5" i="19"/>
  <c r="T5" i="3"/>
  <c r="S5" i="10"/>
  <c r="Q5" i="12"/>
  <c r="R5" i="19"/>
  <c r="AA7" i="12"/>
  <c r="N10" i="11"/>
  <c r="N8" i="11"/>
  <c r="N6" i="11"/>
  <c r="AA12" i="21"/>
  <c r="AA7" i="9"/>
  <c r="AA23" i="8"/>
  <c r="AA8" i="15"/>
  <c r="K125" i="15"/>
  <c r="K47" i="20"/>
  <c r="K60" i="20"/>
  <c r="K125" i="14"/>
  <c r="K106" i="4"/>
  <c r="K125" i="21"/>
  <c r="AA27" i="20"/>
  <c r="AA15" i="14"/>
  <c r="AA25" i="8"/>
  <c r="AA25" i="6"/>
  <c r="AA9" i="6"/>
  <c r="AA23" i="15"/>
  <c r="AA13" i="15"/>
  <c r="AA11" i="9"/>
  <c r="AA15" i="8"/>
  <c r="AA23" i="9"/>
  <c r="AA21" i="9"/>
  <c r="AA7" i="15"/>
  <c r="AA13" i="4"/>
  <c r="AA7" i="6"/>
  <c r="AA25" i="15"/>
  <c r="AA13" i="14"/>
  <c r="AA23" i="19"/>
  <c r="AA12" i="9"/>
  <c r="AA12" i="6"/>
  <c r="AA21" i="8"/>
  <c r="AA7" i="8"/>
  <c r="AA15" i="15"/>
  <c r="AA9" i="9"/>
  <c r="AA17" i="14"/>
  <c r="AA11" i="14"/>
  <c r="AA7" i="10"/>
  <c r="AA19" i="8"/>
  <c r="AA9" i="14"/>
  <c r="AA23" i="10"/>
  <c r="AA13" i="9"/>
  <c r="AA27" i="9"/>
  <c r="AA17" i="20"/>
  <c r="AA25" i="20"/>
  <c r="AA26" i="15"/>
  <c r="X10" i="3"/>
  <c r="Z12" i="3"/>
  <c r="V12" i="3"/>
  <c r="Z8" i="3"/>
  <c r="Z26" i="3"/>
  <c r="V26" i="3"/>
  <c r="Z24" i="3"/>
  <c r="V24" i="3"/>
  <c r="X22" i="3"/>
  <c r="Z20" i="3"/>
  <c r="V20" i="3"/>
  <c r="Y18" i="3"/>
  <c r="Y16" i="3"/>
  <c r="Y14" i="3"/>
  <c r="Y12" i="3"/>
  <c r="W10" i="3"/>
  <c r="Y8" i="3"/>
  <c r="X15" i="3"/>
  <c r="W15" i="3"/>
  <c r="X13" i="3"/>
  <c r="X19" i="3"/>
  <c r="W7" i="3"/>
  <c r="Z11" i="3"/>
  <c r="Z27" i="3"/>
  <c r="W27" i="3"/>
  <c r="W17" i="3"/>
  <c r="Y23" i="3"/>
  <c r="Y7" i="3"/>
  <c r="Y17" i="3"/>
  <c r="V21" i="3"/>
  <c r="V27" i="3"/>
  <c r="V11" i="3"/>
  <c r="Y26" i="3"/>
  <c r="Y24" i="3"/>
  <c r="W22" i="3"/>
  <c r="Y20" i="3"/>
  <c r="X18" i="3"/>
  <c r="X16" i="3"/>
  <c r="X14" i="3"/>
  <c r="X12" i="3"/>
  <c r="Z10" i="3"/>
  <c r="V10" i="3"/>
  <c r="X8" i="3"/>
  <c r="Z17" i="3"/>
  <c r="Z15" i="3"/>
  <c r="W11" i="3"/>
  <c r="Z21" i="3"/>
  <c r="W23" i="3"/>
  <c r="X17" i="3"/>
  <c r="W19" i="3"/>
  <c r="W13" i="3"/>
  <c r="Y19" i="3"/>
  <c r="Y13" i="3"/>
  <c r="V17" i="3"/>
  <c r="V23" i="3"/>
  <c r="V7" i="3"/>
  <c r="X26" i="3"/>
  <c r="X24" i="3"/>
  <c r="Z22" i="3"/>
  <c r="V22" i="3"/>
  <c r="X20" i="3"/>
  <c r="W18" i="3"/>
  <c r="W16" i="3"/>
  <c r="W14" i="3"/>
  <c r="W12" i="3"/>
  <c r="Y10" i="3"/>
  <c r="W6" i="3"/>
  <c r="AA25" i="3"/>
  <c r="AA9" i="3"/>
  <c r="K106" i="3"/>
  <c r="K99" i="3"/>
  <c r="AA27" i="12"/>
  <c r="AA19" i="12"/>
  <c r="AA11" i="12"/>
  <c r="AA12" i="12"/>
  <c r="AA8" i="12"/>
  <c r="AA17" i="12"/>
  <c r="AA26" i="12"/>
  <c r="AA16" i="12"/>
  <c r="AA14" i="12"/>
  <c r="AA21" i="12"/>
  <c r="AA9" i="12"/>
  <c r="X29" i="11"/>
  <c r="Y27" i="11"/>
  <c r="Y25" i="11"/>
  <c r="Y23" i="11"/>
  <c r="Y19" i="11"/>
  <c r="Z15" i="11"/>
  <c r="Z13" i="11"/>
  <c r="Z11" i="11"/>
  <c r="Z9" i="11"/>
  <c r="W7" i="11"/>
  <c r="V23" i="11"/>
  <c r="W21" i="11"/>
  <c r="Y17" i="11"/>
  <c r="V15" i="11"/>
  <c r="V7" i="11"/>
  <c r="AA28" i="12"/>
  <c r="W28" i="11"/>
  <c r="X26" i="11"/>
  <c r="Y24" i="11"/>
  <c r="X22" i="11"/>
  <c r="W20" i="11"/>
  <c r="AA18" i="12"/>
  <c r="Y18" i="11"/>
  <c r="X16" i="11"/>
  <c r="X14" i="11"/>
  <c r="Y12" i="11"/>
  <c r="X10" i="11"/>
  <c r="W8" i="11"/>
  <c r="Y6" i="11"/>
  <c r="AA23" i="12"/>
  <c r="AA13" i="12"/>
  <c r="W29" i="11"/>
  <c r="X27" i="11"/>
  <c r="X25" i="11"/>
  <c r="X23" i="11"/>
  <c r="X19" i="11"/>
  <c r="Y15" i="11"/>
  <c r="Y13" i="11"/>
  <c r="Y11" i="11"/>
  <c r="Y9" i="11"/>
  <c r="Z7" i="11"/>
  <c r="V29" i="11"/>
  <c r="Z21" i="11"/>
  <c r="V21" i="11"/>
  <c r="X17" i="11"/>
  <c r="V13" i="11"/>
  <c r="Z28" i="11"/>
  <c r="V28" i="11"/>
  <c r="W26" i="11"/>
  <c r="X24" i="11"/>
  <c r="AA22" i="12"/>
  <c r="W22" i="11"/>
  <c r="Z20" i="11"/>
  <c r="V20" i="11"/>
  <c r="X18" i="11"/>
  <c r="W16" i="11"/>
  <c r="W14" i="11"/>
  <c r="X12" i="11"/>
  <c r="W10" i="11"/>
  <c r="Z8" i="11"/>
  <c r="V8" i="11"/>
  <c r="X6" i="11"/>
  <c r="AA25" i="12"/>
  <c r="AA15" i="12"/>
  <c r="Z29" i="11"/>
  <c r="W27" i="11"/>
  <c r="W25" i="11"/>
  <c r="W23" i="11"/>
  <c r="W19" i="11"/>
  <c r="X15" i="11"/>
  <c r="X13" i="11"/>
  <c r="X11" i="11"/>
  <c r="X9" i="11"/>
  <c r="Y7" i="11"/>
  <c r="V27" i="11"/>
  <c r="Y21" i="11"/>
  <c r="V19" i="11"/>
  <c r="W17" i="11"/>
  <c r="V11" i="11"/>
  <c r="Y28" i="11"/>
  <c r="Z26" i="11"/>
  <c r="V26" i="11"/>
  <c r="AA24" i="12"/>
  <c r="W24" i="11"/>
  <c r="Z22" i="11"/>
  <c r="V22" i="11"/>
  <c r="Y20" i="11"/>
  <c r="W18" i="11"/>
  <c r="Z16" i="11"/>
  <c r="V16" i="11"/>
  <c r="Z14" i="11"/>
  <c r="V14" i="11"/>
  <c r="W12" i="11"/>
  <c r="Z10" i="11"/>
  <c r="V10" i="11"/>
  <c r="Y8" i="11"/>
  <c r="W6" i="11"/>
  <c r="AA7" i="14"/>
  <c r="AA27" i="15"/>
  <c r="AA21" i="15"/>
  <c r="AA27" i="14"/>
  <c r="AA8" i="19"/>
  <c r="AA26" i="6"/>
  <c r="K26" i="14"/>
  <c r="N26" i="14" s="1"/>
  <c r="AA17" i="8"/>
  <c r="AA23" i="4"/>
  <c r="AA9" i="15"/>
  <c r="AA23" i="6"/>
  <c r="AA11" i="15"/>
  <c r="AA21" i="14"/>
  <c r="AA19" i="14"/>
  <c r="AA17" i="10"/>
  <c r="AA23" i="14"/>
  <c r="AA9" i="8"/>
  <c r="AA19" i="9"/>
  <c r="AA25" i="9"/>
  <c r="AA15" i="9"/>
  <c r="AA17" i="9"/>
  <c r="AA26" i="19"/>
  <c r="AA26" i="14"/>
  <c r="AA16" i="21"/>
  <c r="AA25" i="14"/>
  <c r="AA21" i="4"/>
  <c r="AA17" i="6"/>
  <c r="AA15" i="6"/>
  <c r="AA19" i="4"/>
  <c r="AA13" i="8"/>
  <c r="AA27" i="8"/>
  <c r="AA11" i="8"/>
  <c r="AA21" i="6"/>
  <c r="AA27" i="6"/>
  <c r="AA11" i="6"/>
  <c r="AA19" i="6"/>
  <c r="AA13" i="6"/>
  <c r="AA26" i="20"/>
  <c r="AA18" i="6"/>
  <c r="AA14" i="21"/>
  <c r="AA14" i="15"/>
  <c r="K106" i="14"/>
  <c r="AA8" i="21"/>
  <c r="V6" i="7"/>
  <c r="Z6" i="7"/>
  <c r="Y8" i="7"/>
  <c r="V10" i="7"/>
  <c r="Z10" i="7"/>
  <c r="V12" i="7"/>
  <c r="Z12" i="7"/>
  <c r="V14" i="7"/>
  <c r="Z14" i="7"/>
  <c r="V16" i="7"/>
  <c r="Z16" i="7"/>
  <c r="X18" i="7"/>
  <c r="X20" i="7"/>
  <c r="V22" i="7"/>
  <c r="Z22" i="7"/>
  <c r="V24" i="7"/>
  <c r="Z24" i="7"/>
  <c r="W26" i="7"/>
  <c r="W6" i="7"/>
  <c r="V8" i="7"/>
  <c r="Z8" i="7"/>
  <c r="W10" i="7"/>
  <c r="W12" i="7"/>
  <c r="W14" i="7"/>
  <c r="W16" i="7"/>
  <c r="Y18" i="7"/>
  <c r="Y20" i="7"/>
  <c r="W22" i="7"/>
  <c r="W24" i="7"/>
  <c r="X26" i="7"/>
  <c r="X6" i="7"/>
  <c r="W8" i="7"/>
  <c r="X10" i="7"/>
  <c r="X12" i="7"/>
  <c r="X14" i="7"/>
  <c r="X16" i="7"/>
  <c r="V18" i="7"/>
  <c r="Z18" i="7"/>
  <c r="V20" i="7"/>
  <c r="Z20" i="7"/>
  <c r="X22" i="7"/>
  <c r="X24" i="7"/>
  <c r="Y26" i="7"/>
  <c r="K28" i="14"/>
  <c r="N28" i="14" s="1"/>
  <c r="Y11" i="7"/>
  <c r="Y9" i="7"/>
  <c r="Z21" i="7"/>
  <c r="Z13" i="7"/>
  <c r="X21" i="7"/>
  <c r="X13" i="7"/>
  <c r="Y7" i="7"/>
  <c r="W15" i="7"/>
  <c r="V23" i="7"/>
  <c r="V7" i="7"/>
  <c r="W17" i="7"/>
  <c r="V25" i="7"/>
  <c r="V9" i="7"/>
  <c r="AA17" i="15"/>
  <c r="K16" i="15"/>
  <c r="N16" i="15" s="1"/>
  <c r="Y24" i="7"/>
  <c r="Y22" i="7"/>
  <c r="AA8" i="9"/>
  <c r="X8" i="7"/>
  <c r="K99" i="8"/>
  <c r="Y15" i="7"/>
  <c r="Y19" i="7"/>
  <c r="X27" i="7"/>
  <c r="X19" i="7"/>
  <c r="X11" i="7"/>
  <c r="Z27" i="7"/>
  <c r="Z19" i="7"/>
  <c r="Z11" i="7"/>
  <c r="W27" i="7"/>
  <c r="W11" i="7"/>
  <c r="V19" i="7"/>
  <c r="W13" i="7"/>
  <c r="V21" i="7"/>
  <c r="AA11" i="19"/>
  <c r="AA15" i="19"/>
  <c r="AA26" i="21"/>
  <c r="Z26" i="7"/>
  <c r="AA24" i="21"/>
  <c r="AA24" i="9"/>
  <c r="AA24" i="6"/>
  <c r="AA22" i="21"/>
  <c r="AA22" i="19"/>
  <c r="AA22" i="6"/>
  <c r="AA20" i="21"/>
  <c r="AA8" i="6"/>
  <c r="D80" i="15"/>
  <c r="K80" i="15" s="1"/>
  <c r="K18" i="15"/>
  <c r="N8" i="15" s="1"/>
  <c r="K73" i="9"/>
  <c r="Y25" i="7"/>
  <c r="Y21" i="7"/>
  <c r="Z25" i="7"/>
  <c r="Z17" i="7"/>
  <c r="Z9" i="7"/>
  <c r="X25" i="7"/>
  <c r="X17" i="7"/>
  <c r="X9" i="7"/>
  <c r="Y23" i="7"/>
  <c r="W23" i="7"/>
  <c r="W7" i="7"/>
  <c r="V15" i="7"/>
  <c r="W25" i="7"/>
  <c r="W9" i="7"/>
  <c r="V17" i="7"/>
  <c r="AA19" i="15"/>
  <c r="AA11" i="21"/>
  <c r="AA19" i="21"/>
  <c r="AA27" i="21"/>
  <c r="AA23" i="20"/>
  <c r="AA17" i="19"/>
  <c r="AA26" i="9"/>
  <c r="V26" i="7"/>
  <c r="W20" i="7"/>
  <c r="Y16" i="7"/>
  <c r="Y14" i="7"/>
  <c r="AA12" i="19"/>
  <c r="AA12" i="15"/>
  <c r="V6" i="10"/>
  <c r="W6" i="10"/>
  <c r="W8" i="10"/>
  <c r="V10" i="10"/>
  <c r="Z10" i="10"/>
  <c r="X12" i="10"/>
  <c r="Y14" i="10"/>
  <c r="Y16" i="10"/>
  <c r="W18" i="10"/>
  <c r="W20" i="10"/>
  <c r="X22" i="10"/>
  <c r="V24" i="10"/>
  <c r="Z24" i="10"/>
  <c r="Y26" i="10"/>
  <c r="Z13" i="10"/>
  <c r="V21" i="10"/>
  <c r="AA21" i="10" s="1"/>
  <c r="W13" i="10"/>
  <c r="Y11" i="10"/>
  <c r="V27" i="10"/>
  <c r="X15" i="10"/>
  <c r="W19" i="10"/>
  <c r="AA19" i="10" s="1"/>
  <c r="X6" i="10"/>
  <c r="X8" i="10"/>
  <c r="W10" i="10"/>
  <c r="Y12" i="10"/>
  <c r="V14" i="10"/>
  <c r="Z14" i="10"/>
  <c r="V16" i="10"/>
  <c r="Z16" i="10"/>
  <c r="X18" i="10"/>
  <c r="X20" i="10"/>
  <c r="Y22" i="10"/>
  <c r="W24" i="10"/>
  <c r="V26" i="10"/>
  <c r="Z26" i="10"/>
  <c r="V9" i="10"/>
  <c r="AA9" i="10" s="1"/>
  <c r="V25" i="10"/>
  <c r="AA25" i="10" s="1"/>
  <c r="Y6" i="10"/>
  <c r="Y8" i="10"/>
  <c r="X10" i="10"/>
  <c r="V12" i="10"/>
  <c r="Z12" i="10"/>
  <c r="W14" i="10"/>
  <c r="W16" i="10"/>
  <c r="Y18" i="10"/>
  <c r="Y20" i="10"/>
  <c r="V22" i="10"/>
  <c r="Z22" i="10"/>
  <c r="X24" i="10"/>
  <c r="W26" i="10"/>
  <c r="V13" i="10"/>
  <c r="W11" i="10"/>
  <c r="W27" i="10"/>
  <c r="V15" i="10"/>
  <c r="Z15" i="10"/>
  <c r="Y6" i="7"/>
  <c r="AA9" i="21"/>
  <c r="AA17" i="21"/>
  <c r="AA25" i="21"/>
  <c r="AA7" i="20"/>
  <c r="AA15" i="20"/>
  <c r="AA13" i="19"/>
  <c r="AA24" i="8"/>
  <c r="AA20" i="9"/>
  <c r="AA18" i="19"/>
  <c r="AA16" i="15"/>
  <c r="AA14" i="9"/>
  <c r="V6" i="21"/>
  <c r="X6" i="19"/>
  <c r="AA7" i="21"/>
  <c r="AA15" i="21"/>
  <c r="AA23" i="21"/>
  <c r="AA13" i="20"/>
  <c r="AA21" i="20"/>
  <c r="K54" i="20"/>
  <c r="AA21" i="19"/>
  <c r="AA27" i="19"/>
  <c r="K112" i="19"/>
  <c r="AA26" i="8"/>
  <c r="AA24" i="19"/>
  <c r="AA24" i="15"/>
  <c r="AA22" i="9"/>
  <c r="AA22" i="15"/>
  <c r="AA20" i="6"/>
  <c r="AA18" i="21"/>
  <c r="AA18" i="15"/>
  <c r="AA14" i="6"/>
  <c r="AA13" i="21"/>
  <c r="AA21" i="21"/>
  <c r="AA9" i="20"/>
  <c r="AA11" i="20"/>
  <c r="AA19" i="20"/>
  <c r="AA7" i="19"/>
  <c r="AA9" i="19"/>
  <c r="AA19" i="19"/>
  <c r="AA25" i="19"/>
  <c r="AA24" i="20"/>
  <c r="AA18" i="9"/>
  <c r="AA16" i="9"/>
  <c r="AA14" i="19"/>
  <c r="Y6" i="21"/>
  <c r="W6" i="9"/>
  <c r="AA6" i="9" s="1"/>
  <c r="Y6" i="15"/>
  <c r="R5" i="7"/>
  <c r="R5" i="10"/>
  <c r="R5" i="3"/>
  <c r="R5" i="20"/>
  <c r="R5" i="4"/>
  <c r="R5" i="15"/>
  <c r="R5" i="11"/>
  <c r="R5" i="21"/>
  <c r="R5" i="14"/>
  <c r="R5" i="8"/>
  <c r="R5" i="12"/>
  <c r="T5" i="19"/>
  <c r="K112" i="4"/>
  <c r="K99" i="4"/>
  <c r="K106" i="7"/>
  <c r="AA25" i="4"/>
  <c r="AA9" i="4"/>
  <c r="AA15" i="4"/>
  <c r="AA7" i="4"/>
  <c r="K20" i="15"/>
  <c r="N32" i="15" s="1"/>
  <c r="AA16" i="6"/>
  <c r="K67" i="7"/>
  <c r="K93" i="4"/>
  <c r="K16" i="21"/>
  <c r="N26" i="21" s="1"/>
  <c r="AA20" i="12"/>
  <c r="AA20" i="15"/>
  <c r="AA10" i="21"/>
  <c r="AA10" i="9"/>
  <c r="AA10" i="6"/>
  <c r="X6" i="20"/>
  <c r="X8" i="20"/>
  <c r="W10" i="20"/>
  <c r="X12" i="20"/>
  <c r="Y14" i="20"/>
  <c r="X16" i="20"/>
  <c r="Y18" i="20"/>
  <c r="V20" i="20"/>
  <c r="Z20" i="20"/>
  <c r="V6" i="20"/>
  <c r="Z6" i="20"/>
  <c r="V8" i="20"/>
  <c r="Z8" i="20"/>
  <c r="Y10" i="20"/>
  <c r="V12" i="20"/>
  <c r="Z12" i="20"/>
  <c r="W14" i="20"/>
  <c r="V16" i="20"/>
  <c r="Z16" i="20"/>
  <c r="W18" i="20"/>
  <c r="X20" i="20"/>
  <c r="W6" i="20"/>
  <c r="W8" i="20"/>
  <c r="V10" i="20"/>
  <c r="Z10" i="20"/>
  <c r="W12" i="20"/>
  <c r="X14" i="20"/>
  <c r="W16" i="20"/>
  <c r="X18" i="20"/>
  <c r="Y20" i="20"/>
  <c r="V22" i="20"/>
  <c r="Z22" i="20"/>
  <c r="X6" i="8"/>
  <c r="X8" i="8"/>
  <c r="W10" i="8"/>
  <c r="X12" i="8"/>
  <c r="Y14" i="8"/>
  <c r="V16" i="8"/>
  <c r="Z16" i="8"/>
  <c r="Y18" i="8"/>
  <c r="V20" i="8"/>
  <c r="Z20" i="8"/>
  <c r="V6" i="8"/>
  <c r="Z6" i="8"/>
  <c r="V8" i="8"/>
  <c r="Z8" i="8"/>
  <c r="Y10" i="8"/>
  <c r="V12" i="8"/>
  <c r="Z12" i="8"/>
  <c r="W14" i="8"/>
  <c r="X16" i="8"/>
  <c r="W18" i="8"/>
  <c r="X20" i="8"/>
  <c r="W6" i="8"/>
  <c r="W8" i="8"/>
  <c r="V10" i="8"/>
  <c r="Z10" i="8"/>
  <c r="W12" i="8"/>
  <c r="X14" i="8"/>
  <c r="Y16" i="8"/>
  <c r="X18" i="8"/>
  <c r="Y20" i="8"/>
  <c r="V22" i="8"/>
  <c r="Z22" i="8"/>
  <c r="K86" i="7"/>
  <c r="K73" i="7"/>
  <c r="K80" i="7"/>
  <c r="K47" i="8"/>
  <c r="C48" i="13"/>
  <c r="AA26" i="4"/>
  <c r="X6" i="14"/>
  <c r="X8" i="14"/>
  <c r="W10" i="14"/>
  <c r="X12" i="14"/>
  <c r="Y14" i="14"/>
  <c r="V16" i="14"/>
  <c r="Z16" i="14"/>
  <c r="Y18" i="14"/>
  <c r="V20" i="14"/>
  <c r="Z20" i="14"/>
  <c r="V6" i="14"/>
  <c r="Z6" i="14"/>
  <c r="V8" i="14"/>
  <c r="Z8" i="14"/>
  <c r="Y10" i="14"/>
  <c r="V12" i="14"/>
  <c r="Z12" i="14"/>
  <c r="W14" i="14"/>
  <c r="X16" i="14"/>
  <c r="W18" i="14"/>
  <c r="X20" i="14"/>
  <c r="W6" i="14"/>
  <c r="W8" i="14"/>
  <c r="V10" i="14"/>
  <c r="Z10" i="14"/>
  <c r="W12" i="14"/>
  <c r="X14" i="14"/>
  <c r="Y16" i="14"/>
  <c r="X18" i="14"/>
  <c r="Y20" i="14"/>
  <c r="V22" i="14"/>
  <c r="Z22" i="14"/>
  <c r="W24" i="14"/>
  <c r="AA24" i="14" s="1"/>
  <c r="AA17" i="4"/>
  <c r="AA27" i="4"/>
  <c r="AA11" i="4"/>
  <c r="AA20" i="19"/>
  <c r="AA10" i="12"/>
  <c r="AA10" i="19"/>
  <c r="AA10" i="15"/>
  <c r="AA6" i="6"/>
  <c r="X24" i="4"/>
  <c r="AA24" i="4" s="1"/>
  <c r="W22" i="4"/>
  <c r="AA22" i="4" s="1"/>
  <c r="Z20" i="4"/>
  <c r="V20" i="4"/>
  <c r="Y18" i="4"/>
  <c r="Z16" i="4"/>
  <c r="V16" i="4"/>
  <c r="Y14" i="4"/>
  <c r="X12" i="4"/>
  <c r="W8" i="4"/>
  <c r="Z6" i="19"/>
  <c r="V6" i="19"/>
  <c r="Z6" i="15"/>
  <c r="V6" i="15"/>
  <c r="X6" i="4"/>
  <c r="Z6" i="3"/>
  <c r="V6" i="3"/>
  <c r="Y20" i="4"/>
  <c r="X18" i="4"/>
  <c r="Y16" i="4"/>
  <c r="X14" i="4"/>
  <c r="W12" i="4"/>
  <c r="Y10" i="4"/>
  <c r="W6" i="4"/>
  <c r="X6" i="3"/>
  <c r="W20" i="4"/>
  <c r="Z18" i="4"/>
  <c r="V18" i="4"/>
  <c r="W16" i="4"/>
  <c r="Z14" i="4"/>
  <c r="V14" i="4"/>
  <c r="Y12" i="4"/>
  <c r="W10" i="4"/>
  <c r="X8" i="4"/>
  <c r="Y6" i="4"/>
  <c r="N26" i="12"/>
  <c r="K28" i="21"/>
  <c r="N22" i="21" s="1"/>
  <c r="K112" i="20"/>
  <c r="K99" i="21"/>
  <c r="K106" i="21"/>
  <c r="K26" i="21"/>
  <c r="N10" i="21" s="1"/>
  <c r="K99" i="20"/>
  <c r="K24" i="21"/>
  <c r="N36" i="21" s="1"/>
  <c r="K106" i="20"/>
  <c r="K112" i="21"/>
  <c r="K93" i="20"/>
  <c r="K93" i="21"/>
  <c r="K22" i="21"/>
  <c r="N16" i="21" s="1"/>
  <c r="K86" i="20"/>
  <c r="K20" i="21"/>
  <c r="N20" i="21" s="1"/>
  <c r="K73" i="21"/>
  <c r="K73" i="20"/>
  <c r="K80" i="21"/>
  <c r="K18" i="21"/>
  <c r="N32" i="21" s="1"/>
  <c r="K80" i="20"/>
  <c r="K86" i="21"/>
  <c r="K67" i="21"/>
  <c r="K67" i="20"/>
  <c r="K14" i="21"/>
  <c r="N6" i="21" s="1"/>
  <c r="K47" i="21"/>
  <c r="K12" i="21"/>
  <c r="N12" i="21" s="1"/>
  <c r="K54" i="21"/>
  <c r="K10" i="21"/>
  <c r="N34" i="21" s="1"/>
  <c r="K8" i="21"/>
  <c r="N14" i="21" s="1"/>
  <c r="D60" i="21"/>
  <c r="K60" i="21" s="1"/>
  <c r="K6" i="21"/>
  <c r="N24" i="21" s="1"/>
  <c r="K41" i="21"/>
  <c r="K41" i="20"/>
  <c r="K99" i="19"/>
  <c r="K93" i="19"/>
  <c r="K86" i="19"/>
  <c r="K80" i="19"/>
  <c r="K67" i="19"/>
  <c r="K60" i="19"/>
  <c r="K54" i="19"/>
  <c r="K47" i="19"/>
  <c r="K41" i="19"/>
  <c r="K28" i="10"/>
  <c r="N32" i="10" s="1"/>
  <c r="K99" i="10"/>
  <c r="K112" i="9"/>
  <c r="K99" i="9"/>
  <c r="K26" i="10"/>
  <c r="N22" i="10" s="1"/>
  <c r="K106" i="9"/>
  <c r="K24" i="10"/>
  <c r="N18" i="10" s="1"/>
  <c r="K112" i="10"/>
  <c r="K22" i="10"/>
  <c r="N12" i="10" s="1"/>
  <c r="K93" i="10"/>
  <c r="K93" i="9"/>
  <c r="K86" i="9"/>
  <c r="K20" i="10"/>
  <c r="N20" i="10" s="1"/>
  <c r="K18" i="10"/>
  <c r="N10" i="10" s="1"/>
  <c r="K80" i="9"/>
  <c r="K86" i="10"/>
  <c r="K16" i="10"/>
  <c r="N24" i="10" s="1"/>
  <c r="K67" i="9"/>
  <c r="K14" i="10"/>
  <c r="N30" i="10" s="1"/>
  <c r="K12" i="10"/>
  <c r="N36" i="10" s="1"/>
  <c r="K60" i="9"/>
  <c r="K47" i="10"/>
  <c r="K47" i="9"/>
  <c r="K10" i="10"/>
  <c r="N26" i="10" s="1"/>
  <c r="K54" i="9"/>
  <c r="K8" i="10"/>
  <c r="N14" i="10" s="1"/>
  <c r="K6" i="10"/>
  <c r="N8" i="10" s="1"/>
  <c r="K41" i="9"/>
  <c r="K112" i="8"/>
  <c r="K106" i="8"/>
  <c r="K93" i="8"/>
  <c r="K86" i="8"/>
  <c r="K80" i="8"/>
  <c r="K73" i="8"/>
  <c r="K67" i="8"/>
  <c r="K60" i="8"/>
  <c r="K54" i="8"/>
  <c r="K41" i="8"/>
  <c r="K47" i="15"/>
  <c r="K60" i="7"/>
  <c r="K12" i="15"/>
  <c r="N30" i="15" s="1"/>
  <c r="K47" i="7"/>
  <c r="K10" i="15"/>
  <c r="N22" i="15" s="1"/>
  <c r="K54" i="15"/>
  <c r="K60" i="15"/>
  <c r="K8" i="15"/>
  <c r="N6" i="15" s="1"/>
  <c r="K54" i="7"/>
  <c r="K41" i="7"/>
  <c r="K6" i="15"/>
  <c r="N14" i="15" s="1"/>
  <c r="B41" i="15"/>
  <c r="K41" i="15" s="1"/>
  <c r="K112" i="7"/>
  <c r="K99" i="15"/>
  <c r="K28" i="15"/>
  <c r="N18" i="15" s="1"/>
  <c r="K99" i="7"/>
  <c r="K26" i="15"/>
  <c r="N34" i="15" s="1"/>
  <c r="K106" i="15"/>
  <c r="K112" i="15"/>
  <c r="K24" i="15"/>
  <c r="N26" i="15" s="1"/>
  <c r="K93" i="7"/>
  <c r="K22" i="15"/>
  <c r="N10" i="15" s="1"/>
  <c r="K93" i="15"/>
  <c r="K112" i="6"/>
  <c r="K106" i="6"/>
  <c r="K99" i="6"/>
  <c r="K93" i="6"/>
  <c r="K67" i="6"/>
  <c r="K86" i="15"/>
  <c r="K67" i="15"/>
  <c r="K14" i="15"/>
  <c r="N24" i="15" s="1"/>
  <c r="K73" i="15"/>
  <c r="K86" i="6"/>
  <c r="K80" i="6"/>
  <c r="K73" i="6"/>
  <c r="K41" i="6"/>
  <c r="K60" i="6"/>
  <c r="K47" i="6"/>
  <c r="K24" i="14"/>
  <c r="N24" i="14" s="1"/>
  <c r="K112" i="14"/>
  <c r="C47" i="13"/>
  <c r="Z10" i="4"/>
  <c r="V10" i="4"/>
  <c r="Z8" i="4"/>
  <c r="V8" i="4"/>
  <c r="Z6" i="4"/>
  <c r="K20" i="14"/>
  <c r="N20" i="14" s="1"/>
  <c r="K73" i="14"/>
  <c r="K86" i="4"/>
  <c r="K73" i="4"/>
  <c r="K18" i="14"/>
  <c r="N18" i="14" s="1"/>
  <c r="K80" i="14"/>
  <c r="K16" i="14"/>
  <c r="N16" i="14" s="1"/>
  <c r="K80" i="4"/>
  <c r="B86" i="14"/>
  <c r="K86" i="14" s="1"/>
  <c r="K67" i="14"/>
  <c r="K14" i="14"/>
  <c r="N14" i="14" s="1"/>
  <c r="K67" i="4"/>
  <c r="K60" i="4"/>
  <c r="K12" i="14"/>
  <c r="N12" i="14" s="1"/>
  <c r="K47" i="14"/>
  <c r="K10" i="14"/>
  <c r="N10" i="14" s="1"/>
  <c r="K47" i="4"/>
  <c r="K54" i="14"/>
  <c r="K54" i="4"/>
  <c r="K8" i="14"/>
  <c r="N8" i="14" s="1"/>
  <c r="B60" i="14"/>
  <c r="K60" i="14" s="1"/>
  <c r="K41" i="4"/>
  <c r="K41" i="14"/>
  <c r="K6" i="14"/>
  <c r="N6" i="14" s="1"/>
  <c r="K99" i="14"/>
  <c r="K22" i="14"/>
  <c r="N22" i="14" s="1"/>
  <c r="K93" i="14"/>
  <c r="K112" i="3"/>
  <c r="C49" i="13"/>
  <c r="K93" i="3"/>
  <c r="C46" i="13"/>
  <c r="K86" i="3"/>
  <c r="C45" i="13"/>
  <c r="K80" i="3"/>
  <c r="C44" i="13"/>
  <c r="K73" i="3"/>
  <c r="C43" i="13"/>
  <c r="K67" i="3"/>
  <c r="C42" i="13"/>
  <c r="K60" i="3"/>
  <c r="C41" i="13"/>
  <c r="K54" i="3"/>
  <c r="C40" i="13"/>
  <c r="K47" i="3"/>
  <c r="C38" i="13"/>
  <c r="K41" i="3"/>
  <c r="I14" i="29"/>
  <c r="I5" i="29"/>
  <c r="A22" i="14"/>
  <c r="A93" i="14" s="1"/>
  <c r="J85" i="1"/>
  <c r="J65" i="1"/>
  <c r="A18" i="4"/>
  <c r="A26" i="14"/>
  <c r="C69" i="1"/>
  <c r="A12" i="4"/>
  <c r="A12" i="14"/>
  <c r="A12" i="3"/>
  <c r="A28" i="14"/>
  <c r="A99" i="14" s="1"/>
  <c r="C85" i="1"/>
  <c r="A20" i="14"/>
  <c r="A73" i="14" s="1"/>
  <c r="A20" i="3"/>
  <c r="T5" i="7"/>
  <c r="T5" i="10"/>
  <c r="Q5" i="10"/>
  <c r="T5" i="6"/>
  <c r="T5" i="9"/>
  <c r="C39" i="13"/>
  <c r="K3" i="12"/>
  <c r="K3" i="11"/>
  <c r="K3" i="19"/>
  <c r="K3" i="20"/>
  <c r="K3" i="21"/>
  <c r="K3" i="3"/>
  <c r="K3" i="6"/>
  <c r="K3" i="9"/>
  <c r="K3" i="10"/>
  <c r="K3" i="8"/>
  <c r="K3" i="15"/>
  <c r="K3" i="7"/>
  <c r="K3" i="14"/>
  <c r="K3" i="4"/>
  <c r="A14" i="14"/>
  <c r="A26" i="4"/>
  <c r="A99" i="4" s="1"/>
  <c r="A16" i="3"/>
  <c r="I15" i="29"/>
  <c r="A28" i="4"/>
  <c r="A28" i="3"/>
  <c r="I11" i="29"/>
  <c r="A20" i="4"/>
  <c r="A86" i="4" s="1"/>
  <c r="C77" i="1"/>
  <c r="C71" i="1"/>
  <c r="F77" i="1" s="1"/>
  <c r="A14" i="3"/>
  <c r="A14" i="4"/>
  <c r="I8" i="29"/>
  <c r="A16" i="14"/>
  <c r="I7" i="29"/>
  <c r="A8" i="4"/>
  <c r="A16" i="4"/>
  <c r="I9" i="29"/>
  <c r="C73" i="1"/>
  <c r="E77" i="1" s="1"/>
  <c r="A8" i="3"/>
  <c r="C65" i="1"/>
  <c r="C83" i="1"/>
  <c r="A26" i="3"/>
  <c r="A18" i="14"/>
  <c r="A18" i="3"/>
  <c r="C75" i="1"/>
  <c r="I10" i="29"/>
  <c r="A8" i="14"/>
  <c r="A10" i="3"/>
  <c r="Q5" i="7"/>
  <c r="S5" i="11"/>
  <c r="S5" i="9"/>
  <c r="Q5" i="3"/>
  <c r="S5" i="20"/>
  <c r="Q5" i="6"/>
  <c r="S5" i="15"/>
  <c r="Q5" i="9"/>
  <c r="S5" i="12"/>
  <c r="S5" i="6"/>
  <c r="S5" i="21"/>
  <c r="Q5" i="19"/>
  <c r="S5" i="19"/>
  <c r="A6" i="3"/>
  <c r="A6" i="14"/>
  <c r="A6" i="12"/>
  <c r="M6" i="12" s="1"/>
  <c r="A6" i="4"/>
  <c r="C63" i="1"/>
  <c r="A6" i="11"/>
  <c r="M6" i="11" s="1"/>
  <c r="A24" i="14"/>
  <c r="A112" i="14" s="1"/>
  <c r="A22" i="4"/>
  <c r="I12" i="29"/>
  <c r="C79" i="1"/>
  <c r="A22" i="3"/>
  <c r="Q5" i="4"/>
  <c r="Q5" i="15"/>
  <c r="Q5" i="11"/>
  <c r="S5" i="4"/>
  <c r="S5" i="3"/>
  <c r="S5" i="14"/>
  <c r="Q5" i="21"/>
  <c r="Q5" i="20"/>
  <c r="Q5" i="14"/>
  <c r="Q5" i="8"/>
  <c r="S5" i="7"/>
  <c r="A24" i="4"/>
  <c r="A106" i="4" s="1"/>
  <c r="A24" i="3"/>
  <c r="C81" i="1"/>
  <c r="I13" i="29"/>
  <c r="C67" i="1"/>
  <c r="A10" i="14"/>
  <c r="A10" i="4"/>
  <c r="I6" i="29"/>
  <c r="I4" i="29"/>
  <c r="J32" i="28" l="1"/>
  <c r="L32" i="28" s="1"/>
  <c r="J28" i="28"/>
  <c r="L28" i="28" s="1"/>
  <c r="J26" i="28"/>
  <c r="L26" i="28" s="1"/>
  <c r="J12" i="16"/>
  <c r="M27" i="1" s="1"/>
  <c r="K12" i="28"/>
  <c r="J20" i="16"/>
  <c r="M35" i="1" s="1"/>
  <c r="K20" i="28"/>
  <c r="J4" i="16"/>
  <c r="M19" i="1" s="1"/>
  <c r="K4" i="28"/>
  <c r="J30" i="28"/>
  <c r="L30" i="28" s="1"/>
  <c r="J6" i="16"/>
  <c r="M21" i="1" s="1"/>
  <c r="K6" i="28"/>
  <c r="J16" i="16"/>
  <c r="M31" i="1" s="1"/>
  <c r="K16" i="28"/>
  <c r="AA10" i="11"/>
  <c r="J14" i="16"/>
  <c r="M29" i="1" s="1"/>
  <c r="K14" i="28"/>
  <c r="J22" i="16"/>
  <c r="M37" i="1" s="1"/>
  <c r="K22" i="28"/>
  <c r="J18" i="16"/>
  <c r="M33" i="1" s="1"/>
  <c r="K18" i="28"/>
  <c r="J24" i="16"/>
  <c r="M39" i="1" s="1"/>
  <c r="K24" i="28"/>
  <c r="J10" i="16"/>
  <c r="M25" i="1" s="1"/>
  <c r="K10" i="28"/>
  <c r="J8" i="16"/>
  <c r="M23" i="1" s="1"/>
  <c r="K8" i="28"/>
  <c r="I2" i="16"/>
  <c r="G141" i="3"/>
  <c r="I141" i="3"/>
  <c r="I135" i="3"/>
  <c r="C141" i="3"/>
  <c r="D135" i="3"/>
  <c r="H141" i="3"/>
  <c r="E135" i="3"/>
  <c r="C135" i="3"/>
  <c r="G135" i="3"/>
  <c r="J141" i="3"/>
  <c r="H135" i="3"/>
  <c r="B135" i="3"/>
  <c r="K134" i="3"/>
  <c r="D141" i="3"/>
  <c r="F141" i="3"/>
  <c r="F135" i="3"/>
  <c r="J135" i="3"/>
  <c r="E141" i="3"/>
  <c r="K139" i="3"/>
  <c r="B141" i="3"/>
  <c r="K133" i="3"/>
  <c r="K140" i="3"/>
  <c r="E85" i="1"/>
  <c r="F83" i="1"/>
  <c r="D79" i="1"/>
  <c r="D83" i="1"/>
  <c r="E81" i="1"/>
  <c r="F79" i="1"/>
  <c r="E83" i="1"/>
  <c r="F85" i="1"/>
  <c r="D81" i="1"/>
  <c r="E73" i="1"/>
  <c r="F71" i="1"/>
  <c r="K83" i="1"/>
  <c r="L81" i="1"/>
  <c r="M79" i="1"/>
  <c r="F81" i="1"/>
  <c r="D85" i="1"/>
  <c r="E79" i="1"/>
  <c r="M67" i="1"/>
  <c r="L69" i="1"/>
  <c r="K63" i="1"/>
  <c r="L21" i="1"/>
  <c r="L25" i="1"/>
  <c r="L31" i="1"/>
  <c r="L37" i="1"/>
  <c r="L23" i="1"/>
  <c r="L33" i="1"/>
  <c r="L39" i="1"/>
  <c r="L29" i="1"/>
  <c r="L27" i="1"/>
  <c r="L35" i="1"/>
  <c r="L19" i="1"/>
  <c r="AA12" i="11"/>
  <c r="C20" i="28"/>
  <c r="D2" i="28"/>
  <c r="C6" i="28"/>
  <c r="AA18" i="11"/>
  <c r="C2" i="28"/>
  <c r="H24" i="16"/>
  <c r="K39" i="1" s="1"/>
  <c r="H22" i="16"/>
  <c r="K37" i="1" s="1"/>
  <c r="H20" i="16"/>
  <c r="K35" i="1" s="1"/>
  <c r="H18" i="16"/>
  <c r="K33" i="1" s="1"/>
  <c r="H16" i="16"/>
  <c r="K31" i="1" s="1"/>
  <c r="H14" i="16"/>
  <c r="K29" i="1" s="1"/>
  <c r="H12" i="16"/>
  <c r="K27" i="1" s="1"/>
  <c r="H10" i="16"/>
  <c r="K25" i="1" s="1"/>
  <c r="H8" i="16"/>
  <c r="K23" i="1" s="1"/>
  <c r="H6" i="16"/>
  <c r="K21" i="1" s="1"/>
  <c r="H4" i="16"/>
  <c r="K19" i="1" s="1"/>
  <c r="H2" i="16"/>
  <c r="K17" i="1" s="1"/>
  <c r="C16" i="28"/>
  <c r="C24" i="28"/>
  <c r="A47" i="18"/>
  <c r="A41" i="13"/>
  <c r="A38" i="13"/>
  <c r="A41" i="18"/>
  <c r="A43" i="18"/>
  <c r="A39" i="13"/>
  <c r="A55" i="18"/>
  <c r="A45" i="13"/>
  <c r="A49" i="18"/>
  <c r="A42" i="13"/>
  <c r="A59" i="18"/>
  <c r="A47" i="13"/>
  <c r="A53" i="18"/>
  <c r="A44" i="13"/>
  <c r="A45" i="18"/>
  <c r="A40" i="13"/>
  <c r="A57" i="18"/>
  <c r="A46" i="13"/>
  <c r="A51" i="18"/>
  <c r="A43" i="13"/>
  <c r="A61" i="18"/>
  <c r="A48" i="13"/>
  <c r="A63" i="18"/>
  <c r="A49" i="13"/>
  <c r="C22" i="28"/>
  <c r="J22" i="28" s="1"/>
  <c r="L22" i="28" s="1"/>
  <c r="AA16" i="11"/>
  <c r="AA26" i="11"/>
  <c r="D4" i="28"/>
  <c r="K48" i="13"/>
  <c r="F22" i="28"/>
  <c r="F24" i="28"/>
  <c r="K49" i="13"/>
  <c r="F20" i="28"/>
  <c r="K47" i="13"/>
  <c r="F18" i="28"/>
  <c r="K46" i="13"/>
  <c r="F16" i="28"/>
  <c r="K45" i="13"/>
  <c r="F14" i="28"/>
  <c r="J14" i="28" s="1"/>
  <c r="K44" i="13"/>
  <c r="F12" i="28"/>
  <c r="K43" i="13"/>
  <c r="F10" i="28"/>
  <c r="K42" i="13"/>
  <c r="F8" i="28"/>
  <c r="J8" i="28" s="1"/>
  <c r="K41" i="13"/>
  <c r="F6" i="28"/>
  <c r="K40" i="13"/>
  <c r="F4" i="28"/>
  <c r="K39" i="13"/>
  <c r="F2" i="28"/>
  <c r="K38" i="13"/>
  <c r="E12" i="28"/>
  <c r="E4" i="28"/>
  <c r="E18" i="28"/>
  <c r="E24" i="28"/>
  <c r="E6" i="28"/>
  <c r="E10" i="28"/>
  <c r="D12" i="28"/>
  <c r="D18" i="28"/>
  <c r="A60" i="4"/>
  <c r="M12" i="4"/>
  <c r="A60" i="3"/>
  <c r="M12" i="3"/>
  <c r="A47" i="14"/>
  <c r="M12" i="14"/>
  <c r="M20" i="4"/>
  <c r="A86" i="3"/>
  <c r="M20" i="3"/>
  <c r="A16" i="28" s="1"/>
  <c r="M20" i="14"/>
  <c r="A112" i="3"/>
  <c r="M28" i="3"/>
  <c r="A24" i="28" s="1"/>
  <c r="M28" i="14"/>
  <c r="A112" i="4"/>
  <c r="M28" i="4"/>
  <c r="M26" i="4"/>
  <c r="A106" i="14"/>
  <c r="M26" i="14"/>
  <c r="A106" i="3"/>
  <c r="M26" i="3"/>
  <c r="A54" i="3"/>
  <c r="M10" i="3"/>
  <c r="A6" i="28" s="1"/>
  <c r="A47" i="4"/>
  <c r="M10" i="4"/>
  <c r="A54" i="14"/>
  <c r="M10" i="14"/>
  <c r="A80" i="3"/>
  <c r="M18" i="3"/>
  <c r="A73" i="4"/>
  <c r="M18" i="4"/>
  <c r="A80" i="14"/>
  <c r="M18" i="14"/>
  <c r="A86" i="14"/>
  <c r="M16" i="14"/>
  <c r="A73" i="3"/>
  <c r="M16" i="3"/>
  <c r="A80" i="4"/>
  <c r="M16" i="4"/>
  <c r="A60" i="14"/>
  <c r="M8" i="14"/>
  <c r="A47" i="3"/>
  <c r="M8" i="3"/>
  <c r="A4" i="28" s="1"/>
  <c r="A54" i="4"/>
  <c r="M8" i="4"/>
  <c r="M24" i="4"/>
  <c r="M24" i="14"/>
  <c r="A99" i="3"/>
  <c r="M24" i="3"/>
  <c r="A20" i="28" s="1"/>
  <c r="A41" i="6"/>
  <c r="A93" i="3"/>
  <c r="M22" i="3"/>
  <c r="A18" i="28" s="1"/>
  <c r="M22" i="14"/>
  <c r="A93" i="4"/>
  <c r="M22" i="4"/>
  <c r="A67" i="3"/>
  <c r="M14" i="3"/>
  <c r="A67" i="14"/>
  <c r="M14" i="14"/>
  <c r="A67" i="4"/>
  <c r="M14" i="4"/>
  <c r="A41" i="3"/>
  <c r="M6" i="3"/>
  <c r="A2" i="28" s="1"/>
  <c r="A41" i="4"/>
  <c r="M6" i="4"/>
  <c r="A41" i="14"/>
  <c r="M6" i="14"/>
  <c r="AA6" i="11"/>
  <c r="AA13" i="11"/>
  <c r="AA8" i="10"/>
  <c r="AA11" i="10"/>
  <c r="K125" i="4"/>
  <c r="AA14" i="10"/>
  <c r="AA18" i="8"/>
  <c r="AA14" i="8"/>
  <c r="AA18" i="10"/>
  <c r="AA18" i="7"/>
  <c r="AA11" i="3"/>
  <c r="AA15" i="3"/>
  <c r="AA14" i="14"/>
  <c r="AA20" i="10"/>
  <c r="AA14" i="7"/>
  <c r="AA12" i="7"/>
  <c r="AA14" i="3"/>
  <c r="AA8" i="3"/>
  <c r="AA6" i="15"/>
  <c r="AA16" i="3"/>
  <c r="AA7" i="3"/>
  <c r="AA19" i="3"/>
  <c r="AA23" i="3"/>
  <c r="AA18" i="3"/>
  <c r="AA10" i="3"/>
  <c r="AA21" i="3"/>
  <c r="AA12" i="3"/>
  <c r="AA20" i="3"/>
  <c r="AA24" i="3"/>
  <c r="AA27" i="3"/>
  <c r="AA26" i="3"/>
  <c r="AA22" i="3"/>
  <c r="AA13" i="3"/>
  <c r="AA17" i="3"/>
  <c r="AA27" i="11"/>
  <c r="AA14" i="11"/>
  <c r="AA6" i="12"/>
  <c r="AA9" i="11"/>
  <c r="AA8" i="11"/>
  <c r="AA28" i="11"/>
  <c r="F63" i="18" s="1"/>
  <c r="AA21" i="11"/>
  <c r="AA19" i="11"/>
  <c r="AA17" i="11"/>
  <c r="AA29" i="11"/>
  <c r="F64" i="18" s="1"/>
  <c r="B64" i="18" s="1"/>
  <c r="AA11" i="11"/>
  <c r="AA22" i="11"/>
  <c r="AA23" i="11"/>
  <c r="AA20" i="11"/>
  <c r="AA24" i="11"/>
  <c r="AA25" i="11"/>
  <c r="AA7" i="11"/>
  <c r="AA15" i="11"/>
  <c r="A20" i="8"/>
  <c r="M20" i="8" s="1"/>
  <c r="AA22" i="14"/>
  <c r="AA6" i="14"/>
  <c r="AA19" i="7"/>
  <c r="AA6" i="4"/>
  <c r="AA15" i="10"/>
  <c r="AA12" i="10"/>
  <c r="AA15" i="7"/>
  <c r="AA11" i="7"/>
  <c r="AA18" i="4"/>
  <c r="AA6" i="19"/>
  <c r="AA18" i="14"/>
  <c r="AA13" i="10"/>
  <c r="AA17" i="7"/>
  <c r="AA13" i="7"/>
  <c r="AA14" i="20"/>
  <c r="AA6" i="21"/>
  <c r="AA16" i="10"/>
  <c r="AA26" i="10"/>
  <c r="AA21" i="7"/>
  <c r="AA9" i="7"/>
  <c r="AA23" i="7"/>
  <c r="AA16" i="7"/>
  <c r="AA10" i="8"/>
  <c r="AA10" i="20"/>
  <c r="AA18" i="20"/>
  <c r="AA6" i="10"/>
  <c r="AA27" i="7"/>
  <c r="AA25" i="7"/>
  <c r="AA26" i="7"/>
  <c r="AA20" i="7"/>
  <c r="AA6" i="7"/>
  <c r="AA27" i="10"/>
  <c r="AA24" i="10"/>
  <c r="AA10" i="10"/>
  <c r="AA24" i="7"/>
  <c r="AA10" i="7"/>
  <c r="AA14" i="4"/>
  <c r="AA22" i="10"/>
  <c r="AA7" i="7"/>
  <c r="AA22" i="7"/>
  <c r="AA8" i="7"/>
  <c r="AU17" i="18"/>
  <c r="BO4" i="18"/>
  <c r="BM4" i="18"/>
  <c r="AU13" i="18"/>
  <c r="AA12" i="8"/>
  <c r="AA8" i="20"/>
  <c r="AA20" i="20"/>
  <c r="BN4" i="18"/>
  <c r="AU15" i="18"/>
  <c r="BJ4" i="18"/>
  <c r="AU7" i="18"/>
  <c r="AU25" i="18"/>
  <c r="BS4" i="18"/>
  <c r="AA20" i="4"/>
  <c r="AA16" i="14"/>
  <c r="AA22" i="8"/>
  <c r="AA6" i="8"/>
  <c r="AA22" i="20"/>
  <c r="AA12" i="20"/>
  <c r="BQ4" i="18"/>
  <c r="AU21" i="18"/>
  <c r="BL4" i="18"/>
  <c r="AU11" i="18"/>
  <c r="AA12" i="4"/>
  <c r="AA8" i="14"/>
  <c r="AA20" i="14"/>
  <c r="AA16" i="8"/>
  <c r="AA16" i="20"/>
  <c r="AA6" i="20"/>
  <c r="BI4" i="18"/>
  <c r="AU5" i="18"/>
  <c r="BK4" i="18"/>
  <c r="AU9" i="18"/>
  <c r="BP4" i="18"/>
  <c r="AU19" i="18"/>
  <c r="BT4" i="18"/>
  <c r="AU27" i="18"/>
  <c r="AA10" i="4"/>
  <c r="AA16" i="4"/>
  <c r="AA6" i="3"/>
  <c r="AA10" i="14"/>
  <c r="AA12" i="14"/>
  <c r="AA8" i="8"/>
  <c r="AA20" i="8"/>
  <c r="BR4" i="18"/>
  <c r="AU23" i="18"/>
  <c r="AA8" i="4"/>
  <c r="A8" i="7"/>
  <c r="M6" i="7" s="1"/>
  <c r="A20" i="15"/>
  <c r="A20" i="6"/>
  <c r="M32" i="6" s="1"/>
  <c r="E69" i="1"/>
  <c r="E75" i="1"/>
  <c r="E65" i="1"/>
  <c r="F75" i="1"/>
  <c r="E71" i="1"/>
  <c r="A12" i="7"/>
  <c r="M30" i="7" s="1"/>
  <c r="A26" i="7"/>
  <c r="M34" i="7" s="1"/>
  <c r="J77" i="1"/>
  <c r="A20" i="7"/>
  <c r="M6" i="6"/>
  <c r="A8" i="15"/>
  <c r="M6" i="15" s="1"/>
  <c r="A8" i="19"/>
  <c r="M14" i="19" s="1"/>
  <c r="A28" i="7"/>
  <c r="M18" i="7" s="1"/>
  <c r="A28" i="6"/>
  <c r="M18" i="6" s="1"/>
  <c r="A28" i="15"/>
  <c r="A99" i="15" s="1"/>
  <c r="A10" i="10"/>
  <c r="M26" i="10" s="1"/>
  <c r="A26" i="9"/>
  <c r="M22" i="9" s="1"/>
  <c r="A14" i="7"/>
  <c r="M24" i="7" s="1"/>
  <c r="D71" i="1"/>
  <c r="A16" i="6"/>
  <c r="M16" i="6" s="1"/>
  <c r="F63" i="1"/>
  <c r="D67" i="1"/>
  <c r="A14" i="15"/>
  <c r="M24" i="15" s="1"/>
  <c r="A26" i="15"/>
  <c r="M34" i="15" s="1"/>
  <c r="A12" i="9"/>
  <c r="M36" i="9" s="1"/>
  <c r="A10" i="8"/>
  <c r="M26" i="8" s="1"/>
  <c r="A10" i="9"/>
  <c r="M26" i="9" s="1"/>
  <c r="J75" i="1"/>
  <c r="A18" i="15"/>
  <c r="M8" i="15" s="1"/>
  <c r="C102" i="1"/>
  <c r="A18" i="7"/>
  <c r="M8" i="7" s="1"/>
  <c r="A6" i="15"/>
  <c r="M14" i="15" s="1"/>
  <c r="A18" i="6"/>
  <c r="M8" i="6" s="1"/>
  <c r="A6" i="7"/>
  <c r="M14" i="7" s="1"/>
  <c r="C112" i="1"/>
  <c r="A10" i="6"/>
  <c r="M22" i="6" s="1"/>
  <c r="J71" i="1"/>
  <c r="A14" i="6"/>
  <c r="M24" i="6" s="1"/>
  <c r="A20" i="10"/>
  <c r="M20" i="10" s="1"/>
  <c r="A26" i="6"/>
  <c r="M34" i="6" s="1"/>
  <c r="J83" i="1"/>
  <c r="A18" i="9"/>
  <c r="M10" i="9" s="1"/>
  <c r="A16" i="15"/>
  <c r="M16" i="15" s="1"/>
  <c r="D75" i="1"/>
  <c r="J73" i="1"/>
  <c r="A16" i="7"/>
  <c r="M16" i="7" s="1"/>
  <c r="F73" i="1"/>
  <c r="A24" i="6"/>
  <c r="M26" i="6" s="1"/>
  <c r="D63" i="1"/>
  <c r="A20" i="9"/>
  <c r="M20" i="9" s="1"/>
  <c r="A10" i="7"/>
  <c r="M22" i="7" s="1"/>
  <c r="J67" i="1"/>
  <c r="J104" i="1"/>
  <c r="A10" i="15"/>
  <c r="M22" i="15" s="1"/>
  <c r="D77" i="1"/>
  <c r="D73" i="1"/>
  <c r="F67" i="1"/>
  <c r="J81" i="1"/>
  <c r="A28" i="8"/>
  <c r="M32" i="8" s="1"/>
  <c r="A24" i="7"/>
  <c r="M26" i="7" s="1"/>
  <c r="A24" i="15"/>
  <c r="M26" i="15" s="1"/>
  <c r="F69" i="1"/>
  <c r="E67" i="1"/>
  <c r="D65" i="1"/>
  <c r="J69" i="1"/>
  <c r="A12" i="15"/>
  <c r="M30" i="15" s="1"/>
  <c r="A12" i="6"/>
  <c r="M30" i="6" s="1"/>
  <c r="E63" i="1"/>
  <c r="F65" i="1"/>
  <c r="D69" i="1"/>
  <c r="A22" i="6"/>
  <c r="M10" i="6" s="1"/>
  <c r="A22" i="15"/>
  <c r="A22" i="7"/>
  <c r="M10" i="7" s="1"/>
  <c r="J79" i="1"/>
  <c r="A86" i="7" l="1"/>
  <c r="M32" i="7"/>
  <c r="A93" i="15"/>
  <c r="M10" i="15"/>
  <c r="A73" i="15"/>
  <c r="M32" i="15"/>
  <c r="B38" i="13"/>
  <c r="H38" i="13" s="1"/>
  <c r="J24" i="28"/>
  <c r="L24" i="28" s="1"/>
  <c r="J10" i="28"/>
  <c r="L10" i="28" s="1"/>
  <c r="L14" i="28"/>
  <c r="J2" i="28"/>
  <c r="J16" i="28"/>
  <c r="L16" i="28" s="1"/>
  <c r="J20" i="28"/>
  <c r="L20" i="28" s="1"/>
  <c r="J18" i="28"/>
  <c r="L18" i="28" s="1"/>
  <c r="J4" i="28"/>
  <c r="L4" i="28" s="1"/>
  <c r="J12" i="28"/>
  <c r="L12" i="28" s="1"/>
  <c r="J6" i="28"/>
  <c r="L6" i="28" s="1"/>
  <c r="J2" i="16"/>
  <c r="M17" i="1" s="1"/>
  <c r="K2" i="28"/>
  <c r="L8" i="28"/>
  <c r="L17" i="1"/>
  <c r="B136" i="3"/>
  <c r="C136" i="3" s="1"/>
  <c r="D136" i="3" s="1"/>
  <c r="E136" i="3" s="1"/>
  <c r="F136" i="3" s="1"/>
  <c r="G136" i="3" s="1"/>
  <c r="H136" i="3" s="1"/>
  <c r="I136" i="3" s="1"/>
  <c r="J136" i="3" s="1"/>
  <c r="B142" i="3"/>
  <c r="C142" i="3" s="1"/>
  <c r="D142" i="3" s="1"/>
  <c r="E142" i="3" s="1"/>
  <c r="F142" i="3" s="1"/>
  <c r="G142" i="3" s="1"/>
  <c r="H142" i="3" s="1"/>
  <c r="I142" i="3" s="1"/>
  <c r="J142" i="3" s="1"/>
  <c r="B44" i="13"/>
  <c r="H44" i="13" s="1"/>
  <c r="B48" i="13"/>
  <c r="H48" i="13" s="1"/>
  <c r="B47" i="13"/>
  <c r="H47" i="13" s="1"/>
  <c r="B46" i="13"/>
  <c r="H46" i="13" s="1"/>
  <c r="B42" i="13"/>
  <c r="H42" i="13" s="1"/>
  <c r="B49" i="13"/>
  <c r="H49" i="13" s="1"/>
  <c r="B43" i="13"/>
  <c r="H43" i="13" s="1"/>
  <c r="B41" i="13"/>
  <c r="H41" i="13" s="1"/>
  <c r="B40" i="13"/>
  <c r="H40" i="13" s="1"/>
  <c r="B25" i="16"/>
  <c r="C26" i="1" s="1"/>
  <c r="G4" i="1" s="1"/>
  <c r="B45" i="13"/>
  <c r="H45" i="13" s="1"/>
  <c r="B5" i="16"/>
  <c r="C6" i="1" s="1"/>
  <c r="G20" i="1" s="1"/>
  <c r="B39" i="13"/>
  <c r="H39" i="13" s="1"/>
  <c r="M71" i="1"/>
  <c r="K75" i="1"/>
  <c r="L73" i="1"/>
  <c r="F100" i="1"/>
  <c r="E98" i="1"/>
  <c r="D104" i="1"/>
  <c r="L100" i="1"/>
  <c r="M98" i="1"/>
  <c r="K102" i="1"/>
  <c r="L77" i="1"/>
  <c r="M75" i="1"/>
  <c r="K71" i="1"/>
  <c r="L75" i="1"/>
  <c r="M77" i="1"/>
  <c r="K73" i="1"/>
  <c r="M81" i="1"/>
  <c r="K85" i="1"/>
  <c r="L79" i="1"/>
  <c r="K77" i="1"/>
  <c r="L71" i="1"/>
  <c r="M73" i="1"/>
  <c r="L65" i="1"/>
  <c r="M63" i="1"/>
  <c r="K67" i="1"/>
  <c r="L63" i="1"/>
  <c r="K69" i="1"/>
  <c r="M65" i="1"/>
  <c r="F106" i="1"/>
  <c r="D110" i="1"/>
  <c r="E108" i="1"/>
  <c r="M85" i="1"/>
  <c r="K81" i="1"/>
  <c r="L83" i="1"/>
  <c r="L85" i="1"/>
  <c r="M83" i="1"/>
  <c r="K79" i="1"/>
  <c r="A106" i="7"/>
  <c r="A112" i="15"/>
  <c r="A99" i="9"/>
  <c r="A73" i="10"/>
  <c r="A99" i="7"/>
  <c r="A86" i="9"/>
  <c r="F60" i="18"/>
  <c r="B60" i="18" s="1"/>
  <c r="M18" i="15"/>
  <c r="F41" i="18"/>
  <c r="F47" i="18"/>
  <c r="F46" i="18"/>
  <c r="B46" i="18" s="1"/>
  <c r="F44" i="18"/>
  <c r="B44" i="18" s="1"/>
  <c r="F56" i="18"/>
  <c r="B56" i="18" s="1"/>
  <c r="F49" i="18"/>
  <c r="F45" i="18"/>
  <c r="F57" i="18"/>
  <c r="F53" i="18"/>
  <c r="F61" i="18"/>
  <c r="F58" i="18"/>
  <c r="B58" i="18" s="1"/>
  <c r="F52" i="18"/>
  <c r="B52" i="18" s="1"/>
  <c r="F43" i="18"/>
  <c r="F48" i="18"/>
  <c r="B48" i="18" s="1"/>
  <c r="F54" i="18"/>
  <c r="B54" i="18" s="1"/>
  <c r="F59" i="18"/>
  <c r="F42" i="18"/>
  <c r="B42" i="18" s="1"/>
  <c r="F62" i="18"/>
  <c r="B62" i="18" s="1"/>
  <c r="F55" i="18"/>
  <c r="F51" i="18"/>
  <c r="F50" i="18"/>
  <c r="B50" i="18" s="1"/>
  <c r="A10" i="28"/>
  <c r="A12" i="28"/>
  <c r="A14" i="28"/>
  <c r="A8" i="28"/>
  <c r="L50" i="13"/>
  <c r="A22" i="28"/>
  <c r="A112" i="8"/>
  <c r="A60" i="6"/>
  <c r="A47" i="15"/>
  <c r="A60" i="7"/>
  <c r="A86" i="8"/>
  <c r="A86" i="6"/>
  <c r="A112" i="6"/>
  <c r="A112" i="7"/>
  <c r="A60" i="9"/>
  <c r="A99" i="6"/>
  <c r="A86" i="15"/>
  <c r="A80" i="7"/>
  <c r="A73" i="6"/>
  <c r="A54" i="8"/>
  <c r="A47" i="6"/>
  <c r="A54" i="7"/>
  <c r="A54" i="10"/>
  <c r="A47" i="9"/>
  <c r="A60" i="15"/>
  <c r="A73" i="9"/>
  <c r="A73" i="7"/>
  <c r="A80" i="6"/>
  <c r="A80" i="15"/>
  <c r="A106" i="6"/>
  <c r="A106" i="15"/>
  <c r="A47" i="19"/>
  <c r="A54" i="6"/>
  <c r="A47" i="7"/>
  <c r="A54" i="15"/>
  <c r="A41" i="7"/>
  <c r="A41" i="15"/>
  <c r="A93" i="7"/>
  <c r="A93" i="6"/>
  <c r="A67" i="6"/>
  <c r="A67" i="15"/>
  <c r="A67" i="7"/>
  <c r="A18" i="20"/>
  <c r="M32" i="20" s="1"/>
  <c r="A16" i="10"/>
  <c r="M24" i="10" s="1"/>
  <c r="A26" i="8"/>
  <c r="M22" i="8" s="1"/>
  <c r="A26" i="10"/>
  <c r="M22" i="10" s="1"/>
  <c r="A14" i="9"/>
  <c r="M30" i="9" s="1"/>
  <c r="A8" i="8"/>
  <c r="M14" i="8" s="1"/>
  <c r="A8" i="9"/>
  <c r="M14" i="9" s="1"/>
  <c r="A6" i="8"/>
  <c r="M8" i="8" s="1"/>
  <c r="C100" i="1"/>
  <c r="A8" i="10"/>
  <c r="M14" i="10" s="1"/>
  <c r="A14" i="8"/>
  <c r="M30" i="8" s="1"/>
  <c r="A6" i="10"/>
  <c r="M8" i="10" s="1"/>
  <c r="A6" i="9"/>
  <c r="M8" i="9" s="1"/>
  <c r="C98" i="1"/>
  <c r="A14" i="10"/>
  <c r="M30" i="10" s="1"/>
  <c r="C106" i="1"/>
  <c r="C108" i="1"/>
  <c r="A16" i="8"/>
  <c r="M24" i="8" s="1"/>
  <c r="C118" i="1"/>
  <c r="A16" i="9"/>
  <c r="M24" i="9" s="1"/>
  <c r="B21" i="16"/>
  <c r="B17" i="16"/>
  <c r="B13" i="16"/>
  <c r="B23" i="16"/>
  <c r="B3" i="16"/>
  <c r="B19" i="16"/>
  <c r="A18" i="19"/>
  <c r="M32" i="19" s="1"/>
  <c r="B9" i="16"/>
  <c r="B11" i="16"/>
  <c r="B7" i="16"/>
  <c r="B15" i="16"/>
  <c r="A18" i="21"/>
  <c r="M32" i="21" s="1"/>
  <c r="J110" i="1"/>
  <c r="A26" i="19"/>
  <c r="M10" i="19" s="1"/>
  <c r="A12" i="8"/>
  <c r="M36" i="8" s="1"/>
  <c r="A12" i="10"/>
  <c r="M36" i="10" s="1"/>
  <c r="C104" i="1"/>
  <c r="J100" i="1"/>
  <c r="A22" i="8"/>
  <c r="M12" i="8" s="1"/>
  <c r="A22" i="10"/>
  <c r="M12" i="10" s="1"/>
  <c r="C114" i="1"/>
  <c r="A22" i="9"/>
  <c r="M12" i="9" s="1"/>
  <c r="C110" i="1"/>
  <c r="A12" i="19"/>
  <c r="M12" i="19" s="1"/>
  <c r="A18" i="10"/>
  <c r="M10" i="10" s="1"/>
  <c r="A18" i="8"/>
  <c r="M10" i="8" s="1"/>
  <c r="C120" i="1"/>
  <c r="A28" i="10"/>
  <c r="M32" i="10" s="1"/>
  <c r="A28" i="9"/>
  <c r="M32" i="9" s="1"/>
  <c r="A8" i="21"/>
  <c r="M14" i="21" s="1"/>
  <c r="A8" i="20"/>
  <c r="M14" i="20" s="1"/>
  <c r="A12" i="20"/>
  <c r="M12" i="20" s="1"/>
  <c r="A12" i="21"/>
  <c r="M12" i="21" s="1"/>
  <c r="A28" i="21"/>
  <c r="M22" i="21" s="1"/>
  <c r="A22" i="19"/>
  <c r="M16" i="19" s="1"/>
  <c r="J114" i="1"/>
  <c r="A22" i="21"/>
  <c r="M16" i="21" s="1"/>
  <c r="A22" i="20"/>
  <c r="M16" i="20" s="1"/>
  <c r="A20" i="21"/>
  <c r="A20" i="19"/>
  <c r="M20" i="19" s="1"/>
  <c r="A20" i="20"/>
  <c r="J112" i="1"/>
  <c r="A24" i="19"/>
  <c r="M36" i="19" s="1"/>
  <c r="J116" i="1"/>
  <c r="A24" i="20"/>
  <c r="M36" i="20" s="1"/>
  <c r="A24" i="21"/>
  <c r="M36" i="21" s="1"/>
  <c r="A24" i="8"/>
  <c r="M18" i="8" s="1"/>
  <c r="C116" i="1"/>
  <c r="A24" i="10"/>
  <c r="M18" i="10" s="1"/>
  <c r="A24" i="9"/>
  <c r="M18" i="9" s="1"/>
  <c r="L2" i="28" l="1"/>
  <c r="M6" i="28" s="1"/>
  <c r="G6" i="28" s="1"/>
  <c r="AD6" i="30"/>
  <c r="AD36" i="30"/>
  <c r="AD34" i="30"/>
  <c r="AD32" i="30"/>
  <c r="AD30" i="30"/>
  <c r="AD10" i="30"/>
  <c r="AD16" i="30"/>
  <c r="AD14" i="30"/>
  <c r="AD24" i="30"/>
  <c r="AD20" i="30"/>
  <c r="AD8" i="30"/>
  <c r="AD18" i="30"/>
  <c r="AD26" i="30"/>
  <c r="AD12" i="30"/>
  <c r="AD22" i="30"/>
  <c r="AD28" i="30"/>
  <c r="F28" i="1"/>
  <c r="E34" i="1"/>
  <c r="D32" i="1"/>
  <c r="D16" i="1"/>
  <c r="F30" i="1"/>
  <c r="K142" i="3"/>
  <c r="K141" i="3" s="1"/>
  <c r="O36" i="3" s="1"/>
  <c r="F32" i="13" s="1"/>
  <c r="D40" i="13"/>
  <c r="L41" i="13"/>
  <c r="L43" i="13"/>
  <c r="K136" i="3"/>
  <c r="K135" i="3" s="1"/>
  <c r="O34" i="3" s="1"/>
  <c r="F30" i="13" s="1"/>
  <c r="D41" i="13"/>
  <c r="E100" i="1"/>
  <c r="F98" i="1"/>
  <c r="D102" i="1"/>
  <c r="D112" i="1"/>
  <c r="E106" i="1"/>
  <c r="F108" i="1"/>
  <c r="F116" i="1"/>
  <c r="D120" i="1"/>
  <c r="E114" i="1"/>
  <c r="K110" i="1"/>
  <c r="L108" i="1"/>
  <c r="M106" i="1"/>
  <c r="E118" i="1"/>
  <c r="F120" i="1"/>
  <c r="D116" i="1"/>
  <c r="E104" i="1"/>
  <c r="D98" i="1"/>
  <c r="F102" i="1"/>
  <c r="E120" i="1"/>
  <c r="F118" i="1"/>
  <c r="D114" i="1"/>
  <c r="L104" i="1"/>
  <c r="M102" i="1"/>
  <c r="K98" i="1"/>
  <c r="M108" i="1"/>
  <c r="K112" i="1"/>
  <c r="L106" i="1"/>
  <c r="E112" i="1"/>
  <c r="F110" i="1"/>
  <c r="D106" i="1"/>
  <c r="L120" i="1"/>
  <c r="M118" i="1"/>
  <c r="K114" i="1"/>
  <c r="M120" i="1"/>
  <c r="K116" i="1"/>
  <c r="L118" i="1"/>
  <c r="F112" i="1"/>
  <c r="D108" i="1"/>
  <c r="E110" i="1"/>
  <c r="D118" i="1"/>
  <c r="E116" i="1"/>
  <c r="F114" i="1"/>
  <c r="A93" i="21"/>
  <c r="A106" i="20"/>
  <c r="A106" i="9"/>
  <c r="A99" i="10"/>
  <c r="A93" i="10"/>
  <c r="A99" i="21"/>
  <c r="M20" i="21"/>
  <c r="A73" i="21"/>
  <c r="A112" i="21"/>
  <c r="A112" i="10"/>
  <c r="M20" i="20"/>
  <c r="A86" i="20"/>
  <c r="F104" i="1"/>
  <c r="E102" i="1"/>
  <c r="D100" i="1"/>
  <c r="AB86" i="1"/>
  <c r="AA85" i="1" s="1"/>
  <c r="L39" i="13"/>
  <c r="L45" i="13"/>
  <c r="L49" i="13"/>
  <c r="D46" i="13"/>
  <c r="D45" i="13"/>
  <c r="D44" i="13"/>
  <c r="L48" i="13"/>
  <c r="L42" i="13"/>
  <c r="L38" i="13"/>
  <c r="D49" i="13"/>
  <c r="E4" i="1"/>
  <c r="C99" i="1" s="1"/>
  <c r="C18" i="1"/>
  <c r="AB80" i="1"/>
  <c r="AA79" i="1" s="1"/>
  <c r="C16" i="1"/>
  <c r="E22" i="1" s="1"/>
  <c r="C8" i="1"/>
  <c r="G10" i="1" s="1"/>
  <c r="C10" i="1"/>
  <c r="G12" i="1" s="1"/>
  <c r="AB82" i="1"/>
  <c r="AA81" i="1" s="1"/>
  <c r="C22" i="1"/>
  <c r="G30" i="1" s="1"/>
  <c r="A29" i="11"/>
  <c r="M29" i="11" s="1"/>
  <c r="A29" i="12"/>
  <c r="M29" i="12" s="1"/>
  <c r="A64" i="18"/>
  <c r="C12" i="1"/>
  <c r="C20" i="1"/>
  <c r="C4" i="1"/>
  <c r="C14" i="1"/>
  <c r="G18" i="1" s="1"/>
  <c r="AB84" i="1"/>
  <c r="AA83" i="1" s="1"/>
  <c r="C24" i="1"/>
  <c r="D47" i="13"/>
  <c r="L46" i="13"/>
  <c r="F73" i="18"/>
  <c r="L40" i="13"/>
  <c r="L44" i="13"/>
  <c r="D48" i="13"/>
  <c r="D50" i="13"/>
  <c r="D39" i="13"/>
  <c r="D43" i="13"/>
  <c r="L51" i="13"/>
  <c r="L47" i="13"/>
  <c r="D42" i="13"/>
  <c r="D51" i="13"/>
  <c r="C90" i="1"/>
  <c r="B89" i="1" s="1"/>
  <c r="I89" i="1"/>
  <c r="A9" i="4"/>
  <c r="J125" i="1"/>
  <c r="I124" i="1" s="1"/>
  <c r="C88" i="1"/>
  <c r="B87" i="1" s="1"/>
  <c r="A112" i="9"/>
  <c r="A86" i="19"/>
  <c r="A60" i="20"/>
  <c r="A47" i="21"/>
  <c r="A60" i="19"/>
  <c r="A47" i="10"/>
  <c r="A60" i="8"/>
  <c r="A106" i="19"/>
  <c r="A106" i="8"/>
  <c r="A106" i="10"/>
  <c r="A73" i="20"/>
  <c r="A80" i="21"/>
  <c r="A80" i="19"/>
  <c r="A80" i="10"/>
  <c r="A80" i="8"/>
  <c r="A99" i="19"/>
  <c r="A60" i="10"/>
  <c r="A47" i="8"/>
  <c r="A54" i="9"/>
  <c r="A73" i="8"/>
  <c r="A86" i="10"/>
  <c r="A80" i="9"/>
  <c r="A99" i="8"/>
  <c r="A54" i="20"/>
  <c r="A60" i="21"/>
  <c r="A93" i="19"/>
  <c r="A67" i="10"/>
  <c r="A67" i="8"/>
  <c r="A93" i="20"/>
  <c r="A67" i="9"/>
  <c r="A41" i="8"/>
  <c r="A41" i="9"/>
  <c r="A41" i="10"/>
  <c r="A93" i="8"/>
  <c r="A93" i="9"/>
  <c r="A10" i="20"/>
  <c r="M34" i="20" s="1"/>
  <c r="A10" i="21"/>
  <c r="M34" i="21" s="1"/>
  <c r="J102" i="1"/>
  <c r="A10" i="19"/>
  <c r="M34" i="19" s="1"/>
  <c r="C86" i="1"/>
  <c r="B85" i="1" s="1"/>
  <c r="A29" i="4"/>
  <c r="A29" i="3"/>
  <c r="A56" i="18"/>
  <c r="A29" i="14"/>
  <c r="A100" i="14" s="1"/>
  <c r="A26" i="21"/>
  <c r="M10" i="21" s="1"/>
  <c r="J118" i="1"/>
  <c r="A26" i="20"/>
  <c r="A99" i="20" s="1"/>
  <c r="A28" i="19"/>
  <c r="M22" i="19" s="1"/>
  <c r="A28" i="20"/>
  <c r="M22" i="20" s="1"/>
  <c r="J98" i="1"/>
  <c r="A6" i="19"/>
  <c r="M24" i="19" s="1"/>
  <c r="A6" i="20"/>
  <c r="M24" i="20" s="1"/>
  <c r="A6" i="21"/>
  <c r="M24" i="21" s="1"/>
  <c r="A14" i="19"/>
  <c r="M6" i="19" s="1"/>
  <c r="A14" i="21"/>
  <c r="M6" i="21" s="1"/>
  <c r="A14" i="20"/>
  <c r="M6" i="20" s="1"/>
  <c r="J106" i="1"/>
  <c r="J120" i="1"/>
  <c r="A16" i="20"/>
  <c r="M26" i="20" s="1"/>
  <c r="A16" i="19"/>
  <c r="M26" i="19" s="1"/>
  <c r="A16" i="21"/>
  <c r="M26" i="21" s="1"/>
  <c r="J108" i="1"/>
  <c r="M4" i="28" l="1"/>
  <c r="G4" i="28" s="1"/>
  <c r="M22" i="28"/>
  <c r="G22" i="28" s="1"/>
  <c r="M26" i="28"/>
  <c r="G26" i="28" s="1"/>
  <c r="M20" i="28"/>
  <c r="G20" i="28" s="1"/>
  <c r="M12" i="28"/>
  <c r="G12" i="28" s="1"/>
  <c r="M16" i="28"/>
  <c r="G16" i="28" s="1"/>
  <c r="M10" i="28"/>
  <c r="G10" i="28" s="1"/>
  <c r="M24" i="28"/>
  <c r="G24" i="28" s="1"/>
  <c r="M18" i="28"/>
  <c r="G18" i="28" s="1"/>
  <c r="M14" i="28"/>
  <c r="G14" i="28" s="1"/>
  <c r="M30" i="28"/>
  <c r="G30" i="28" s="1"/>
  <c r="M32" i="28"/>
  <c r="G32" i="28" s="1"/>
  <c r="M2" i="28"/>
  <c r="G2" i="28" s="1"/>
  <c r="M8" i="28"/>
  <c r="G8" i="28" s="1"/>
  <c r="M28" i="28"/>
  <c r="G28" i="28" s="1"/>
  <c r="D6" i="1"/>
  <c r="G28" i="1"/>
  <c r="E18" i="1"/>
  <c r="A21" i="8" s="1"/>
  <c r="G22" i="1"/>
  <c r="D12" i="1"/>
  <c r="A15" i="7" s="1"/>
  <c r="E14" i="1"/>
  <c r="A17" i="9" s="1"/>
  <c r="F4" i="1"/>
  <c r="J99" i="1" s="1"/>
  <c r="E32" i="1"/>
  <c r="F20" i="1"/>
  <c r="E20" i="1"/>
  <c r="D28" i="1"/>
  <c r="D8" i="1"/>
  <c r="J68" i="1" s="1"/>
  <c r="I67" i="1" s="1"/>
  <c r="F26" i="1"/>
  <c r="G26" i="1" s="1"/>
  <c r="E24" i="1"/>
  <c r="C119" i="1" s="1"/>
  <c r="B118" i="1" s="1"/>
  <c r="E16" i="1"/>
  <c r="C111" i="1" s="1"/>
  <c r="B110" i="1" s="1"/>
  <c r="D20" i="1"/>
  <c r="A23" i="7" s="1"/>
  <c r="A94" i="7" s="1"/>
  <c r="F6" i="1"/>
  <c r="G6" i="1" s="1"/>
  <c r="E6" i="1"/>
  <c r="F14" i="1"/>
  <c r="G14" i="1" s="1"/>
  <c r="D22" i="1"/>
  <c r="A25" i="15" s="1"/>
  <c r="A113" i="15" s="1"/>
  <c r="E8" i="1"/>
  <c r="C103" i="1" s="1"/>
  <c r="B102" i="1" s="1"/>
  <c r="A37" i="8"/>
  <c r="A139" i="8" s="1"/>
  <c r="A37" i="9"/>
  <c r="A139" i="9" s="1"/>
  <c r="C129" i="1"/>
  <c r="B128" i="1" s="1"/>
  <c r="A37" i="10"/>
  <c r="A126" i="10" s="1"/>
  <c r="I46" i="13"/>
  <c r="J46" i="13" s="1"/>
  <c r="I52" i="13"/>
  <c r="I48" i="13"/>
  <c r="J48" i="13" s="1"/>
  <c r="I44" i="13"/>
  <c r="J44" i="13" s="1"/>
  <c r="I47" i="13"/>
  <c r="J47" i="13" s="1"/>
  <c r="I42" i="13"/>
  <c r="J42" i="13" s="1"/>
  <c r="I50" i="13"/>
  <c r="J50" i="13" s="1"/>
  <c r="I45" i="13"/>
  <c r="J45" i="13" s="1"/>
  <c r="I53" i="13"/>
  <c r="I40" i="13"/>
  <c r="J40" i="13" s="1"/>
  <c r="I43" i="13"/>
  <c r="J43" i="13" s="1"/>
  <c r="I49" i="13"/>
  <c r="J49" i="13" s="1"/>
  <c r="I38" i="13"/>
  <c r="I51" i="13"/>
  <c r="J51" i="13" s="1"/>
  <c r="I39" i="13"/>
  <c r="J39" i="13" s="1"/>
  <c r="I41" i="13"/>
  <c r="J41" i="13" s="1"/>
  <c r="M39" i="13"/>
  <c r="M47" i="13"/>
  <c r="M45" i="13"/>
  <c r="M50" i="13"/>
  <c r="M48" i="13"/>
  <c r="M51" i="13"/>
  <c r="M43" i="13"/>
  <c r="M53" i="13"/>
  <c r="M42" i="13"/>
  <c r="M41" i="13"/>
  <c r="M40" i="13"/>
  <c r="M52" i="13"/>
  <c r="M44" i="13"/>
  <c r="M49" i="13"/>
  <c r="M46" i="13"/>
  <c r="M38" i="13"/>
  <c r="M110" i="1"/>
  <c r="K106" i="1"/>
  <c r="L112" i="1"/>
  <c r="K120" i="1"/>
  <c r="L114" i="1"/>
  <c r="M116" i="1"/>
  <c r="K104" i="1"/>
  <c r="L98" i="1"/>
  <c r="M100" i="1"/>
  <c r="L116" i="1"/>
  <c r="M114" i="1"/>
  <c r="K118" i="1"/>
  <c r="M104" i="1"/>
  <c r="K100" i="1"/>
  <c r="L102" i="1"/>
  <c r="L110" i="1"/>
  <c r="M112" i="1"/>
  <c r="K108" i="1"/>
  <c r="E28" i="1"/>
  <c r="F12" i="1"/>
  <c r="F10" i="1"/>
  <c r="A27" i="15"/>
  <c r="A21" i="14"/>
  <c r="A74" i="14" s="1"/>
  <c r="F18" i="1"/>
  <c r="D34" i="1"/>
  <c r="F32" i="1"/>
  <c r="A21" i="4"/>
  <c r="A87" i="4" s="1"/>
  <c r="A25" i="4"/>
  <c r="A107" i="4" s="1"/>
  <c r="A21" i="3"/>
  <c r="M21" i="3" s="1"/>
  <c r="A21" i="12"/>
  <c r="M21" i="12" s="1"/>
  <c r="C78" i="1"/>
  <c r="B77" i="1" s="1"/>
  <c r="M10" i="20"/>
  <c r="B124" i="1"/>
  <c r="A15" i="3"/>
  <c r="A68" i="3" s="1"/>
  <c r="J70" i="1"/>
  <c r="I69" i="1" s="1"/>
  <c r="A29" i="10"/>
  <c r="A100" i="10" s="1"/>
  <c r="C64" i="1"/>
  <c r="B63" i="1" s="1"/>
  <c r="A9" i="15"/>
  <c r="J88" i="1"/>
  <c r="I87" i="1" s="1"/>
  <c r="A54" i="18"/>
  <c r="D26" i="1"/>
  <c r="J86" i="1" s="1"/>
  <c r="I85" i="1" s="1"/>
  <c r="A50" i="18"/>
  <c r="A58" i="18"/>
  <c r="A19" i="6"/>
  <c r="A81" i="6" s="1"/>
  <c r="J78" i="1"/>
  <c r="I77" i="1" s="1"/>
  <c r="F24" i="1"/>
  <c r="C68" i="1"/>
  <c r="B67" i="1" s="1"/>
  <c r="A21" i="11"/>
  <c r="M21" i="11" s="1"/>
  <c r="A27" i="4"/>
  <c r="A100" i="4" s="1"/>
  <c r="A17" i="4"/>
  <c r="M17" i="4" s="1"/>
  <c r="D14" i="1"/>
  <c r="J74" i="1" s="1"/>
  <c r="I73" i="1" s="1"/>
  <c r="A15" i="12"/>
  <c r="M15" i="12" s="1"/>
  <c r="D4" i="1"/>
  <c r="C70" i="1"/>
  <c r="B69" i="1" s="1"/>
  <c r="A13" i="12"/>
  <c r="M13" i="12" s="1"/>
  <c r="A13" i="11"/>
  <c r="M13" i="11" s="1"/>
  <c r="A62" i="18"/>
  <c r="A27" i="11"/>
  <c r="M27" i="11" s="1"/>
  <c r="A27" i="12"/>
  <c r="M27" i="12" s="1"/>
  <c r="C84" i="1"/>
  <c r="B83" i="1" s="1"/>
  <c r="A27" i="14"/>
  <c r="A107" i="14" s="1"/>
  <c r="A15" i="4"/>
  <c r="M15" i="4" s="1"/>
  <c r="C72" i="1"/>
  <c r="B71" i="1" s="1"/>
  <c r="A15" i="11"/>
  <c r="M15" i="11" s="1"/>
  <c r="A13" i="14"/>
  <c r="A48" i="14" s="1"/>
  <c r="A48" i="18"/>
  <c r="A13" i="3"/>
  <c r="A61" i="3" s="1"/>
  <c r="A15" i="14"/>
  <c r="A68" i="14" s="1"/>
  <c r="A13" i="4"/>
  <c r="A61" i="4" s="1"/>
  <c r="A27" i="3"/>
  <c r="M27" i="3" s="1"/>
  <c r="A52" i="18"/>
  <c r="C74" i="1"/>
  <c r="B73" i="1" s="1"/>
  <c r="C76" i="1"/>
  <c r="B75" i="1" s="1"/>
  <c r="A19" i="14"/>
  <c r="M19" i="14" s="1"/>
  <c r="A19" i="3"/>
  <c r="A81" i="3" s="1"/>
  <c r="A25" i="3"/>
  <c r="A100" i="3" s="1"/>
  <c r="A19" i="4"/>
  <c r="A74" i="4" s="1"/>
  <c r="A46" i="18"/>
  <c r="A11" i="14"/>
  <c r="M11" i="14" s="1"/>
  <c r="A11" i="4"/>
  <c r="A48" i="4" s="1"/>
  <c r="A11" i="3"/>
  <c r="M11" i="3" s="1"/>
  <c r="A17" i="14"/>
  <c r="A87" i="14" s="1"/>
  <c r="A17" i="3"/>
  <c r="M17" i="3" s="1"/>
  <c r="C82" i="1"/>
  <c r="B81" i="1" s="1"/>
  <c r="A60" i="18"/>
  <c r="A23" i="3"/>
  <c r="A94" i="3" s="1"/>
  <c r="A25" i="14"/>
  <c r="A113" i="14" s="1"/>
  <c r="A9" i="14"/>
  <c r="M9" i="14" s="1"/>
  <c r="A23" i="4"/>
  <c r="A94" i="4" s="1"/>
  <c r="C80" i="1"/>
  <c r="B79" i="1" s="1"/>
  <c r="A23" i="14"/>
  <c r="A94" i="14" s="1"/>
  <c r="A44" i="18"/>
  <c r="C66" i="1"/>
  <c r="B65" i="1" s="1"/>
  <c r="A9" i="3"/>
  <c r="M9" i="3" s="1"/>
  <c r="A113" i="3"/>
  <c r="M29" i="3"/>
  <c r="M29" i="14"/>
  <c r="A113" i="4"/>
  <c r="M29" i="4"/>
  <c r="A33" i="12"/>
  <c r="M33" i="12" s="1"/>
  <c r="A33" i="14"/>
  <c r="A133" i="14" s="1"/>
  <c r="A33" i="11"/>
  <c r="M33" i="11" s="1"/>
  <c r="A33" i="4"/>
  <c r="A133" i="4" s="1"/>
  <c r="A33" i="3"/>
  <c r="A11" i="12"/>
  <c r="M11" i="12" s="1"/>
  <c r="A11" i="11"/>
  <c r="M11" i="11" s="1"/>
  <c r="A19" i="11"/>
  <c r="M19" i="11" s="1"/>
  <c r="A19" i="12"/>
  <c r="M19" i="12" s="1"/>
  <c r="A33" i="7"/>
  <c r="A133" i="7" s="1"/>
  <c r="A33" i="15"/>
  <c r="A133" i="15" s="1"/>
  <c r="A33" i="6"/>
  <c r="A17" i="12"/>
  <c r="M17" i="12" s="1"/>
  <c r="A17" i="11"/>
  <c r="M17" i="11" s="1"/>
  <c r="A55" i="4"/>
  <c r="M9" i="4"/>
  <c r="A9" i="12"/>
  <c r="M9" i="12" s="1"/>
  <c r="A9" i="11"/>
  <c r="M9" i="11" s="1"/>
  <c r="A25" i="11"/>
  <c r="M25" i="11" s="1"/>
  <c r="A25" i="12"/>
  <c r="M25" i="12" s="1"/>
  <c r="A33" i="19"/>
  <c r="A33" i="21"/>
  <c r="A133" i="21" s="1"/>
  <c r="A33" i="20"/>
  <c r="A133" i="20" s="1"/>
  <c r="A66" i="18"/>
  <c r="A31" i="4"/>
  <c r="A31" i="12"/>
  <c r="M31" i="12" s="1"/>
  <c r="A31" i="11"/>
  <c r="M31" i="11" s="1"/>
  <c r="A31" i="3"/>
  <c r="A31" i="14"/>
  <c r="A23" i="12"/>
  <c r="M23" i="12" s="1"/>
  <c r="A23" i="11"/>
  <c r="M23" i="11" s="1"/>
  <c r="A7" i="11"/>
  <c r="M7" i="11" s="1"/>
  <c r="A7" i="12"/>
  <c r="M7" i="12" s="1"/>
  <c r="A7" i="4"/>
  <c r="A7" i="3"/>
  <c r="A42" i="18"/>
  <c r="A7" i="14"/>
  <c r="A112" i="19"/>
  <c r="A112" i="20"/>
  <c r="A106" i="21"/>
  <c r="A47" i="20"/>
  <c r="A54" i="19"/>
  <c r="A54" i="21"/>
  <c r="A80" i="20"/>
  <c r="A86" i="21"/>
  <c r="A73" i="19"/>
  <c r="A67" i="19"/>
  <c r="A67" i="20"/>
  <c r="A67" i="21"/>
  <c r="A41" i="19"/>
  <c r="A41" i="20"/>
  <c r="A41" i="21"/>
  <c r="D38" i="13"/>
  <c r="E52" i="13" s="1"/>
  <c r="A23" i="15" l="1"/>
  <c r="A94" i="15" s="1"/>
  <c r="F52" i="13"/>
  <c r="I30" i="13" s="1"/>
  <c r="BG30" i="13" s="1"/>
  <c r="J38" i="13"/>
  <c r="S2" i="13" s="1"/>
  <c r="J52" i="13"/>
  <c r="S30" i="13" s="1"/>
  <c r="J53" i="13"/>
  <c r="S32" i="13" s="1"/>
  <c r="A23" i="6"/>
  <c r="J80" i="1"/>
  <c r="I79" i="1" s="1"/>
  <c r="E38" i="13"/>
  <c r="F38" i="13" s="1"/>
  <c r="E40" i="13"/>
  <c r="F40" i="13" s="1"/>
  <c r="E45" i="13"/>
  <c r="F45" i="13" s="1"/>
  <c r="E49" i="13"/>
  <c r="F49" i="13" s="1"/>
  <c r="E42" i="13"/>
  <c r="F42" i="13" s="1"/>
  <c r="E47" i="13"/>
  <c r="F47" i="13" s="1"/>
  <c r="E53" i="13"/>
  <c r="E48" i="13"/>
  <c r="F48" i="13" s="1"/>
  <c r="E50" i="13"/>
  <c r="F50" i="13" s="1"/>
  <c r="E46" i="13"/>
  <c r="F46" i="13" s="1"/>
  <c r="E43" i="13"/>
  <c r="F43" i="13" s="1"/>
  <c r="E39" i="13"/>
  <c r="F39" i="13" s="1"/>
  <c r="E51" i="13"/>
  <c r="F51" i="13" s="1"/>
  <c r="E44" i="13"/>
  <c r="F44" i="13" s="1"/>
  <c r="E41" i="13"/>
  <c r="F41" i="13" s="1"/>
  <c r="AC26" i="13"/>
  <c r="AC10" i="13"/>
  <c r="AC24" i="13"/>
  <c r="AC8" i="13"/>
  <c r="AC22" i="13"/>
  <c r="AC6" i="13"/>
  <c r="AC20" i="13"/>
  <c r="AC4" i="13"/>
  <c r="AC18" i="13"/>
  <c r="AK18" i="13" s="1"/>
  <c r="AC2" i="13"/>
  <c r="AQ2" i="13" s="1"/>
  <c r="AC32" i="13"/>
  <c r="AC16" i="13"/>
  <c r="AC28" i="13"/>
  <c r="AC30" i="13"/>
  <c r="AC14" i="13"/>
  <c r="AC12" i="13"/>
  <c r="A37" i="7"/>
  <c r="A139" i="7" s="1"/>
  <c r="D133" i="7" s="1"/>
  <c r="J94" i="1"/>
  <c r="I93" i="1" s="1"/>
  <c r="A37" i="6"/>
  <c r="A139" i="6" s="1"/>
  <c r="A37" i="15"/>
  <c r="A126" i="15" s="1"/>
  <c r="J123" i="1"/>
  <c r="I122" i="1" s="1"/>
  <c r="G32" i="1"/>
  <c r="A35" i="21"/>
  <c r="A139" i="21" s="1"/>
  <c r="G133" i="21" s="1"/>
  <c r="A35" i="19"/>
  <c r="A133" i="19" s="1"/>
  <c r="A35" i="20"/>
  <c r="A126" i="20" s="1"/>
  <c r="J127" i="1"/>
  <c r="I126" i="1" s="1"/>
  <c r="M21" i="14"/>
  <c r="A35" i="9"/>
  <c r="A126" i="9" s="1"/>
  <c r="C127" i="1"/>
  <c r="B126" i="1" s="1"/>
  <c r="A35" i="8"/>
  <c r="A133" i="8" s="1"/>
  <c r="A35" i="10"/>
  <c r="A139" i="10" s="1"/>
  <c r="J92" i="1"/>
  <c r="I91" i="1" s="1"/>
  <c r="A35" i="6"/>
  <c r="A133" i="6" s="1"/>
  <c r="A35" i="15"/>
  <c r="A139" i="15" s="1"/>
  <c r="A134" i="15" s="1"/>
  <c r="A35" i="7"/>
  <c r="A126" i="7" s="1"/>
  <c r="H139" i="14"/>
  <c r="F133" i="14"/>
  <c r="G133" i="14"/>
  <c r="B133" i="14"/>
  <c r="G139" i="14"/>
  <c r="I139" i="14"/>
  <c r="B139" i="14"/>
  <c r="J133" i="14"/>
  <c r="H133" i="14"/>
  <c r="I133" i="14"/>
  <c r="E133" i="14"/>
  <c r="D139" i="14"/>
  <c r="C139" i="14"/>
  <c r="J139" i="14"/>
  <c r="D133" i="14"/>
  <c r="A134" i="14"/>
  <c r="C133" i="14"/>
  <c r="F139" i="14"/>
  <c r="E139" i="14"/>
  <c r="A140" i="14"/>
  <c r="G139" i="20"/>
  <c r="I133" i="20"/>
  <c r="E133" i="20"/>
  <c r="D139" i="20"/>
  <c r="E139" i="20"/>
  <c r="F133" i="20"/>
  <c r="D133" i="20"/>
  <c r="I139" i="20"/>
  <c r="H133" i="20"/>
  <c r="H139" i="20"/>
  <c r="A134" i="20"/>
  <c r="C133" i="20"/>
  <c r="G133" i="20"/>
  <c r="J133" i="20"/>
  <c r="C139" i="20"/>
  <c r="B139" i="20"/>
  <c r="B133" i="20"/>
  <c r="F139" i="20"/>
  <c r="J139" i="20"/>
  <c r="A140" i="20"/>
  <c r="H133" i="4"/>
  <c r="F133" i="4"/>
  <c r="E133" i="4"/>
  <c r="C133" i="4"/>
  <c r="C139" i="4"/>
  <c r="H139" i="4"/>
  <c r="G139" i="4"/>
  <c r="F139" i="4"/>
  <c r="E139" i="4"/>
  <c r="A134" i="4"/>
  <c r="I139" i="4"/>
  <c r="G133" i="4"/>
  <c r="D139" i="4"/>
  <c r="B139" i="4"/>
  <c r="B133" i="4"/>
  <c r="J133" i="4"/>
  <c r="I133" i="4"/>
  <c r="D133" i="4"/>
  <c r="J139" i="4"/>
  <c r="A140" i="4"/>
  <c r="J72" i="1"/>
  <c r="I71" i="1" s="1"/>
  <c r="A25" i="7"/>
  <c r="A107" i="7" s="1"/>
  <c r="A15" i="6"/>
  <c r="A68" i="6" s="1"/>
  <c r="A15" i="15"/>
  <c r="A68" i="15" s="1"/>
  <c r="A25" i="6"/>
  <c r="A100" i="6" s="1"/>
  <c r="C123" i="1"/>
  <c r="B122" i="1" s="1"/>
  <c r="A31" i="9"/>
  <c r="A120" i="9" s="1"/>
  <c r="A31" i="10"/>
  <c r="A120" i="10" s="1"/>
  <c r="A121" i="10" s="1"/>
  <c r="A31" i="8"/>
  <c r="A120" i="8" s="1"/>
  <c r="J82" i="1"/>
  <c r="I81" i="1" s="1"/>
  <c r="J64" i="1"/>
  <c r="I63" i="1" s="1"/>
  <c r="A87" i="3"/>
  <c r="D81" i="3" s="1"/>
  <c r="J84" i="1"/>
  <c r="I83" i="1" s="1"/>
  <c r="A81" i="4"/>
  <c r="D81" i="4" s="1"/>
  <c r="G100" i="4"/>
  <c r="M21" i="4"/>
  <c r="A17" i="8"/>
  <c r="A74" i="8" s="1"/>
  <c r="A27" i="7"/>
  <c r="A100" i="7" s="1"/>
  <c r="A21" i="6"/>
  <c r="A87" i="6" s="1"/>
  <c r="G87" i="6" s="1"/>
  <c r="M25" i="4"/>
  <c r="A27" i="6"/>
  <c r="A107" i="6" s="1"/>
  <c r="A9" i="7"/>
  <c r="A55" i="7" s="1"/>
  <c r="A9" i="6"/>
  <c r="A48" i="6" s="1"/>
  <c r="J66" i="1"/>
  <c r="I65" i="1" s="1"/>
  <c r="A11" i="10"/>
  <c r="A55" i="10" s="1"/>
  <c r="A11" i="9"/>
  <c r="A48" i="9" s="1"/>
  <c r="A13" i="15"/>
  <c r="A48" i="15" s="1"/>
  <c r="A33" i="8"/>
  <c r="A126" i="8" s="1"/>
  <c r="C109" i="1"/>
  <c r="B108" i="1" s="1"/>
  <c r="A17" i="10"/>
  <c r="A87" i="10" s="1"/>
  <c r="A21" i="15"/>
  <c r="A74" i="15" s="1"/>
  <c r="A19" i="7"/>
  <c r="A74" i="7" s="1"/>
  <c r="J76" i="1"/>
  <c r="I75" i="1" s="1"/>
  <c r="M15" i="3"/>
  <c r="A19" i="15"/>
  <c r="A81" i="15" s="1"/>
  <c r="A31" i="15"/>
  <c r="A120" i="15" s="1"/>
  <c r="A11" i="8"/>
  <c r="A55" i="8" s="1"/>
  <c r="A31" i="7"/>
  <c r="A120" i="7" s="1"/>
  <c r="A33" i="10"/>
  <c r="A133" i="10" s="1"/>
  <c r="A31" i="6"/>
  <c r="A120" i="6" s="1"/>
  <c r="A33" i="9"/>
  <c r="A133" i="9" s="1"/>
  <c r="A21" i="7"/>
  <c r="A31" i="20"/>
  <c r="A120" i="20" s="1"/>
  <c r="A31" i="19"/>
  <c r="A120" i="19" s="1"/>
  <c r="A13" i="6"/>
  <c r="A61" i="6" s="1"/>
  <c r="A31" i="21"/>
  <c r="A120" i="21" s="1"/>
  <c r="A17" i="7"/>
  <c r="A81" i="7" s="1"/>
  <c r="A17" i="6"/>
  <c r="A74" i="6" s="1"/>
  <c r="A13" i="7"/>
  <c r="A61" i="7" s="1"/>
  <c r="A29" i="7"/>
  <c r="A113" i="7" s="1"/>
  <c r="A29" i="15"/>
  <c r="A100" i="15" s="1"/>
  <c r="A17" i="15"/>
  <c r="A87" i="15" s="1"/>
  <c r="A29" i="6"/>
  <c r="A113" i="6" s="1"/>
  <c r="A11" i="15"/>
  <c r="A55" i="15" s="1"/>
  <c r="A7" i="6"/>
  <c r="A42" i="6" s="1"/>
  <c r="M27" i="4"/>
  <c r="A11" i="6"/>
  <c r="A55" i="6" s="1"/>
  <c r="A11" i="7"/>
  <c r="A48" i="7" s="1"/>
  <c r="A68" i="4"/>
  <c r="A75" i="4" s="1"/>
  <c r="A7" i="15"/>
  <c r="A42" i="15" s="1"/>
  <c r="A7" i="7"/>
  <c r="M15" i="14"/>
  <c r="M13" i="14"/>
  <c r="A107" i="3"/>
  <c r="D113" i="3" s="1"/>
  <c r="M13" i="3"/>
  <c r="M13" i="4"/>
  <c r="M27" i="14"/>
  <c r="E107" i="14"/>
  <c r="M23" i="14"/>
  <c r="E68" i="14"/>
  <c r="M25" i="3"/>
  <c r="M19" i="3"/>
  <c r="M17" i="14"/>
  <c r="A74" i="3"/>
  <c r="A69" i="3" s="1"/>
  <c r="A81" i="14"/>
  <c r="D81" i="14" s="1"/>
  <c r="M23" i="4"/>
  <c r="M19" i="4"/>
  <c r="M11" i="4"/>
  <c r="A55" i="14"/>
  <c r="A55" i="3"/>
  <c r="H61" i="3" s="1"/>
  <c r="A95" i="14"/>
  <c r="A61" i="14"/>
  <c r="I100" i="3"/>
  <c r="F94" i="3"/>
  <c r="D94" i="3"/>
  <c r="D100" i="3"/>
  <c r="E94" i="3"/>
  <c r="C94" i="3"/>
  <c r="M23" i="3"/>
  <c r="J100" i="3"/>
  <c r="G107" i="4"/>
  <c r="M25" i="14"/>
  <c r="C100" i="3"/>
  <c r="G94" i="3"/>
  <c r="H100" i="3"/>
  <c r="E100" i="3"/>
  <c r="H94" i="3"/>
  <c r="A95" i="3"/>
  <c r="J61" i="4"/>
  <c r="J94" i="3"/>
  <c r="A101" i="3"/>
  <c r="F100" i="3"/>
  <c r="I94" i="3"/>
  <c r="B100" i="3"/>
  <c r="B94" i="3"/>
  <c r="G100" i="3"/>
  <c r="A56" i="4"/>
  <c r="A48" i="3"/>
  <c r="B55" i="4"/>
  <c r="F61" i="4"/>
  <c r="I55" i="4"/>
  <c r="F107" i="4"/>
  <c r="A62" i="4"/>
  <c r="G55" i="4"/>
  <c r="J55" i="4"/>
  <c r="C61" i="4"/>
  <c r="D61" i="4"/>
  <c r="I61" i="4"/>
  <c r="D55" i="4"/>
  <c r="C55" i="4"/>
  <c r="H61" i="4"/>
  <c r="G61" i="4"/>
  <c r="E61" i="4"/>
  <c r="H55" i="4"/>
  <c r="F55" i="4"/>
  <c r="E55" i="4"/>
  <c r="B61" i="4"/>
  <c r="A87" i="8"/>
  <c r="A126" i="3"/>
  <c r="M33" i="3"/>
  <c r="M33" i="14"/>
  <c r="M33" i="4"/>
  <c r="A61" i="15"/>
  <c r="A126" i="6"/>
  <c r="A81" i="9"/>
  <c r="A107" i="15"/>
  <c r="A126" i="19"/>
  <c r="M31" i="14"/>
  <c r="A120" i="14"/>
  <c r="M31" i="4"/>
  <c r="A120" i="4"/>
  <c r="A120" i="3"/>
  <c r="M31" i="3"/>
  <c r="A94" i="6"/>
  <c r="A68" i="7"/>
  <c r="A42" i="3"/>
  <c r="M7" i="3"/>
  <c r="A42" i="14"/>
  <c r="M7" i="14"/>
  <c r="A42" i="4"/>
  <c r="M7" i="4"/>
  <c r="C100" i="4"/>
  <c r="I100" i="4"/>
  <c r="D100" i="4"/>
  <c r="E107" i="4"/>
  <c r="B107" i="4"/>
  <c r="B113" i="4"/>
  <c r="G113" i="4"/>
  <c r="A17" i="21"/>
  <c r="H113" i="4"/>
  <c r="E113" i="4"/>
  <c r="A108" i="4"/>
  <c r="I113" i="4"/>
  <c r="D107" i="4"/>
  <c r="F113" i="4"/>
  <c r="A114" i="4"/>
  <c r="D113" i="4"/>
  <c r="J113" i="4"/>
  <c r="H107" i="4"/>
  <c r="C113" i="4"/>
  <c r="I107" i="4"/>
  <c r="C107" i="4"/>
  <c r="J107" i="4"/>
  <c r="C94" i="4"/>
  <c r="H94" i="4"/>
  <c r="H100" i="4"/>
  <c r="A101" i="4"/>
  <c r="I94" i="4"/>
  <c r="D94" i="4"/>
  <c r="J100" i="4"/>
  <c r="J94" i="4"/>
  <c r="E100" i="4"/>
  <c r="G94" i="4"/>
  <c r="B94" i="4"/>
  <c r="E94" i="4"/>
  <c r="F100" i="4"/>
  <c r="B100" i="4"/>
  <c r="A95" i="4"/>
  <c r="F94" i="4"/>
  <c r="J109" i="1"/>
  <c r="I108" i="1" s="1"/>
  <c r="C105" i="1"/>
  <c r="B104" i="1" s="1"/>
  <c r="A17" i="19"/>
  <c r="A17" i="20"/>
  <c r="A25" i="8"/>
  <c r="C117" i="1"/>
  <c r="B116" i="1" s="1"/>
  <c r="A25" i="9"/>
  <c r="A107" i="9" s="1"/>
  <c r="A25" i="10"/>
  <c r="A113" i="10" s="1"/>
  <c r="A7" i="9"/>
  <c r="C115" i="1"/>
  <c r="B114" i="1" s="1"/>
  <c r="A23" i="10"/>
  <c r="A94" i="10" s="1"/>
  <c r="A13" i="8"/>
  <c r="A13" i="10"/>
  <c r="A13" i="9"/>
  <c r="A7" i="8"/>
  <c r="A23" i="9"/>
  <c r="A29" i="8"/>
  <c r="A29" i="9"/>
  <c r="C113" i="1"/>
  <c r="B112" i="1" s="1"/>
  <c r="A21" i="9"/>
  <c r="A87" i="9" s="1"/>
  <c r="B98" i="1"/>
  <c r="A7" i="10"/>
  <c r="A23" i="8"/>
  <c r="A21" i="10"/>
  <c r="A74" i="10" s="1"/>
  <c r="A19" i="8"/>
  <c r="C121" i="1"/>
  <c r="B120" i="1" s="1"/>
  <c r="A9" i="10"/>
  <c r="C101" i="1"/>
  <c r="B100" i="1" s="1"/>
  <c r="A9" i="8"/>
  <c r="A9" i="9"/>
  <c r="A19" i="9"/>
  <c r="A19" i="10"/>
  <c r="A27" i="9"/>
  <c r="A27" i="8"/>
  <c r="A27" i="10"/>
  <c r="A15" i="8"/>
  <c r="A15" i="9"/>
  <c r="A15" i="10"/>
  <c r="C107" i="1"/>
  <c r="B106" i="1" s="1"/>
  <c r="A19" i="21"/>
  <c r="A19" i="19"/>
  <c r="A19" i="20"/>
  <c r="J111" i="1"/>
  <c r="I110" i="1" s="1"/>
  <c r="A27" i="20"/>
  <c r="A100" i="20" s="1"/>
  <c r="A27" i="21"/>
  <c r="J119" i="1"/>
  <c r="I118" i="1" s="1"/>
  <c r="A27" i="19"/>
  <c r="F53" i="13" l="1"/>
  <c r="I32" i="13" s="1"/>
  <c r="BG32" i="13" s="1"/>
  <c r="D139" i="7"/>
  <c r="G133" i="7"/>
  <c r="F139" i="15"/>
  <c r="C139" i="15"/>
  <c r="D133" i="15"/>
  <c r="H139" i="21"/>
  <c r="A140" i="15"/>
  <c r="G134" i="15" s="1"/>
  <c r="E139" i="21"/>
  <c r="B139" i="15"/>
  <c r="E133" i="15"/>
  <c r="D133" i="21"/>
  <c r="J133" i="15"/>
  <c r="E133" i="21"/>
  <c r="H139" i="15"/>
  <c r="F133" i="21"/>
  <c r="J139" i="21"/>
  <c r="F133" i="15"/>
  <c r="B139" i="21"/>
  <c r="A140" i="21"/>
  <c r="G139" i="21"/>
  <c r="J139" i="15"/>
  <c r="A134" i="21"/>
  <c r="B133" i="21"/>
  <c r="I139" i="15"/>
  <c r="I133" i="21"/>
  <c r="D139" i="21"/>
  <c r="I139" i="21"/>
  <c r="J133" i="21"/>
  <c r="F139" i="21"/>
  <c r="H133" i="21"/>
  <c r="C139" i="21"/>
  <c r="C133" i="21"/>
  <c r="B133" i="15"/>
  <c r="E139" i="15"/>
  <c r="I139" i="7"/>
  <c r="A134" i="7"/>
  <c r="E133" i="7"/>
  <c r="A140" i="7"/>
  <c r="I133" i="7"/>
  <c r="C139" i="7"/>
  <c r="H133" i="7"/>
  <c r="J139" i="7"/>
  <c r="F133" i="7"/>
  <c r="H139" i="7"/>
  <c r="C133" i="7"/>
  <c r="F139" i="7"/>
  <c r="B133" i="7"/>
  <c r="E139" i="7"/>
  <c r="B139" i="7"/>
  <c r="G139" i="7"/>
  <c r="J133" i="7"/>
  <c r="AJ32" i="13"/>
  <c r="AK32" i="13"/>
  <c r="AH32" i="13"/>
  <c r="AE32" i="13"/>
  <c r="AI32" i="13"/>
  <c r="AF32" i="13"/>
  <c r="AG32" i="13"/>
  <c r="AK24" i="13"/>
  <c r="AJ24" i="13"/>
  <c r="AH24" i="13"/>
  <c r="AI24" i="13"/>
  <c r="AK30" i="13"/>
  <c r="AG30" i="13"/>
  <c r="AJ30" i="13"/>
  <c r="AE30" i="13"/>
  <c r="AH30" i="13"/>
  <c r="AI30" i="13"/>
  <c r="AF30" i="13"/>
  <c r="AK20" i="13"/>
  <c r="AJ20" i="13"/>
  <c r="AK22" i="13"/>
  <c r="AJ22" i="13"/>
  <c r="AI22" i="13"/>
  <c r="AJ28" i="13"/>
  <c r="AH28" i="13"/>
  <c r="AF28" i="13"/>
  <c r="AI28" i="13"/>
  <c r="AK28" i="13"/>
  <c r="AG28" i="13"/>
  <c r="AK26" i="13"/>
  <c r="AG26" i="13"/>
  <c r="AJ26" i="13"/>
  <c r="AH26" i="13"/>
  <c r="AI26" i="13"/>
  <c r="F81" i="3"/>
  <c r="A82" i="3"/>
  <c r="C133" i="8"/>
  <c r="F133" i="8"/>
  <c r="H139" i="8"/>
  <c r="J139" i="8"/>
  <c r="G133" i="8"/>
  <c r="E133" i="8"/>
  <c r="H133" i="8"/>
  <c r="I139" i="8"/>
  <c r="E139" i="8"/>
  <c r="F139" i="8"/>
  <c r="B133" i="8"/>
  <c r="A134" i="8"/>
  <c r="D133" i="8"/>
  <c r="I133" i="8"/>
  <c r="J133" i="8"/>
  <c r="B139" i="8"/>
  <c r="D139" i="8"/>
  <c r="C139" i="8"/>
  <c r="G139" i="8"/>
  <c r="A140" i="8"/>
  <c r="D139" i="15"/>
  <c r="I133" i="15"/>
  <c r="C133" i="15"/>
  <c r="G133" i="19"/>
  <c r="I139" i="19"/>
  <c r="D139" i="19"/>
  <c r="H139" i="19"/>
  <c r="J133" i="19"/>
  <c r="I133" i="19"/>
  <c r="A134" i="19"/>
  <c r="C133" i="19"/>
  <c r="D133" i="19"/>
  <c r="C139" i="19"/>
  <c r="E133" i="19"/>
  <c r="B133" i="19"/>
  <c r="H133" i="19"/>
  <c r="G139" i="19"/>
  <c r="F139" i="19"/>
  <c r="E139" i="19"/>
  <c r="F133" i="19"/>
  <c r="J139" i="19"/>
  <c r="B139" i="19"/>
  <c r="A140" i="19"/>
  <c r="H133" i="15"/>
  <c r="G133" i="15"/>
  <c r="K133" i="4"/>
  <c r="G139" i="15"/>
  <c r="A140" i="6"/>
  <c r="K139" i="4"/>
  <c r="C139" i="6"/>
  <c r="E133" i="6"/>
  <c r="D133" i="6"/>
  <c r="C133" i="6"/>
  <c r="J139" i="6"/>
  <c r="I133" i="6"/>
  <c r="H133" i="6"/>
  <c r="J133" i="6"/>
  <c r="G133" i="6"/>
  <c r="B139" i="6"/>
  <c r="I139" i="6"/>
  <c r="B133" i="6"/>
  <c r="E139" i="6"/>
  <c r="G139" i="6"/>
  <c r="D139" i="6"/>
  <c r="F133" i="6"/>
  <c r="F139" i="6"/>
  <c r="A134" i="6"/>
  <c r="H139" i="6"/>
  <c r="A127" i="9"/>
  <c r="A100" i="9"/>
  <c r="H134" i="14"/>
  <c r="H135" i="14" s="1"/>
  <c r="G140" i="14"/>
  <c r="G141" i="14" s="1"/>
  <c r="J140" i="14"/>
  <c r="J141" i="14" s="1"/>
  <c r="D134" i="14"/>
  <c r="D135" i="14" s="1"/>
  <c r="J134" i="14"/>
  <c r="J135" i="14" s="1"/>
  <c r="G134" i="14"/>
  <c r="G135" i="14" s="1"/>
  <c r="C134" i="14"/>
  <c r="C135" i="14" s="1"/>
  <c r="D140" i="14"/>
  <c r="D141" i="14" s="1"/>
  <c r="F134" i="14"/>
  <c r="F135" i="14" s="1"/>
  <c r="B134" i="14"/>
  <c r="C140" i="14"/>
  <c r="C141" i="14" s="1"/>
  <c r="B140" i="14"/>
  <c r="B141" i="14" s="1"/>
  <c r="I140" i="14"/>
  <c r="I141" i="14" s="1"/>
  <c r="H140" i="14"/>
  <c r="H141" i="14" s="1"/>
  <c r="E140" i="14"/>
  <c r="E141" i="14" s="1"/>
  <c r="I134" i="14"/>
  <c r="I135" i="14" s="1"/>
  <c r="E134" i="14"/>
  <c r="E135" i="14" s="1"/>
  <c r="F140" i="14"/>
  <c r="F141" i="14" s="1"/>
  <c r="H139" i="10"/>
  <c r="B139" i="10"/>
  <c r="D139" i="10"/>
  <c r="D133" i="10"/>
  <c r="G133" i="10"/>
  <c r="A134" i="10"/>
  <c r="J139" i="10"/>
  <c r="I133" i="10"/>
  <c r="F133" i="10"/>
  <c r="H133" i="10"/>
  <c r="I139" i="10"/>
  <c r="C139" i="10"/>
  <c r="G139" i="10"/>
  <c r="C133" i="10"/>
  <c r="B133" i="10"/>
  <c r="F139" i="10"/>
  <c r="E139" i="10"/>
  <c r="E133" i="10"/>
  <c r="J133" i="10"/>
  <c r="A140" i="10"/>
  <c r="F140" i="20"/>
  <c r="F141" i="20" s="1"/>
  <c r="B140" i="20"/>
  <c r="B141" i="20" s="1"/>
  <c r="C134" i="20"/>
  <c r="C135" i="20" s="1"/>
  <c r="G134" i="20"/>
  <c r="G135" i="20" s="1"/>
  <c r="H140" i="20"/>
  <c r="H141" i="20" s="1"/>
  <c r="H134" i="20"/>
  <c r="H135" i="20" s="1"/>
  <c r="E134" i="20"/>
  <c r="E135" i="20" s="1"/>
  <c r="J140" i="20"/>
  <c r="J141" i="20" s="1"/>
  <c r="D134" i="20"/>
  <c r="D135" i="20" s="1"/>
  <c r="I134" i="20"/>
  <c r="I135" i="20" s="1"/>
  <c r="E140" i="20"/>
  <c r="E141" i="20" s="1"/>
  <c r="J134" i="20"/>
  <c r="J135" i="20" s="1"/>
  <c r="G140" i="20"/>
  <c r="G141" i="20" s="1"/>
  <c r="B134" i="20"/>
  <c r="B135" i="20" s="1"/>
  <c r="C140" i="20"/>
  <c r="C141" i="20" s="1"/>
  <c r="D140" i="20"/>
  <c r="D141" i="20" s="1"/>
  <c r="I140" i="20"/>
  <c r="I141" i="20" s="1"/>
  <c r="F134" i="20"/>
  <c r="F135" i="20" s="1"/>
  <c r="K139" i="14"/>
  <c r="K133" i="20"/>
  <c r="K139" i="20"/>
  <c r="K133" i="14"/>
  <c r="A101" i="7"/>
  <c r="A87" i="7"/>
  <c r="B81" i="7" s="1"/>
  <c r="E140" i="4"/>
  <c r="E141" i="4" s="1"/>
  <c r="B140" i="4"/>
  <c r="E134" i="4"/>
  <c r="E135" i="4" s="1"/>
  <c r="J134" i="4"/>
  <c r="J135" i="4" s="1"/>
  <c r="G134" i="4"/>
  <c r="G135" i="4" s="1"/>
  <c r="H140" i="4"/>
  <c r="H141" i="4" s="1"/>
  <c r="D140" i="4"/>
  <c r="D141" i="4" s="1"/>
  <c r="F134" i="4"/>
  <c r="F135" i="4" s="1"/>
  <c r="C140" i="4"/>
  <c r="C141" i="4" s="1"/>
  <c r="D134" i="4"/>
  <c r="D135" i="4" s="1"/>
  <c r="I134" i="4"/>
  <c r="I135" i="4" s="1"/>
  <c r="H134" i="4"/>
  <c r="H135" i="4" s="1"/>
  <c r="J140" i="4"/>
  <c r="J141" i="4" s="1"/>
  <c r="I140" i="4"/>
  <c r="I141" i="4" s="1"/>
  <c r="G140" i="4"/>
  <c r="G141" i="4" s="1"/>
  <c r="F140" i="4"/>
  <c r="F141" i="4" s="1"/>
  <c r="C134" i="4"/>
  <c r="C135" i="4" s="1"/>
  <c r="B134" i="4"/>
  <c r="F133" i="9"/>
  <c r="G139" i="9"/>
  <c r="H133" i="9"/>
  <c r="H139" i="9"/>
  <c r="F139" i="9"/>
  <c r="C139" i="9"/>
  <c r="B133" i="9"/>
  <c r="A134" i="9"/>
  <c r="I139" i="9"/>
  <c r="J133" i="9"/>
  <c r="B139" i="9"/>
  <c r="J139" i="9"/>
  <c r="C133" i="9"/>
  <c r="D133" i="9"/>
  <c r="E139" i="9"/>
  <c r="G133" i="9"/>
  <c r="E133" i="9"/>
  <c r="I133" i="9"/>
  <c r="D139" i="9"/>
  <c r="A140" i="9"/>
  <c r="H126" i="10"/>
  <c r="F120" i="10"/>
  <c r="B120" i="10"/>
  <c r="H120" i="10"/>
  <c r="I120" i="10"/>
  <c r="C126" i="10"/>
  <c r="J126" i="10"/>
  <c r="I126" i="10"/>
  <c r="A127" i="10"/>
  <c r="C121" i="10" s="1"/>
  <c r="G120" i="10"/>
  <c r="J120" i="10"/>
  <c r="E126" i="8"/>
  <c r="G126" i="10"/>
  <c r="C120" i="10"/>
  <c r="D126" i="10"/>
  <c r="B126" i="10"/>
  <c r="F126" i="10"/>
  <c r="E126" i="10"/>
  <c r="D120" i="10"/>
  <c r="E120" i="10"/>
  <c r="E87" i="3"/>
  <c r="B87" i="3"/>
  <c r="H81" i="3"/>
  <c r="D87" i="3"/>
  <c r="J87" i="3"/>
  <c r="E87" i="4"/>
  <c r="F87" i="4"/>
  <c r="G87" i="4"/>
  <c r="J81" i="3"/>
  <c r="C81" i="3"/>
  <c r="F87" i="3"/>
  <c r="F81" i="4"/>
  <c r="H87" i="4"/>
  <c r="C87" i="3"/>
  <c r="G87" i="3"/>
  <c r="I81" i="3"/>
  <c r="H87" i="3"/>
  <c r="D87" i="4"/>
  <c r="A88" i="4"/>
  <c r="J81" i="4"/>
  <c r="A82" i="4"/>
  <c r="B87" i="4"/>
  <c r="G81" i="4"/>
  <c r="C81" i="4"/>
  <c r="C87" i="4"/>
  <c r="I81" i="4"/>
  <c r="E81" i="4"/>
  <c r="J87" i="4"/>
  <c r="H81" i="4"/>
  <c r="B81" i="4"/>
  <c r="I87" i="4"/>
  <c r="A88" i="3"/>
  <c r="B81" i="3"/>
  <c r="G81" i="3"/>
  <c r="I87" i="3"/>
  <c r="E81" i="3"/>
  <c r="C87" i="15"/>
  <c r="J68" i="14"/>
  <c r="F68" i="14"/>
  <c r="H74" i="14"/>
  <c r="E113" i="3"/>
  <c r="B113" i="3"/>
  <c r="H74" i="7"/>
  <c r="A114" i="3"/>
  <c r="H74" i="4"/>
  <c r="C74" i="4"/>
  <c r="G74" i="4"/>
  <c r="F74" i="4"/>
  <c r="G68" i="4"/>
  <c r="B74" i="4"/>
  <c r="AJ2" i="13"/>
  <c r="AK2" i="13"/>
  <c r="AI2" i="13"/>
  <c r="I8" i="13"/>
  <c r="BG8" i="13" s="1"/>
  <c r="AI14" i="13"/>
  <c r="AJ14" i="13"/>
  <c r="AK14" i="13"/>
  <c r="AK8" i="13"/>
  <c r="AI8" i="13"/>
  <c r="AJ8" i="13"/>
  <c r="AI18" i="13"/>
  <c r="AJ18" i="13"/>
  <c r="S10" i="13"/>
  <c r="S6" i="13"/>
  <c r="S4" i="13"/>
  <c r="S12" i="13"/>
  <c r="I10" i="13"/>
  <c r="BG10" i="13" s="1"/>
  <c r="I26" i="13"/>
  <c r="BG26" i="13" s="1"/>
  <c r="AI16" i="13"/>
  <c r="AJ16" i="13"/>
  <c r="AK16" i="13"/>
  <c r="I6" i="13"/>
  <c r="BG6" i="13" s="1"/>
  <c r="I14" i="13"/>
  <c r="BG14" i="13" s="1"/>
  <c r="S14" i="13"/>
  <c r="S24" i="13"/>
  <c r="S26" i="13"/>
  <c r="I22" i="13"/>
  <c r="BG22" i="13" s="1"/>
  <c r="I2" i="13"/>
  <c r="BG2" i="13" s="1"/>
  <c r="AK6" i="13"/>
  <c r="AI6" i="13"/>
  <c r="AJ6" i="13"/>
  <c r="I4" i="13"/>
  <c r="BG4" i="13" s="1"/>
  <c r="I12" i="13"/>
  <c r="BG12" i="13" s="1"/>
  <c r="S28" i="13"/>
  <c r="I20" i="13"/>
  <c r="BG20" i="13" s="1"/>
  <c r="AK10" i="13"/>
  <c r="AI10" i="13"/>
  <c r="AJ10" i="13"/>
  <c r="AI20" i="13"/>
  <c r="AJ4" i="13"/>
  <c r="AK4" i="13"/>
  <c r="AI4" i="13"/>
  <c r="I28" i="13"/>
  <c r="BG28" i="13" s="1"/>
  <c r="S16" i="13"/>
  <c r="I24" i="13"/>
  <c r="BG24" i="13" s="1"/>
  <c r="S8" i="13"/>
  <c r="I18" i="13"/>
  <c r="BG18" i="13" s="1"/>
  <c r="I16" i="13"/>
  <c r="BG16" i="13" s="1"/>
  <c r="AI12" i="13"/>
  <c r="AJ12" i="13"/>
  <c r="AK12" i="13"/>
  <c r="AG24" i="13"/>
  <c r="A108" i="3"/>
  <c r="B74" i="14"/>
  <c r="C113" i="3"/>
  <c r="I74" i="14"/>
  <c r="F74" i="14"/>
  <c r="G113" i="3"/>
  <c r="A75" i="14"/>
  <c r="A69" i="14"/>
  <c r="B107" i="3"/>
  <c r="E74" i="14"/>
  <c r="G68" i="14"/>
  <c r="H68" i="14"/>
  <c r="J74" i="14"/>
  <c r="I107" i="3"/>
  <c r="D107" i="3"/>
  <c r="I68" i="14"/>
  <c r="C68" i="14"/>
  <c r="A42" i="7"/>
  <c r="G48" i="7" s="1"/>
  <c r="D74" i="4"/>
  <c r="J74" i="4"/>
  <c r="I68" i="4"/>
  <c r="C68" i="4"/>
  <c r="B68" i="4"/>
  <c r="A69" i="4"/>
  <c r="J75" i="4" s="1"/>
  <c r="H68" i="4"/>
  <c r="E68" i="4"/>
  <c r="J68" i="4"/>
  <c r="D68" i="4"/>
  <c r="I74" i="4"/>
  <c r="F68" i="4"/>
  <c r="E74" i="4"/>
  <c r="H107" i="3"/>
  <c r="J107" i="3"/>
  <c r="J113" i="3"/>
  <c r="H113" i="3"/>
  <c r="E107" i="3"/>
  <c r="I113" i="3"/>
  <c r="F113" i="15"/>
  <c r="H113" i="14"/>
  <c r="D113" i="14"/>
  <c r="B107" i="14"/>
  <c r="I113" i="14"/>
  <c r="I107" i="14"/>
  <c r="J107" i="14"/>
  <c r="A108" i="14"/>
  <c r="G107" i="14"/>
  <c r="A114" i="14"/>
  <c r="F107" i="14"/>
  <c r="D107" i="14"/>
  <c r="B113" i="14"/>
  <c r="H107" i="14"/>
  <c r="E113" i="14"/>
  <c r="F113" i="14"/>
  <c r="G113" i="14"/>
  <c r="C113" i="14"/>
  <c r="C107" i="14"/>
  <c r="J113" i="14"/>
  <c r="F107" i="3"/>
  <c r="F113" i="3"/>
  <c r="G107" i="3"/>
  <c r="C107" i="3"/>
  <c r="G74" i="14"/>
  <c r="B68" i="14"/>
  <c r="C74" i="14"/>
  <c r="D68" i="14"/>
  <c r="D74" i="14"/>
  <c r="G126" i="9"/>
  <c r="F74" i="3"/>
  <c r="C74" i="3"/>
  <c r="E74" i="3"/>
  <c r="D68" i="3"/>
  <c r="G74" i="3"/>
  <c r="F126" i="9"/>
  <c r="A75" i="3"/>
  <c r="G75" i="3" s="1"/>
  <c r="C68" i="3"/>
  <c r="E68" i="3"/>
  <c r="J68" i="3"/>
  <c r="D74" i="3"/>
  <c r="F68" i="3"/>
  <c r="H68" i="3"/>
  <c r="B74" i="3"/>
  <c r="I74" i="3"/>
  <c r="G68" i="3"/>
  <c r="H74" i="3"/>
  <c r="J74" i="3"/>
  <c r="B68" i="3"/>
  <c r="I68" i="3"/>
  <c r="A82" i="14"/>
  <c r="C87" i="14"/>
  <c r="I81" i="14"/>
  <c r="J81" i="14"/>
  <c r="E81" i="14"/>
  <c r="F94" i="14"/>
  <c r="G94" i="14"/>
  <c r="F81" i="14"/>
  <c r="AE28" i="13"/>
  <c r="H87" i="14"/>
  <c r="F87" i="14"/>
  <c r="E120" i="8"/>
  <c r="C94" i="14"/>
  <c r="J120" i="8"/>
  <c r="F100" i="14"/>
  <c r="D87" i="6"/>
  <c r="J94" i="14"/>
  <c r="E100" i="14"/>
  <c r="B100" i="14"/>
  <c r="AH22" i="13"/>
  <c r="J87" i="14"/>
  <c r="A88" i="14"/>
  <c r="AF26" i="13"/>
  <c r="AF24" i="13"/>
  <c r="E87" i="14"/>
  <c r="B81" i="14"/>
  <c r="C81" i="14"/>
  <c r="AG22" i="13"/>
  <c r="I87" i="14"/>
  <c r="H81" i="14"/>
  <c r="B87" i="14"/>
  <c r="G87" i="14"/>
  <c r="AE26" i="13"/>
  <c r="G81" i="14"/>
  <c r="D87" i="14"/>
  <c r="AH20" i="13"/>
  <c r="D120" i="8"/>
  <c r="J126" i="8"/>
  <c r="C107" i="6"/>
  <c r="E74" i="15"/>
  <c r="H94" i="14"/>
  <c r="I94" i="14"/>
  <c r="A101" i="14"/>
  <c r="I101" i="14" s="1"/>
  <c r="B94" i="14"/>
  <c r="H126" i="9"/>
  <c r="E94" i="14"/>
  <c r="D94" i="14"/>
  <c r="G100" i="14"/>
  <c r="H100" i="14"/>
  <c r="D100" i="14"/>
  <c r="I100" i="14"/>
  <c r="C100" i="14"/>
  <c r="J100" i="14"/>
  <c r="B95" i="3"/>
  <c r="B96" i="3" s="1"/>
  <c r="J61" i="14"/>
  <c r="G113" i="7"/>
  <c r="D107" i="6"/>
  <c r="C74" i="15"/>
  <c r="D55" i="3"/>
  <c r="D61" i="3"/>
  <c r="A75" i="15"/>
  <c r="J61" i="3"/>
  <c r="B101" i="3"/>
  <c r="B102" i="3" s="1"/>
  <c r="H68" i="15"/>
  <c r="J113" i="7"/>
  <c r="A108" i="7"/>
  <c r="H61" i="14"/>
  <c r="E61" i="3"/>
  <c r="G55" i="3"/>
  <c r="C55" i="3"/>
  <c r="A62" i="3"/>
  <c r="I101" i="3"/>
  <c r="I102" i="3" s="1"/>
  <c r="H95" i="3"/>
  <c r="H96" i="3" s="1"/>
  <c r="F48" i="6"/>
  <c r="A56" i="3"/>
  <c r="J55" i="3"/>
  <c r="F55" i="3"/>
  <c r="B55" i="3"/>
  <c r="J68" i="15"/>
  <c r="F87" i="15"/>
  <c r="I74" i="15"/>
  <c r="D61" i="14"/>
  <c r="G61" i="3"/>
  <c r="C61" i="3"/>
  <c r="A101" i="6"/>
  <c r="J68" i="6"/>
  <c r="H55" i="3"/>
  <c r="I55" i="3"/>
  <c r="E55" i="3"/>
  <c r="F61" i="3"/>
  <c r="I61" i="3"/>
  <c r="B61" i="3"/>
  <c r="G100" i="6"/>
  <c r="I113" i="6"/>
  <c r="A114" i="6"/>
  <c r="F55" i="14"/>
  <c r="B62" i="4"/>
  <c r="B63" i="4" s="1"/>
  <c r="C113" i="6"/>
  <c r="B113" i="6"/>
  <c r="A56" i="14"/>
  <c r="B55" i="14"/>
  <c r="A62" i="14"/>
  <c r="B107" i="6"/>
  <c r="C55" i="14"/>
  <c r="J55" i="14"/>
  <c r="D61" i="6"/>
  <c r="E55" i="7"/>
  <c r="C68" i="6"/>
  <c r="A88" i="15"/>
  <c r="H42" i="6"/>
  <c r="G48" i="6"/>
  <c r="D95" i="3"/>
  <c r="D96" i="3" s="1"/>
  <c r="G95" i="3"/>
  <c r="G96" i="3" s="1"/>
  <c r="F101" i="3"/>
  <c r="F102" i="3" s="1"/>
  <c r="D101" i="3"/>
  <c r="D102" i="3" s="1"/>
  <c r="J101" i="3"/>
  <c r="J102" i="3" s="1"/>
  <c r="G101" i="3"/>
  <c r="G102" i="3" s="1"/>
  <c r="I95" i="3"/>
  <c r="I96" i="3" s="1"/>
  <c r="J95" i="3"/>
  <c r="J96" i="3" s="1"/>
  <c r="C101" i="3"/>
  <c r="C102" i="3" s="1"/>
  <c r="E101" i="3"/>
  <c r="E102" i="3" s="1"/>
  <c r="C95" i="3"/>
  <c r="C96" i="3" s="1"/>
  <c r="H101" i="3"/>
  <c r="H102" i="3" s="1"/>
  <c r="E95" i="3"/>
  <c r="E96" i="3" s="1"/>
  <c r="F95" i="3"/>
  <c r="F96" i="3" s="1"/>
  <c r="E113" i="6"/>
  <c r="H113" i="6"/>
  <c r="A108" i="6"/>
  <c r="B61" i="14"/>
  <c r="C61" i="14"/>
  <c r="F61" i="14"/>
  <c r="G55" i="14"/>
  <c r="E61" i="14"/>
  <c r="I61" i="14"/>
  <c r="I55" i="14"/>
  <c r="H55" i="14"/>
  <c r="D55" i="14"/>
  <c r="G61" i="14"/>
  <c r="E55" i="14"/>
  <c r="C120" i="9"/>
  <c r="F120" i="9"/>
  <c r="J120" i="9"/>
  <c r="H120" i="9"/>
  <c r="D126" i="9"/>
  <c r="C126" i="9"/>
  <c r="B120" i="9"/>
  <c r="E62" i="4"/>
  <c r="E63" i="4" s="1"/>
  <c r="I81" i="15"/>
  <c r="B74" i="6"/>
  <c r="H81" i="15"/>
  <c r="E94" i="6"/>
  <c r="G94" i="6"/>
  <c r="A95" i="6"/>
  <c r="I100" i="6"/>
  <c r="G42" i="6"/>
  <c r="G113" i="6"/>
  <c r="C68" i="15"/>
  <c r="G68" i="15"/>
  <c r="J48" i="6"/>
  <c r="E68" i="15"/>
  <c r="H107" i="6"/>
  <c r="I107" i="6"/>
  <c r="D94" i="6"/>
  <c r="B107" i="7"/>
  <c r="D81" i="6"/>
  <c r="F87" i="6"/>
  <c r="A127" i="8"/>
  <c r="C120" i="8"/>
  <c r="B120" i="8"/>
  <c r="B126" i="8"/>
  <c r="I120" i="9"/>
  <c r="I126" i="9"/>
  <c r="J126" i="9"/>
  <c r="A121" i="9"/>
  <c r="G120" i="9"/>
  <c r="B94" i="15"/>
  <c r="G61" i="15"/>
  <c r="E48" i="15"/>
  <c r="K100" i="3"/>
  <c r="K94" i="3"/>
  <c r="G74" i="15"/>
  <c r="J94" i="6"/>
  <c r="D100" i="6"/>
  <c r="J107" i="6"/>
  <c r="F113" i="6"/>
  <c r="E48" i="6"/>
  <c r="B74" i="15"/>
  <c r="D68" i="15"/>
  <c r="C100" i="6"/>
  <c r="H94" i="6"/>
  <c r="D113" i="6"/>
  <c r="G107" i="6"/>
  <c r="J113" i="6"/>
  <c r="E107" i="6"/>
  <c r="F107" i="6"/>
  <c r="F100" i="6"/>
  <c r="E81" i="6"/>
  <c r="F120" i="8"/>
  <c r="H126" i="8"/>
  <c r="G126" i="8"/>
  <c r="E120" i="9"/>
  <c r="D120" i="9"/>
  <c r="B126" i="9"/>
  <c r="E126" i="9"/>
  <c r="I42" i="6"/>
  <c r="H81" i="6"/>
  <c r="F126" i="8"/>
  <c r="C126" i="8"/>
  <c r="I120" i="8"/>
  <c r="C74" i="7"/>
  <c r="F68" i="6"/>
  <c r="D68" i="7"/>
  <c r="F61" i="6"/>
  <c r="J94" i="15"/>
  <c r="F55" i="7"/>
  <c r="E68" i="7"/>
  <c r="D74" i="6"/>
  <c r="G74" i="6"/>
  <c r="B81" i="15"/>
  <c r="J74" i="6"/>
  <c r="D87" i="15"/>
  <c r="H68" i="6"/>
  <c r="H87" i="15"/>
  <c r="D81" i="15"/>
  <c r="B87" i="15"/>
  <c r="H74" i="6"/>
  <c r="A69" i="6"/>
  <c r="F74" i="6"/>
  <c r="G68" i="6"/>
  <c r="I87" i="15"/>
  <c r="B68" i="6"/>
  <c r="J87" i="15"/>
  <c r="J81" i="15"/>
  <c r="G81" i="15"/>
  <c r="E81" i="15"/>
  <c r="A75" i="6"/>
  <c r="C74" i="6"/>
  <c r="D68" i="6"/>
  <c r="G81" i="7"/>
  <c r="G87" i="15"/>
  <c r="C81" i="15"/>
  <c r="E87" i="15"/>
  <c r="E74" i="6"/>
  <c r="A82" i="15"/>
  <c r="F81" i="15"/>
  <c r="C94" i="6"/>
  <c r="H100" i="6"/>
  <c r="E100" i="6"/>
  <c r="B100" i="6"/>
  <c r="F94" i="6"/>
  <c r="B94" i="6"/>
  <c r="J100" i="6"/>
  <c r="I94" i="6"/>
  <c r="A62" i="7"/>
  <c r="C61" i="7"/>
  <c r="I55" i="7"/>
  <c r="I61" i="7"/>
  <c r="F61" i="7"/>
  <c r="J55" i="7"/>
  <c r="C55" i="7"/>
  <c r="H55" i="7"/>
  <c r="D55" i="7"/>
  <c r="D61" i="7"/>
  <c r="E56" i="4"/>
  <c r="E57" i="4" s="1"/>
  <c r="B56" i="4"/>
  <c r="B57" i="4" s="1"/>
  <c r="J62" i="4"/>
  <c r="J63" i="4" s="1"/>
  <c r="G56" i="4"/>
  <c r="G57" i="4" s="1"/>
  <c r="I62" i="4"/>
  <c r="I63" i="4" s="1"/>
  <c r="B68" i="7"/>
  <c r="J68" i="7"/>
  <c r="H68" i="7"/>
  <c r="J74" i="7"/>
  <c r="J74" i="15"/>
  <c r="A75" i="7"/>
  <c r="G68" i="7"/>
  <c r="I68" i="7"/>
  <c r="F74" i="7"/>
  <c r="C68" i="7"/>
  <c r="G74" i="7"/>
  <c r="I74" i="7"/>
  <c r="B68" i="15"/>
  <c r="F74" i="15"/>
  <c r="G42" i="15"/>
  <c r="E87" i="6"/>
  <c r="H87" i="6"/>
  <c r="C87" i="6"/>
  <c r="J81" i="6"/>
  <c r="J87" i="6"/>
  <c r="G81" i="6"/>
  <c r="B81" i="6"/>
  <c r="A88" i="6"/>
  <c r="F81" i="6"/>
  <c r="A82" i="6"/>
  <c r="C81" i="6"/>
  <c r="I87" i="6"/>
  <c r="B87" i="6"/>
  <c r="I81" i="6"/>
  <c r="F56" i="4"/>
  <c r="F57" i="4" s="1"/>
  <c r="H62" i="4"/>
  <c r="H63" i="4" s="1"/>
  <c r="D56" i="4"/>
  <c r="D57" i="4" s="1"/>
  <c r="H56" i="4"/>
  <c r="H57" i="4" s="1"/>
  <c r="F62" i="4"/>
  <c r="F63" i="4" s="1"/>
  <c r="H100" i="7"/>
  <c r="C56" i="4"/>
  <c r="C57" i="4" s="1"/>
  <c r="C62" i="4"/>
  <c r="C63" i="4" s="1"/>
  <c r="D62" i="4"/>
  <c r="J56" i="4"/>
  <c r="J57" i="4" s="1"/>
  <c r="I94" i="7"/>
  <c r="G62" i="4"/>
  <c r="G63" i="4" s="1"/>
  <c r="I56" i="4"/>
  <c r="I57" i="4" s="1"/>
  <c r="D94" i="7"/>
  <c r="K61" i="4"/>
  <c r="A121" i="8"/>
  <c r="D126" i="8"/>
  <c r="G120" i="8"/>
  <c r="I126" i="8"/>
  <c r="H120" i="8"/>
  <c r="D48" i="15"/>
  <c r="G48" i="15"/>
  <c r="D113" i="15"/>
  <c r="B107" i="15"/>
  <c r="I55" i="6"/>
  <c r="F42" i="15"/>
  <c r="J48" i="15"/>
  <c r="A56" i="6"/>
  <c r="A101" i="15"/>
  <c r="J113" i="15"/>
  <c r="C107" i="7"/>
  <c r="E61" i="6"/>
  <c r="F94" i="15"/>
  <c r="H42" i="15"/>
  <c r="G55" i="15"/>
  <c r="G100" i="15"/>
  <c r="E100" i="15"/>
  <c r="B100" i="15"/>
  <c r="B113" i="15"/>
  <c r="E113" i="15"/>
  <c r="F107" i="15"/>
  <c r="J42" i="15"/>
  <c r="C61" i="6"/>
  <c r="G55" i="6"/>
  <c r="H55" i="6"/>
  <c r="I74" i="6"/>
  <c r="B55" i="6"/>
  <c r="F68" i="15"/>
  <c r="A69" i="15"/>
  <c r="J61" i="15"/>
  <c r="H74" i="15"/>
  <c r="C94" i="15"/>
  <c r="A95" i="15"/>
  <c r="J61" i="6"/>
  <c r="F100" i="15"/>
  <c r="C100" i="15"/>
  <c r="H100" i="15"/>
  <c r="I100" i="15"/>
  <c r="I94" i="15"/>
  <c r="D94" i="15"/>
  <c r="E107" i="15"/>
  <c r="I113" i="15"/>
  <c r="G113" i="15"/>
  <c r="A62" i="6"/>
  <c r="B61" i="6"/>
  <c r="B42" i="15"/>
  <c r="I42" i="15"/>
  <c r="I48" i="15"/>
  <c r="I55" i="15"/>
  <c r="E55" i="6"/>
  <c r="C55" i="6"/>
  <c r="I61" i="6"/>
  <c r="D55" i="6"/>
  <c r="G94" i="15"/>
  <c r="C42" i="15"/>
  <c r="D42" i="15"/>
  <c r="A62" i="15"/>
  <c r="H61" i="6"/>
  <c r="F48" i="15"/>
  <c r="A43" i="15"/>
  <c r="E55" i="15"/>
  <c r="J55" i="6"/>
  <c r="F55" i="6"/>
  <c r="G61" i="6"/>
  <c r="E68" i="6"/>
  <c r="I68" i="15"/>
  <c r="D74" i="15"/>
  <c r="I68" i="6"/>
  <c r="D100" i="15"/>
  <c r="E42" i="15"/>
  <c r="J100" i="15"/>
  <c r="E94" i="15"/>
  <c r="H94" i="15"/>
  <c r="A114" i="15"/>
  <c r="F61" i="15"/>
  <c r="H48" i="6"/>
  <c r="E61" i="15"/>
  <c r="J42" i="6"/>
  <c r="A43" i="6"/>
  <c r="B48" i="6"/>
  <c r="B55" i="15"/>
  <c r="A56" i="15"/>
  <c r="I48" i="6"/>
  <c r="H61" i="15"/>
  <c r="C42" i="6"/>
  <c r="E42" i="6"/>
  <c r="J55" i="15"/>
  <c r="D61" i="15"/>
  <c r="F42" i="6"/>
  <c r="D42" i="6"/>
  <c r="D48" i="6"/>
  <c r="C55" i="15"/>
  <c r="C48" i="6"/>
  <c r="A49" i="6"/>
  <c r="B42" i="6"/>
  <c r="C61" i="15"/>
  <c r="D55" i="15"/>
  <c r="F55" i="15"/>
  <c r="B61" i="15"/>
  <c r="I61" i="15"/>
  <c r="H55" i="15"/>
  <c r="F94" i="7"/>
  <c r="A95" i="7"/>
  <c r="I100" i="7"/>
  <c r="E94" i="7"/>
  <c r="K55" i="4"/>
  <c r="C100" i="7"/>
  <c r="G94" i="7"/>
  <c r="H94" i="7"/>
  <c r="G100" i="7"/>
  <c r="D100" i="7"/>
  <c r="J94" i="7"/>
  <c r="B100" i="7"/>
  <c r="E100" i="7"/>
  <c r="B94" i="7"/>
  <c r="C94" i="7"/>
  <c r="A113" i="9"/>
  <c r="H48" i="15"/>
  <c r="A49" i="15"/>
  <c r="C48" i="15"/>
  <c r="A113" i="8"/>
  <c r="B48" i="15"/>
  <c r="H87" i="9"/>
  <c r="A61" i="9"/>
  <c r="A48" i="10"/>
  <c r="A61" i="8"/>
  <c r="F61" i="8" s="1"/>
  <c r="A107" i="21"/>
  <c r="A107" i="10"/>
  <c r="I113" i="7"/>
  <c r="D113" i="7"/>
  <c r="H113" i="7"/>
  <c r="A114" i="7"/>
  <c r="G107" i="7"/>
  <c r="J107" i="7"/>
  <c r="A107" i="8"/>
  <c r="A107" i="19"/>
  <c r="C113" i="7"/>
  <c r="F113" i="7"/>
  <c r="B113" i="7"/>
  <c r="F107" i="7"/>
  <c r="I107" i="7"/>
  <c r="H107" i="7"/>
  <c r="E113" i="7"/>
  <c r="E107" i="7"/>
  <c r="D107" i="7"/>
  <c r="A81" i="19"/>
  <c r="A81" i="21"/>
  <c r="A74" i="20"/>
  <c r="B55" i="7"/>
  <c r="G61" i="7"/>
  <c r="G55" i="7"/>
  <c r="H61" i="7"/>
  <c r="E61" i="7"/>
  <c r="B61" i="7"/>
  <c r="J61" i="7"/>
  <c r="A56" i="7"/>
  <c r="A81" i="10"/>
  <c r="B87" i="10" s="1"/>
  <c r="A74" i="9"/>
  <c r="A81" i="8"/>
  <c r="G87" i="8" s="1"/>
  <c r="A55" i="9"/>
  <c r="A48" i="8"/>
  <c r="A61" i="10"/>
  <c r="F55" i="10" s="1"/>
  <c r="A74" i="19"/>
  <c r="G107" i="15"/>
  <c r="J107" i="15"/>
  <c r="H107" i="15"/>
  <c r="I107" i="15"/>
  <c r="C107" i="15"/>
  <c r="H113" i="15"/>
  <c r="C113" i="15"/>
  <c r="D107" i="15"/>
  <c r="A108" i="15"/>
  <c r="A87" i="21"/>
  <c r="J100" i="7"/>
  <c r="F100" i="7"/>
  <c r="A81" i="20"/>
  <c r="A100" i="8"/>
  <c r="A68" i="10"/>
  <c r="A68" i="9"/>
  <c r="A68" i="8"/>
  <c r="B68" i="8" s="1"/>
  <c r="F120" i="14"/>
  <c r="C126" i="14"/>
  <c r="B126" i="14"/>
  <c r="E120" i="14"/>
  <c r="H126" i="14"/>
  <c r="E126" i="14"/>
  <c r="F126" i="14"/>
  <c r="G126" i="14"/>
  <c r="A127" i="14"/>
  <c r="D126" i="14"/>
  <c r="J120" i="14"/>
  <c r="C120" i="14"/>
  <c r="B120" i="14"/>
  <c r="A121" i="14"/>
  <c r="I126" i="14"/>
  <c r="H120" i="14"/>
  <c r="I120" i="14"/>
  <c r="G120" i="14"/>
  <c r="D120" i="14"/>
  <c r="J126" i="14"/>
  <c r="A127" i="3"/>
  <c r="H126" i="3"/>
  <c r="F120" i="3"/>
  <c r="C126" i="3"/>
  <c r="F126" i="3"/>
  <c r="J126" i="3"/>
  <c r="G120" i="3"/>
  <c r="C120" i="3"/>
  <c r="D120" i="3"/>
  <c r="B126" i="3"/>
  <c r="A121" i="3"/>
  <c r="J120" i="3"/>
  <c r="B120" i="3"/>
  <c r="I126" i="3"/>
  <c r="E126" i="3"/>
  <c r="H120" i="3"/>
  <c r="E120" i="3"/>
  <c r="I120" i="3"/>
  <c r="G126" i="3"/>
  <c r="D126" i="3"/>
  <c r="B126" i="4"/>
  <c r="I126" i="4"/>
  <c r="B120" i="4"/>
  <c r="H120" i="4"/>
  <c r="E120" i="4"/>
  <c r="A121" i="4"/>
  <c r="F120" i="4"/>
  <c r="G126" i="4"/>
  <c r="G120" i="4"/>
  <c r="F126" i="4"/>
  <c r="I120" i="4"/>
  <c r="C120" i="4"/>
  <c r="D120" i="4"/>
  <c r="A127" i="4"/>
  <c r="E126" i="4"/>
  <c r="J120" i="4"/>
  <c r="H126" i="4"/>
  <c r="C126" i="4"/>
  <c r="D126" i="4"/>
  <c r="J126" i="4"/>
  <c r="A42" i="10"/>
  <c r="A42" i="8"/>
  <c r="A42" i="9"/>
  <c r="J48" i="9" s="1"/>
  <c r="C126" i="7"/>
  <c r="F120" i="7"/>
  <c r="H126" i="7"/>
  <c r="H120" i="7"/>
  <c r="G120" i="7"/>
  <c r="D120" i="7"/>
  <c r="D126" i="7"/>
  <c r="J126" i="7"/>
  <c r="C120" i="7"/>
  <c r="A121" i="7"/>
  <c r="E120" i="7"/>
  <c r="I120" i="7"/>
  <c r="G126" i="7"/>
  <c r="B120" i="7"/>
  <c r="F126" i="7"/>
  <c r="E126" i="7"/>
  <c r="J120" i="7"/>
  <c r="I126" i="7"/>
  <c r="A127" i="7"/>
  <c r="B126" i="7"/>
  <c r="I120" i="6"/>
  <c r="H120" i="6"/>
  <c r="G126" i="6"/>
  <c r="J120" i="6"/>
  <c r="D126" i="6"/>
  <c r="F126" i="6"/>
  <c r="F120" i="6"/>
  <c r="E120" i="6"/>
  <c r="A121" i="6"/>
  <c r="B120" i="6"/>
  <c r="J126" i="6"/>
  <c r="D120" i="6"/>
  <c r="B126" i="6"/>
  <c r="H126" i="6"/>
  <c r="A127" i="6"/>
  <c r="I126" i="6"/>
  <c r="G120" i="6"/>
  <c r="C126" i="6"/>
  <c r="E126" i="6"/>
  <c r="C120" i="6"/>
  <c r="I126" i="15"/>
  <c r="H120" i="15"/>
  <c r="A127" i="15"/>
  <c r="G126" i="15"/>
  <c r="G120" i="15"/>
  <c r="B126" i="15"/>
  <c r="C120" i="15"/>
  <c r="B120" i="15"/>
  <c r="D120" i="15"/>
  <c r="H126" i="15"/>
  <c r="E120" i="15"/>
  <c r="F126" i="15"/>
  <c r="I120" i="15"/>
  <c r="E126" i="15"/>
  <c r="J120" i="15"/>
  <c r="F120" i="15"/>
  <c r="C126" i="15"/>
  <c r="A121" i="15"/>
  <c r="D126" i="15"/>
  <c r="J126" i="15"/>
  <c r="J126" i="20"/>
  <c r="I120" i="20"/>
  <c r="A127" i="20"/>
  <c r="C120" i="20"/>
  <c r="H120" i="20"/>
  <c r="H126" i="20"/>
  <c r="I126" i="20"/>
  <c r="D120" i="20"/>
  <c r="B120" i="20"/>
  <c r="E126" i="20"/>
  <c r="B126" i="20"/>
  <c r="F126" i="20"/>
  <c r="G126" i="20"/>
  <c r="D126" i="20"/>
  <c r="J120" i="20"/>
  <c r="E120" i="20"/>
  <c r="C126" i="20"/>
  <c r="F120" i="20"/>
  <c r="G120" i="20"/>
  <c r="A121" i="20"/>
  <c r="A94" i="8"/>
  <c r="A49" i="14"/>
  <c r="F42" i="14"/>
  <c r="G48" i="14"/>
  <c r="B42" i="14"/>
  <c r="I48" i="14"/>
  <c r="G42" i="14"/>
  <c r="D42" i="14"/>
  <c r="E42" i="14"/>
  <c r="J42" i="14"/>
  <c r="H48" i="14"/>
  <c r="B48" i="14"/>
  <c r="A43" i="14"/>
  <c r="E48" i="14"/>
  <c r="C48" i="14"/>
  <c r="J48" i="14"/>
  <c r="D48" i="14"/>
  <c r="F48" i="14"/>
  <c r="C42" i="14"/>
  <c r="I42" i="14"/>
  <c r="H42" i="14"/>
  <c r="F48" i="3"/>
  <c r="I48" i="3"/>
  <c r="H48" i="3"/>
  <c r="A43" i="3"/>
  <c r="D48" i="3"/>
  <c r="I42" i="3"/>
  <c r="E48" i="3"/>
  <c r="D42" i="3"/>
  <c r="C48" i="3"/>
  <c r="H42" i="3"/>
  <c r="B42" i="3"/>
  <c r="E42" i="3"/>
  <c r="G48" i="3"/>
  <c r="C42" i="3"/>
  <c r="A49" i="3"/>
  <c r="J48" i="3"/>
  <c r="G42" i="3"/>
  <c r="J42" i="3"/>
  <c r="B48" i="3"/>
  <c r="F42" i="3"/>
  <c r="F68" i="7"/>
  <c r="D74" i="7"/>
  <c r="A69" i="7"/>
  <c r="E74" i="7"/>
  <c r="B74" i="7"/>
  <c r="A94" i="9"/>
  <c r="E42" i="4"/>
  <c r="H42" i="4"/>
  <c r="A43" i="4"/>
  <c r="A49" i="4"/>
  <c r="J48" i="4"/>
  <c r="G48" i="4"/>
  <c r="B42" i="4"/>
  <c r="E48" i="4"/>
  <c r="D42" i="4"/>
  <c r="C48" i="4"/>
  <c r="F48" i="4"/>
  <c r="J42" i="4"/>
  <c r="I48" i="4"/>
  <c r="D48" i="4"/>
  <c r="F42" i="4"/>
  <c r="B48" i="4"/>
  <c r="I42" i="4"/>
  <c r="C42" i="4"/>
  <c r="H48" i="4"/>
  <c r="G42" i="4"/>
  <c r="C126" i="19"/>
  <c r="B120" i="19"/>
  <c r="I126" i="19"/>
  <c r="J126" i="19"/>
  <c r="A127" i="19"/>
  <c r="A121" i="19"/>
  <c r="E120" i="19"/>
  <c r="I120" i="19"/>
  <c r="F126" i="19"/>
  <c r="C120" i="19"/>
  <c r="H120" i="19"/>
  <c r="G126" i="19"/>
  <c r="B126" i="19"/>
  <c r="J120" i="19"/>
  <c r="E126" i="19"/>
  <c r="D120" i="19"/>
  <c r="H126" i="19"/>
  <c r="D126" i="19"/>
  <c r="G120" i="19"/>
  <c r="F120" i="19"/>
  <c r="S22" i="13"/>
  <c r="S20" i="13"/>
  <c r="S18" i="13"/>
  <c r="E114" i="4"/>
  <c r="E115" i="4" s="1"/>
  <c r="B114" i="4"/>
  <c r="B115" i="4" s="1"/>
  <c r="I114" i="4"/>
  <c r="I115" i="4" s="1"/>
  <c r="G114" i="4"/>
  <c r="G115" i="4" s="1"/>
  <c r="K107" i="4"/>
  <c r="J114" i="4"/>
  <c r="J115" i="4" s="1"/>
  <c r="J101" i="4"/>
  <c r="J102" i="4" s="1"/>
  <c r="A29" i="21"/>
  <c r="K113" i="4"/>
  <c r="A15" i="19"/>
  <c r="A13" i="21"/>
  <c r="C114" i="4"/>
  <c r="C115" i="4" s="1"/>
  <c r="I108" i="4"/>
  <c r="I109" i="4" s="1"/>
  <c r="G108" i="4"/>
  <c r="G109" i="4" s="1"/>
  <c r="E108" i="4"/>
  <c r="E109" i="4" s="1"/>
  <c r="B108" i="4"/>
  <c r="B109" i="4" s="1"/>
  <c r="F95" i="4"/>
  <c r="F96" i="4" s="1"/>
  <c r="H108" i="4"/>
  <c r="H109" i="4" s="1"/>
  <c r="C108" i="4"/>
  <c r="C109" i="4" s="1"/>
  <c r="J108" i="4"/>
  <c r="J109" i="4" s="1"/>
  <c r="H114" i="4"/>
  <c r="H115" i="4" s="1"/>
  <c r="F108" i="4"/>
  <c r="F109" i="4" s="1"/>
  <c r="D114" i="4"/>
  <c r="D115" i="4" s="1"/>
  <c r="F114" i="4"/>
  <c r="F115" i="4" s="1"/>
  <c r="D108" i="4"/>
  <c r="D109" i="4" s="1"/>
  <c r="I95" i="4"/>
  <c r="I96" i="4" s="1"/>
  <c r="B101" i="4"/>
  <c r="B102" i="4" s="1"/>
  <c r="G101" i="4"/>
  <c r="G102" i="4" s="1"/>
  <c r="H95" i="4"/>
  <c r="H96" i="4" s="1"/>
  <c r="K94" i="4"/>
  <c r="K100" i="4"/>
  <c r="G95" i="4"/>
  <c r="G96" i="4" s="1"/>
  <c r="C95" i="4"/>
  <c r="C96" i="4" s="1"/>
  <c r="E101" i="4"/>
  <c r="E102" i="4" s="1"/>
  <c r="H101" i="4"/>
  <c r="H102" i="4" s="1"/>
  <c r="D101" i="4"/>
  <c r="D102" i="4" s="1"/>
  <c r="F101" i="4"/>
  <c r="F102" i="4" s="1"/>
  <c r="D95" i="4"/>
  <c r="D96" i="4" s="1"/>
  <c r="I101" i="4"/>
  <c r="I102" i="4" s="1"/>
  <c r="E95" i="4"/>
  <c r="E96" i="4" s="1"/>
  <c r="J95" i="4"/>
  <c r="J96" i="4" s="1"/>
  <c r="B95" i="4"/>
  <c r="B96" i="4" s="1"/>
  <c r="C101" i="4"/>
  <c r="C102" i="4" s="1"/>
  <c r="A7" i="20"/>
  <c r="A9" i="20"/>
  <c r="J101" i="1"/>
  <c r="I100" i="1" s="1"/>
  <c r="A7" i="21"/>
  <c r="I98" i="1"/>
  <c r="J113" i="1"/>
  <c r="I112" i="1" s="1"/>
  <c r="A9" i="19"/>
  <c r="A9" i="21"/>
  <c r="J121" i="1"/>
  <c r="I120" i="1" s="1"/>
  <c r="A13" i="19"/>
  <c r="A21" i="20"/>
  <c r="A87" i="20" s="1"/>
  <c r="A21" i="21"/>
  <c r="A74" i="21" s="1"/>
  <c r="A7" i="19"/>
  <c r="J107" i="1"/>
  <c r="I106" i="1" s="1"/>
  <c r="A21" i="19"/>
  <c r="A29" i="19"/>
  <c r="A13" i="20"/>
  <c r="A29" i="20"/>
  <c r="J105" i="1"/>
  <c r="I104" i="1" s="1"/>
  <c r="A15" i="21"/>
  <c r="A15" i="20"/>
  <c r="A11" i="21"/>
  <c r="A11" i="20"/>
  <c r="A11" i="19"/>
  <c r="J103" i="1"/>
  <c r="I102" i="1" s="1"/>
  <c r="J115" i="1"/>
  <c r="I114" i="1" s="1"/>
  <c r="A23" i="19"/>
  <c r="A23" i="20"/>
  <c r="A23" i="21"/>
  <c r="A94" i="21" s="1"/>
  <c r="A25" i="20"/>
  <c r="A107" i="20" s="1"/>
  <c r="J117" i="1"/>
  <c r="I116" i="1" s="1"/>
  <c r="A25" i="21"/>
  <c r="A113" i="21" s="1"/>
  <c r="A25" i="19"/>
  <c r="S34" i="13" l="1"/>
  <c r="I34" i="13"/>
  <c r="E140" i="7"/>
  <c r="E141" i="7" s="1"/>
  <c r="E87" i="7"/>
  <c r="F134" i="21"/>
  <c r="F135" i="21" s="1"/>
  <c r="G87" i="7"/>
  <c r="A88" i="7"/>
  <c r="D140" i="21"/>
  <c r="D141" i="21" s="1"/>
  <c r="J140" i="21"/>
  <c r="J141" i="21" s="1"/>
  <c r="D134" i="21"/>
  <c r="D135" i="21" s="1"/>
  <c r="I140" i="21"/>
  <c r="I141" i="21" s="1"/>
  <c r="B134" i="21"/>
  <c r="B135" i="21" s="1"/>
  <c r="C134" i="21"/>
  <c r="C135" i="21" s="1"/>
  <c r="B140" i="21"/>
  <c r="B141" i="21" s="1"/>
  <c r="F87" i="7"/>
  <c r="H87" i="7"/>
  <c r="E81" i="7"/>
  <c r="C81" i="7"/>
  <c r="D81" i="7"/>
  <c r="C87" i="7"/>
  <c r="I87" i="7"/>
  <c r="A82" i="7"/>
  <c r="D87" i="7"/>
  <c r="B87" i="7"/>
  <c r="F81" i="7"/>
  <c r="I81" i="7"/>
  <c r="C140" i="21"/>
  <c r="C141" i="21" s="1"/>
  <c r="E121" i="10"/>
  <c r="E122" i="10" s="1"/>
  <c r="F134" i="15"/>
  <c r="F135" i="15" s="1"/>
  <c r="J81" i="7"/>
  <c r="H81" i="7"/>
  <c r="J87" i="7"/>
  <c r="C101" i="7"/>
  <c r="C102" i="7" s="1"/>
  <c r="B134" i="15"/>
  <c r="B135" i="15" s="1"/>
  <c r="F140" i="15"/>
  <c r="F141" i="15" s="1"/>
  <c r="J134" i="15"/>
  <c r="J135" i="15" s="1"/>
  <c r="E134" i="7"/>
  <c r="E135" i="7" s="1"/>
  <c r="G140" i="15"/>
  <c r="G141" i="15" s="1"/>
  <c r="B140" i="15"/>
  <c r="B141" i="15" s="1"/>
  <c r="B140" i="7"/>
  <c r="B141" i="7" s="1"/>
  <c r="J140" i="15"/>
  <c r="J141" i="15" s="1"/>
  <c r="C140" i="15"/>
  <c r="C141" i="15" s="1"/>
  <c r="E140" i="15"/>
  <c r="E141" i="15" s="1"/>
  <c r="H140" i="7"/>
  <c r="H141" i="7" s="1"/>
  <c r="H140" i="15"/>
  <c r="H141" i="15" s="1"/>
  <c r="D134" i="15"/>
  <c r="D135" i="15" s="1"/>
  <c r="I140" i="15"/>
  <c r="I141" i="15" s="1"/>
  <c r="C134" i="7"/>
  <c r="C135" i="7" s="1"/>
  <c r="H134" i="15"/>
  <c r="H135" i="15" s="1"/>
  <c r="D140" i="15"/>
  <c r="D141" i="15" s="1"/>
  <c r="J140" i="7"/>
  <c r="J141" i="7" s="1"/>
  <c r="C134" i="15"/>
  <c r="C135" i="15" s="1"/>
  <c r="E134" i="15"/>
  <c r="E135" i="15" s="1"/>
  <c r="D134" i="7"/>
  <c r="D135" i="7" s="1"/>
  <c r="I134" i="15"/>
  <c r="I135" i="15" s="1"/>
  <c r="E134" i="21"/>
  <c r="E135" i="21" s="1"/>
  <c r="E140" i="21"/>
  <c r="E141" i="21" s="1"/>
  <c r="I134" i="21"/>
  <c r="I135" i="21" s="1"/>
  <c r="F140" i="21"/>
  <c r="F141" i="21" s="1"/>
  <c r="G134" i="21"/>
  <c r="G135" i="21" s="1"/>
  <c r="G140" i="21"/>
  <c r="G141" i="21" s="1"/>
  <c r="H140" i="21"/>
  <c r="H141" i="21" s="1"/>
  <c r="J134" i="21"/>
  <c r="J135" i="21" s="1"/>
  <c r="H134" i="21"/>
  <c r="H135" i="21" s="1"/>
  <c r="G135" i="15"/>
  <c r="K139" i="21"/>
  <c r="G127" i="10"/>
  <c r="G128" i="10" s="1"/>
  <c r="F127" i="10"/>
  <c r="F128" i="10" s="1"/>
  <c r="H121" i="10"/>
  <c r="H122" i="10" s="1"/>
  <c r="C127" i="10"/>
  <c r="C128" i="10" s="1"/>
  <c r="B127" i="10"/>
  <c r="B128" i="10" s="1"/>
  <c r="B121" i="10"/>
  <c r="B122" i="10" s="1"/>
  <c r="D121" i="10"/>
  <c r="D122" i="10" s="1"/>
  <c r="J127" i="10"/>
  <c r="G121" i="10"/>
  <c r="G122" i="10" s="1"/>
  <c r="D127" i="10"/>
  <c r="D128" i="10" s="1"/>
  <c r="H127" i="10"/>
  <c r="H128" i="10" s="1"/>
  <c r="J121" i="10"/>
  <c r="J122" i="10" s="1"/>
  <c r="K133" i="21"/>
  <c r="C140" i="7"/>
  <c r="C141" i="7" s="1"/>
  <c r="I134" i="7"/>
  <c r="I135" i="7" s="1"/>
  <c r="D140" i="7"/>
  <c r="D141" i="7" s="1"/>
  <c r="F134" i="7"/>
  <c r="F135" i="7" s="1"/>
  <c r="H134" i="7"/>
  <c r="H135" i="7" s="1"/>
  <c r="G134" i="7"/>
  <c r="G135" i="7" s="1"/>
  <c r="B134" i="7"/>
  <c r="G140" i="7"/>
  <c r="G141" i="7" s="1"/>
  <c r="J134" i="7"/>
  <c r="J135" i="7" s="1"/>
  <c r="I140" i="7"/>
  <c r="I141" i="7" s="1"/>
  <c r="F140" i="7"/>
  <c r="F141" i="7" s="1"/>
  <c r="B136" i="20"/>
  <c r="C136" i="20" s="1"/>
  <c r="D136" i="20" s="1"/>
  <c r="E136" i="20" s="1"/>
  <c r="F136" i="20" s="1"/>
  <c r="G136" i="20" s="1"/>
  <c r="H136" i="20" s="1"/>
  <c r="I136" i="20" s="1"/>
  <c r="J136" i="20" s="1"/>
  <c r="K133" i="15"/>
  <c r="K139" i="7"/>
  <c r="K139" i="15"/>
  <c r="K133" i="7"/>
  <c r="D121" i="9"/>
  <c r="D122" i="9" s="1"/>
  <c r="G88" i="3"/>
  <c r="G89" i="3" s="1"/>
  <c r="K134" i="14"/>
  <c r="K139" i="8"/>
  <c r="B135" i="14"/>
  <c r="B136" i="14" s="1"/>
  <c r="C136" i="14" s="1"/>
  <c r="D136" i="14" s="1"/>
  <c r="E136" i="14" s="1"/>
  <c r="F136" i="14" s="1"/>
  <c r="G136" i="14" s="1"/>
  <c r="H136" i="14" s="1"/>
  <c r="I136" i="14" s="1"/>
  <c r="J136" i="14" s="1"/>
  <c r="K133" i="6"/>
  <c r="K133" i="19"/>
  <c r="K139" i="19"/>
  <c r="H140" i="6"/>
  <c r="H141" i="6" s="1"/>
  <c r="J134" i="6"/>
  <c r="J135" i="6" s="1"/>
  <c r="I134" i="6"/>
  <c r="I135" i="6" s="1"/>
  <c r="H134" i="6"/>
  <c r="H135" i="6" s="1"/>
  <c r="C134" i="6"/>
  <c r="C135" i="6" s="1"/>
  <c r="B140" i="6"/>
  <c r="F140" i="6"/>
  <c r="F141" i="6" s="1"/>
  <c r="F134" i="6"/>
  <c r="F135" i="6" s="1"/>
  <c r="D140" i="6"/>
  <c r="D141" i="6" s="1"/>
  <c r="C140" i="6"/>
  <c r="C141" i="6" s="1"/>
  <c r="E140" i="6"/>
  <c r="E141" i="6" s="1"/>
  <c r="J140" i="6"/>
  <c r="J141" i="6" s="1"/>
  <c r="D134" i="6"/>
  <c r="D135" i="6" s="1"/>
  <c r="G140" i="6"/>
  <c r="G141" i="6" s="1"/>
  <c r="B134" i="6"/>
  <c r="E134" i="6"/>
  <c r="E135" i="6" s="1"/>
  <c r="I140" i="6"/>
  <c r="I141" i="6" s="1"/>
  <c r="G134" i="6"/>
  <c r="G135" i="6" s="1"/>
  <c r="K139" i="6"/>
  <c r="F140" i="8"/>
  <c r="F141" i="8" s="1"/>
  <c r="I134" i="8"/>
  <c r="I135" i="8" s="1"/>
  <c r="H140" i="8"/>
  <c r="H141" i="8" s="1"/>
  <c r="E140" i="8"/>
  <c r="E141" i="8" s="1"/>
  <c r="I140" i="8"/>
  <c r="I141" i="8" s="1"/>
  <c r="B140" i="8"/>
  <c r="J134" i="8"/>
  <c r="J135" i="8" s="1"/>
  <c r="J140" i="8"/>
  <c r="J141" i="8" s="1"/>
  <c r="D134" i="8"/>
  <c r="D135" i="8" s="1"/>
  <c r="C134" i="8"/>
  <c r="C135" i="8" s="1"/>
  <c r="D140" i="8"/>
  <c r="D141" i="8" s="1"/>
  <c r="F134" i="8"/>
  <c r="F135" i="8" s="1"/>
  <c r="G140" i="8"/>
  <c r="G141" i="8" s="1"/>
  <c r="B134" i="8"/>
  <c r="E134" i="8"/>
  <c r="E135" i="8" s="1"/>
  <c r="G134" i="8"/>
  <c r="G135" i="8" s="1"/>
  <c r="C140" i="8"/>
  <c r="C141" i="8" s="1"/>
  <c r="H134" i="8"/>
  <c r="H135" i="8" s="1"/>
  <c r="K133" i="8"/>
  <c r="G140" i="19"/>
  <c r="G141" i="19" s="1"/>
  <c r="D134" i="19"/>
  <c r="D135" i="19" s="1"/>
  <c r="B134" i="19"/>
  <c r="B135" i="19" s="1"/>
  <c r="D140" i="19"/>
  <c r="D141" i="19" s="1"/>
  <c r="G134" i="19"/>
  <c r="G135" i="19" s="1"/>
  <c r="I140" i="19"/>
  <c r="I141" i="19" s="1"/>
  <c r="I134" i="19"/>
  <c r="I135" i="19" s="1"/>
  <c r="F134" i="19"/>
  <c r="F135" i="19" s="1"/>
  <c r="C134" i="19"/>
  <c r="C135" i="19" s="1"/>
  <c r="B140" i="19"/>
  <c r="C140" i="19"/>
  <c r="C141" i="19" s="1"/>
  <c r="J140" i="19"/>
  <c r="J141" i="19" s="1"/>
  <c r="H140" i="19"/>
  <c r="H141" i="19" s="1"/>
  <c r="H134" i="19"/>
  <c r="H135" i="19" s="1"/>
  <c r="E134" i="19"/>
  <c r="E135" i="19" s="1"/>
  <c r="F140" i="19"/>
  <c r="F141" i="19" s="1"/>
  <c r="E140" i="19"/>
  <c r="E141" i="19" s="1"/>
  <c r="J134" i="19"/>
  <c r="J135" i="19" s="1"/>
  <c r="K133" i="9"/>
  <c r="K140" i="14"/>
  <c r="K134" i="20"/>
  <c r="K133" i="10"/>
  <c r="F126" i="21"/>
  <c r="A100" i="21"/>
  <c r="I134" i="10"/>
  <c r="I135" i="10" s="1"/>
  <c r="H140" i="10"/>
  <c r="H141" i="10" s="1"/>
  <c r="C140" i="10"/>
  <c r="C141" i="10" s="1"/>
  <c r="E134" i="10"/>
  <c r="E135" i="10" s="1"/>
  <c r="J140" i="10"/>
  <c r="J141" i="10" s="1"/>
  <c r="D134" i="10"/>
  <c r="D135" i="10" s="1"/>
  <c r="J134" i="10"/>
  <c r="J135" i="10" s="1"/>
  <c r="G134" i="10"/>
  <c r="G135" i="10" s="1"/>
  <c r="C134" i="10"/>
  <c r="C135" i="10" s="1"/>
  <c r="B140" i="10"/>
  <c r="B141" i="10" s="1"/>
  <c r="I140" i="10"/>
  <c r="I141" i="10" s="1"/>
  <c r="G140" i="10"/>
  <c r="G141" i="10" s="1"/>
  <c r="E140" i="10"/>
  <c r="E141" i="10" s="1"/>
  <c r="F140" i="10"/>
  <c r="F141" i="10" s="1"/>
  <c r="H134" i="10"/>
  <c r="H135" i="10" s="1"/>
  <c r="B134" i="10"/>
  <c r="B135" i="10" s="1"/>
  <c r="D140" i="10"/>
  <c r="D141" i="10" s="1"/>
  <c r="F134" i="10"/>
  <c r="F135" i="10" s="1"/>
  <c r="B142" i="20"/>
  <c r="C142" i="20" s="1"/>
  <c r="D142" i="20" s="1"/>
  <c r="E142" i="20" s="1"/>
  <c r="F142" i="20" s="1"/>
  <c r="G142" i="20" s="1"/>
  <c r="H142" i="20" s="1"/>
  <c r="I142" i="20" s="1"/>
  <c r="J142" i="20" s="1"/>
  <c r="K139" i="9"/>
  <c r="K140" i="20"/>
  <c r="K126" i="10"/>
  <c r="B135" i="4"/>
  <c r="K134" i="4"/>
  <c r="B141" i="4"/>
  <c r="K140" i="4"/>
  <c r="K139" i="10"/>
  <c r="B134" i="9"/>
  <c r="I140" i="9"/>
  <c r="I141" i="9" s="1"/>
  <c r="D140" i="9"/>
  <c r="D141" i="9" s="1"/>
  <c r="F134" i="9"/>
  <c r="F135" i="9" s="1"/>
  <c r="C140" i="9"/>
  <c r="C141" i="9" s="1"/>
  <c r="D134" i="9"/>
  <c r="D135" i="9" s="1"/>
  <c r="J140" i="9"/>
  <c r="J141" i="9" s="1"/>
  <c r="C134" i="9"/>
  <c r="C135" i="9" s="1"/>
  <c r="H134" i="9"/>
  <c r="H135" i="9" s="1"/>
  <c r="G140" i="9"/>
  <c r="G141" i="9" s="1"/>
  <c r="F140" i="9"/>
  <c r="F141" i="9" s="1"/>
  <c r="I134" i="9"/>
  <c r="I135" i="9" s="1"/>
  <c r="E140" i="9"/>
  <c r="E141" i="9" s="1"/>
  <c r="H140" i="9"/>
  <c r="H141" i="9" s="1"/>
  <c r="G134" i="9"/>
  <c r="G135" i="9" s="1"/>
  <c r="J134" i="9"/>
  <c r="J135" i="9" s="1"/>
  <c r="E134" i="9"/>
  <c r="E135" i="9" s="1"/>
  <c r="B140" i="9"/>
  <c r="B141" i="9" s="1"/>
  <c r="C122" i="10"/>
  <c r="F121" i="10"/>
  <c r="F122" i="10" s="1"/>
  <c r="I127" i="10"/>
  <c r="I128" i="10" s="1"/>
  <c r="E127" i="10"/>
  <c r="E128" i="10" s="1"/>
  <c r="I121" i="10"/>
  <c r="I122" i="10" s="1"/>
  <c r="K120" i="10"/>
  <c r="H88" i="4"/>
  <c r="H89" i="4" s="1"/>
  <c r="G88" i="4"/>
  <c r="G89" i="4" s="1"/>
  <c r="K87" i="3"/>
  <c r="K81" i="3"/>
  <c r="I88" i="4"/>
  <c r="I89" i="4" s="1"/>
  <c r="B88" i="4"/>
  <c r="B89" i="4" s="1"/>
  <c r="J88" i="3"/>
  <c r="J89" i="3" s="1"/>
  <c r="I82" i="4"/>
  <c r="I83" i="4" s="1"/>
  <c r="F88" i="4"/>
  <c r="F89" i="4" s="1"/>
  <c r="E88" i="4"/>
  <c r="E89" i="4" s="1"/>
  <c r="H82" i="4"/>
  <c r="H83" i="4" s="1"/>
  <c r="E82" i="4"/>
  <c r="E83" i="4" s="1"/>
  <c r="F82" i="4"/>
  <c r="F83" i="4" s="1"/>
  <c r="C82" i="4"/>
  <c r="C83" i="4" s="1"/>
  <c r="J82" i="3"/>
  <c r="J83" i="3" s="1"/>
  <c r="H88" i="3"/>
  <c r="H89" i="3" s="1"/>
  <c r="I88" i="3"/>
  <c r="I89" i="3" s="1"/>
  <c r="J82" i="4"/>
  <c r="J83" i="4" s="1"/>
  <c r="B82" i="4"/>
  <c r="B83" i="4" s="1"/>
  <c r="D82" i="4"/>
  <c r="D83" i="4" s="1"/>
  <c r="J88" i="4"/>
  <c r="J89" i="4" s="1"/>
  <c r="G82" i="4"/>
  <c r="G83" i="4" s="1"/>
  <c r="F82" i="3"/>
  <c r="F83" i="3" s="1"/>
  <c r="D88" i="4"/>
  <c r="D89" i="4" s="1"/>
  <c r="C88" i="4"/>
  <c r="C89" i="4" s="1"/>
  <c r="E88" i="3"/>
  <c r="E89" i="3" s="1"/>
  <c r="K87" i="4"/>
  <c r="K81" i="4"/>
  <c r="E82" i="3"/>
  <c r="E83" i="3" s="1"/>
  <c r="D88" i="3"/>
  <c r="D89" i="3" s="1"/>
  <c r="G82" i="3"/>
  <c r="G83" i="3" s="1"/>
  <c r="F88" i="3"/>
  <c r="F89" i="3" s="1"/>
  <c r="C82" i="3"/>
  <c r="C83" i="3" s="1"/>
  <c r="C88" i="3"/>
  <c r="C89" i="3" s="1"/>
  <c r="B88" i="3"/>
  <c r="B89" i="3" s="1"/>
  <c r="H82" i="3"/>
  <c r="H83" i="3" s="1"/>
  <c r="B82" i="3"/>
  <c r="B83" i="3" s="1"/>
  <c r="D82" i="3"/>
  <c r="D83" i="3" s="1"/>
  <c r="I82" i="3"/>
  <c r="I83" i="3" s="1"/>
  <c r="F108" i="3"/>
  <c r="F109" i="3" s="1"/>
  <c r="D108" i="3"/>
  <c r="D109" i="3" s="1"/>
  <c r="B114" i="3"/>
  <c r="B115" i="3" s="1"/>
  <c r="I75" i="14"/>
  <c r="I76" i="14" s="1"/>
  <c r="E108" i="3"/>
  <c r="E109" i="3" s="1"/>
  <c r="I108" i="3"/>
  <c r="I109" i="3" s="1"/>
  <c r="G108" i="3"/>
  <c r="G109" i="3" s="1"/>
  <c r="F114" i="3"/>
  <c r="F115" i="3" s="1"/>
  <c r="I69" i="14"/>
  <c r="I70" i="14" s="1"/>
  <c r="C114" i="3"/>
  <c r="C115" i="3" s="1"/>
  <c r="H114" i="3"/>
  <c r="H115" i="3" s="1"/>
  <c r="G114" i="3"/>
  <c r="G115" i="3" s="1"/>
  <c r="D114" i="3"/>
  <c r="D115" i="3" s="1"/>
  <c r="I114" i="3"/>
  <c r="I115" i="3" s="1"/>
  <c r="D42" i="7"/>
  <c r="I48" i="7"/>
  <c r="C48" i="7"/>
  <c r="E42" i="7"/>
  <c r="J114" i="3"/>
  <c r="J115" i="3" s="1"/>
  <c r="E114" i="3"/>
  <c r="E115" i="3" s="1"/>
  <c r="B108" i="3"/>
  <c r="B109" i="3" s="1"/>
  <c r="J108" i="3"/>
  <c r="J109" i="3" s="1"/>
  <c r="C108" i="3"/>
  <c r="C109" i="3" s="1"/>
  <c r="B48" i="7"/>
  <c r="I42" i="7"/>
  <c r="H108" i="3"/>
  <c r="H109" i="3" s="1"/>
  <c r="F42" i="7"/>
  <c r="E48" i="7"/>
  <c r="J75" i="3"/>
  <c r="J76" i="3" s="1"/>
  <c r="A49" i="7"/>
  <c r="C42" i="7"/>
  <c r="H48" i="7"/>
  <c r="J42" i="7"/>
  <c r="A43" i="7"/>
  <c r="J48" i="7"/>
  <c r="F48" i="7"/>
  <c r="G42" i="7"/>
  <c r="D48" i="7"/>
  <c r="B42" i="7"/>
  <c r="H42" i="7"/>
  <c r="K74" i="4"/>
  <c r="F75" i="14"/>
  <c r="F76" i="14" s="1"/>
  <c r="K68" i="4"/>
  <c r="H69" i="14"/>
  <c r="H70" i="14" s="1"/>
  <c r="E75" i="14"/>
  <c r="E76" i="14" s="1"/>
  <c r="C75" i="14"/>
  <c r="C76" i="14" s="1"/>
  <c r="B75" i="14"/>
  <c r="B76" i="14" s="1"/>
  <c r="G69" i="14"/>
  <c r="G70" i="14" s="1"/>
  <c r="B69" i="14"/>
  <c r="B70" i="14" s="1"/>
  <c r="J69" i="14"/>
  <c r="J70" i="14" s="1"/>
  <c r="G75" i="14"/>
  <c r="J75" i="14"/>
  <c r="J76" i="14" s="1"/>
  <c r="E69" i="14"/>
  <c r="E70" i="14" s="1"/>
  <c r="C69" i="14"/>
  <c r="C70" i="14" s="1"/>
  <c r="F69" i="14"/>
  <c r="F70" i="14" s="1"/>
  <c r="B75" i="4"/>
  <c r="B76" i="4" s="1"/>
  <c r="D75" i="14"/>
  <c r="D76" i="14" s="1"/>
  <c r="H75" i="14"/>
  <c r="H76" i="14" s="1"/>
  <c r="D69" i="14"/>
  <c r="D70" i="14" s="1"/>
  <c r="F69" i="4"/>
  <c r="F70" i="4" s="1"/>
  <c r="J69" i="4"/>
  <c r="J70" i="4" s="1"/>
  <c r="J76" i="4"/>
  <c r="F75" i="4"/>
  <c r="F76" i="4" s="1"/>
  <c r="D75" i="4"/>
  <c r="D76" i="4" s="1"/>
  <c r="I69" i="4"/>
  <c r="I70" i="4" s="1"/>
  <c r="E69" i="4"/>
  <c r="E70" i="4" s="1"/>
  <c r="C69" i="4"/>
  <c r="C70" i="4" s="1"/>
  <c r="B69" i="4"/>
  <c r="B70" i="4" s="1"/>
  <c r="C75" i="4"/>
  <c r="C76" i="4" s="1"/>
  <c r="H69" i="4"/>
  <c r="H70" i="4" s="1"/>
  <c r="E75" i="4"/>
  <c r="E76" i="4" s="1"/>
  <c r="G75" i="4"/>
  <c r="G76" i="4" s="1"/>
  <c r="H75" i="4"/>
  <c r="H76" i="4" s="1"/>
  <c r="G69" i="4"/>
  <c r="G70" i="4" s="1"/>
  <c r="D69" i="4"/>
  <c r="D70" i="4" s="1"/>
  <c r="I75" i="4"/>
  <c r="I76" i="4" s="1"/>
  <c r="K68" i="14"/>
  <c r="K113" i="3"/>
  <c r="E108" i="14"/>
  <c r="E109" i="14" s="1"/>
  <c r="J120" i="21"/>
  <c r="D126" i="21"/>
  <c r="B120" i="21"/>
  <c r="H126" i="21"/>
  <c r="F120" i="21"/>
  <c r="A121" i="21"/>
  <c r="C120" i="21"/>
  <c r="B126" i="21"/>
  <c r="I120" i="21"/>
  <c r="J126" i="21"/>
  <c r="C126" i="21"/>
  <c r="E120" i="21"/>
  <c r="D120" i="21"/>
  <c r="I114" i="14"/>
  <c r="I115" i="14" s="1"/>
  <c r="H120" i="21"/>
  <c r="G126" i="21"/>
  <c r="G120" i="21"/>
  <c r="A127" i="21"/>
  <c r="I126" i="21"/>
  <c r="E126" i="21"/>
  <c r="G114" i="14"/>
  <c r="G115" i="14" s="1"/>
  <c r="F114" i="14"/>
  <c r="F115" i="14" s="1"/>
  <c r="D114" i="14"/>
  <c r="D115" i="14" s="1"/>
  <c r="C114" i="14"/>
  <c r="C115" i="14" s="1"/>
  <c r="C108" i="14"/>
  <c r="C109" i="14" s="1"/>
  <c r="K107" i="3"/>
  <c r="H108" i="14"/>
  <c r="H109" i="14" s="1"/>
  <c r="G108" i="14"/>
  <c r="G109" i="14" s="1"/>
  <c r="E114" i="14"/>
  <c r="E115" i="14" s="1"/>
  <c r="D108" i="14"/>
  <c r="D109" i="14" s="1"/>
  <c r="J114" i="14"/>
  <c r="J115" i="14" s="1"/>
  <c r="I108" i="14"/>
  <c r="I109" i="14" s="1"/>
  <c r="B108" i="14"/>
  <c r="B109" i="14" s="1"/>
  <c r="B114" i="14"/>
  <c r="B115" i="14" s="1"/>
  <c r="J108" i="14"/>
  <c r="J109" i="14" s="1"/>
  <c r="H114" i="14"/>
  <c r="H115" i="14" s="1"/>
  <c r="F108" i="14"/>
  <c r="F109" i="14" s="1"/>
  <c r="K113" i="14"/>
  <c r="K107" i="14"/>
  <c r="K74" i="14"/>
  <c r="I75" i="3"/>
  <c r="I76" i="3" s="1"/>
  <c r="J69" i="3"/>
  <c r="J70" i="3" s="1"/>
  <c r="H69" i="3"/>
  <c r="H70" i="3" s="1"/>
  <c r="C69" i="3"/>
  <c r="C70" i="3" s="1"/>
  <c r="I69" i="3"/>
  <c r="I70" i="3" s="1"/>
  <c r="D75" i="3"/>
  <c r="D76" i="3" s="1"/>
  <c r="H75" i="3"/>
  <c r="H76" i="3" s="1"/>
  <c r="F75" i="3"/>
  <c r="F76" i="3" s="1"/>
  <c r="D69" i="3"/>
  <c r="D70" i="3" s="1"/>
  <c r="G69" i="3"/>
  <c r="G70" i="3" s="1"/>
  <c r="E69" i="3"/>
  <c r="E70" i="3" s="1"/>
  <c r="F69" i="3"/>
  <c r="F70" i="3" s="1"/>
  <c r="E75" i="3"/>
  <c r="E76" i="3" s="1"/>
  <c r="B69" i="3"/>
  <c r="B70" i="3" s="1"/>
  <c r="B75" i="3"/>
  <c r="B76" i="3" s="1"/>
  <c r="C75" i="3"/>
  <c r="C76" i="3" s="1"/>
  <c r="I88" i="14"/>
  <c r="I89" i="14" s="1"/>
  <c r="G76" i="3"/>
  <c r="K74" i="3"/>
  <c r="K68" i="3"/>
  <c r="G121" i="9"/>
  <c r="G122" i="9" s="1"/>
  <c r="E88" i="14"/>
  <c r="E89" i="14" s="1"/>
  <c r="C88" i="14"/>
  <c r="C89" i="14" s="1"/>
  <c r="G127" i="9"/>
  <c r="G128" i="9" s="1"/>
  <c r="K81" i="14"/>
  <c r="I108" i="6"/>
  <c r="I109" i="6" s="1"/>
  <c r="J68" i="10"/>
  <c r="D56" i="3"/>
  <c r="D57" i="3" s="1"/>
  <c r="K87" i="14"/>
  <c r="F88" i="14"/>
  <c r="F89" i="14" s="1"/>
  <c r="D82" i="14"/>
  <c r="D83" i="14" s="1"/>
  <c r="H82" i="14"/>
  <c r="H83" i="14" s="1"/>
  <c r="F82" i="14"/>
  <c r="F83" i="14" s="1"/>
  <c r="J82" i="14"/>
  <c r="J83" i="14" s="1"/>
  <c r="G88" i="14"/>
  <c r="G89" i="14" s="1"/>
  <c r="D88" i="14"/>
  <c r="D89" i="14" s="1"/>
  <c r="E82" i="14"/>
  <c r="E83" i="14" s="1"/>
  <c r="J88" i="14"/>
  <c r="J89" i="14" s="1"/>
  <c r="I82" i="14"/>
  <c r="I83" i="14" s="1"/>
  <c r="B88" i="14"/>
  <c r="B89" i="14" s="1"/>
  <c r="B82" i="14"/>
  <c r="B83" i="14" s="1"/>
  <c r="G82" i="14"/>
  <c r="G83" i="14" s="1"/>
  <c r="H88" i="14"/>
  <c r="H89" i="14" s="1"/>
  <c r="C82" i="14"/>
  <c r="C83" i="14" s="1"/>
  <c r="I42" i="10"/>
  <c r="E121" i="9"/>
  <c r="E122" i="9" s="1"/>
  <c r="I102" i="14"/>
  <c r="F101" i="14"/>
  <c r="F102" i="14" s="1"/>
  <c r="D95" i="14"/>
  <c r="D96" i="14" s="1"/>
  <c r="C101" i="14"/>
  <c r="C102" i="14" s="1"/>
  <c r="B101" i="14"/>
  <c r="B102" i="14" s="1"/>
  <c r="I95" i="14"/>
  <c r="I96" i="14" s="1"/>
  <c r="D101" i="14"/>
  <c r="D102" i="14" s="1"/>
  <c r="B95" i="14"/>
  <c r="B96" i="14" s="1"/>
  <c r="J101" i="14"/>
  <c r="J102" i="14" s="1"/>
  <c r="G101" i="14"/>
  <c r="G102" i="14" s="1"/>
  <c r="E95" i="14"/>
  <c r="E96" i="14" s="1"/>
  <c r="D113" i="9"/>
  <c r="K100" i="14"/>
  <c r="K94" i="14"/>
  <c r="B97" i="3"/>
  <c r="C97" i="3" s="1"/>
  <c r="D97" i="3" s="1"/>
  <c r="E97" i="3" s="1"/>
  <c r="F97" i="3" s="1"/>
  <c r="G97" i="3" s="1"/>
  <c r="H97" i="3" s="1"/>
  <c r="I97" i="3" s="1"/>
  <c r="J97" i="3" s="1"/>
  <c r="H95" i="14"/>
  <c r="H96" i="14" s="1"/>
  <c r="H101" i="14"/>
  <c r="H102" i="14" s="1"/>
  <c r="C95" i="14"/>
  <c r="C96" i="14" s="1"/>
  <c r="G95" i="14"/>
  <c r="G96" i="14" s="1"/>
  <c r="E101" i="14"/>
  <c r="E102" i="14" s="1"/>
  <c r="F95" i="14"/>
  <c r="F96" i="14" s="1"/>
  <c r="J95" i="14"/>
  <c r="J96" i="14" s="1"/>
  <c r="H75" i="15"/>
  <c r="H76" i="15" s="1"/>
  <c r="B108" i="7"/>
  <c r="B109" i="7" s="1"/>
  <c r="D62" i="3"/>
  <c r="D63" i="3" s="1"/>
  <c r="B103" i="3"/>
  <c r="C103" i="3" s="1"/>
  <c r="D103" i="3" s="1"/>
  <c r="E103" i="3" s="1"/>
  <c r="F103" i="3" s="1"/>
  <c r="G103" i="3" s="1"/>
  <c r="H103" i="3" s="1"/>
  <c r="I103" i="3" s="1"/>
  <c r="J103" i="3" s="1"/>
  <c r="C95" i="6"/>
  <c r="C96" i="6" s="1"/>
  <c r="H113" i="10"/>
  <c r="C56" i="3"/>
  <c r="C57" i="3" s="1"/>
  <c r="G62" i="3"/>
  <c r="G63" i="3" s="1"/>
  <c r="J56" i="3"/>
  <c r="J57" i="3" s="1"/>
  <c r="C62" i="3"/>
  <c r="C63" i="3" s="1"/>
  <c r="I56" i="3"/>
  <c r="I57" i="3" s="1"/>
  <c r="B62" i="3"/>
  <c r="B63" i="3" s="1"/>
  <c r="G56" i="3"/>
  <c r="G57" i="3" s="1"/>
  <c r="I62" i="3"/>
  <c r="I63" i="3" s="1"/>
  <c r="H62" i="3"/>
  <c r="H63" i="3" s="1"/>
  <c r="F121" i="8"/>
  <c r="F122" i="8" s="1"/>
  <c r="D101" i="6"/>
  <c r="D102" i="6" s="1"/>
  <c r="K55" i="3"/>
  <c r="E56" i="3"/>
  <c r="E57" i="3" s="1"/>
  <c r="H56" i="3"/>
  <c r="H57" i="3" s="1"/>
  <c r="F56" i="3"/>
  <c r="F57" i="3" s="1"/>
  <c r="J62" i="3"/>
  <c r="J63" i="3" s="1"/>
  <c r="F87" i="8"/>
  <c r="B56" i="3"/>
  <c r="B57" i="3" s="1"/>
  <c r="E62" i="3"/>
  <c r="E63" i="3" s="1"/>
  <c r="F62" i="3"/>
  <c r="F63" i="3" s="1"/>
  <c r="D108" i="7"/>
  <c r="D109" i="7" s="1"/>
  <c r="F95" i="6"/>
  <c r="F96" i="6" s="1"/>
  <c r="I69" i="15"/>
  <c r="I70" i="15" s="1"/>
  <c r="D69" i="15"/>
  <c r="D70" i="15" s="1"/>
  <c r="C101" i="6"/>
  <c r="C102" i="6" s="1"/>
  <c r="H108" i="6"/>
  <c r="H109" i="6" s="1"/>
  <c r="I101" i="6"/>
  <c r="I102" i="6" s="1"/>
  <c r="H95" i="6"/>
  <c r="H96" i="6" s="1"/>
  <c r="I95" i="6"/>
  <c r="I96" i="6" s="1"/>
  <c r="G74" i="9"/>
  <c r="I127" i="8"/>
  <c r="I128" i="8" s="1"/>
  <c r="I48" i="9"/>
  <c r="H56" i="14"/>
  <c r="H57" i="14" s="1"/>
  <c r="G56" i="14"/>
  <c r="G57" i="14" s="1"/>
  <c r="J56" i="14"/>
  <c r="J57" i="14" s="1"/>
  <c r="K61" i="3"/>
  <c r="G101" i="6"/>
  <c r="G102" i="6" s="1"/>
  <c r="H101" i="6"/>
  <c r="H102" i="6" s="1"/>
  <c r="E95" i="6"/>
  <c r="E96" i="6" s="1"/>
  <c r="G95" i="6"/>
  <c r="G96" i="6" s="1"/>
  <c r="B101" i="6"/>
  <c r="B102" i="6" s="1"/>
  <c r="F101" i="6"/>
  <c r="F102" i="6" s="1"/>
  <c r="D95" i="6"/>
  <c r="D96" i="6" s="1"/>
  <c r="E101" i="6"/>
  <c r="B95" i="6"/>
  <c r="B96" i="6" s="1"/>
  <c r="J95" i="6"/>
  <c r="J96" i="6" s="1"/>
  <c r="J101" i="6"/>
  <c r="J102" i="6" s="1"/>
  <c r="J100" i="9"/>
  <c r="H107" i="10"/>
  <c r="J114" i="6"/>
  <c r="J115" i="6" s="1"/>
  <c r="J108" i="6"/>
  <c r="J109" i="6" s="1"/>
  <c r="B64" i="4"/>
  <c r="C64" i="4" s="1"/>
  <c r="C108" i="6"/>
  <c r="C109" i="6" s="1"/>
  <c r="I114" i="6"/>
  <c r="I115" i="6" s="1"/>
  <c r="C62" i="14"/>
  <c r="C63" i="14" s="1"/>
  <c r="K94" i="6"/>
  <c r="C56" i="14"/>
  <c r="C57" i="14" s="1"/>
  <c r="F56" i="14"/>
  <c r="F57" i="14" s="1"/>
  <c r="B56" i="14"/>
  <c r="B57" i="14" s="1"/>
  <c r="G62" i="15"/>
  <c r="G63" i="15" s="1"/>
  <c r="G62" i="14"/>
  <c r="G63" i="14" s="1"/>
  <c r="I62" i="14"/>
  <c r="I63" i="14" s="1"/>
  <c r="E56" i="14"/>
  <c r="E57" i="14" s="1"/>
  <c r="H62" i="14"/>
  <c r="H63" i="14" s="1"/>
  <c r="D56" i="14"/>
  <c r="D57" i="14" s="1"/>
  <c r="E108" i="7"/>
  <c r="E109" i="7" s="1"/>
  <c r="F62" i="14"/>
  <c r="F63" i="14" s="1"/>
  <c r="D62" i="14"/>
  <c r="D63" i="14" s="1"/>
  <c r="E62" i="14"/>
  <c r="E63" i="14" s="1"/>
  <c r="B62" i="14"/>
  <c r="I56" i="14"/>
  <c r="I57" i="14" s="1"/>
  <c r="J62" i="14"/>
  <c r="J63" i="14" s="1"/>
  <c r="J107" i="9"/>
  <c r="D43" i="15"/>
  <c r="D44" i="15" s="1"/>
  <c r="J82" i="15"/>
  <c r="J83" i="15" s="1"/>
  <c r="C88" i="15"/>
  <c r="C89" i="15" s="1"/>
  <c r="K95" i="3"/>
  <c r="B42" i="10"/>
  <c r="A49" i="9"/>
  <c r="B43" i="6"/>
  <c r="B44" i="6" s="1"/>
  <c r="G62" i="7"/>
  <c r="G63" i="7" s="1"/>
  <c r="J62" i="15"/>
  <c r="J63" i="15" s="1"/>
  <c r="K61" i="14"/>
  <c r="K101" i="3"/>
  <c r="F75" i="6"/>
  <c r="F76" i="6" s="1"/>
  <c r="G108" i="6"/>
  <c r="G109" i="6" s="1"/>
  <c r="E108" i="6"/>
  <c r="E109" i="6" s="1"/>
  <c r="F108" i="6"/>
  <c r="F109" i="6" s="1"/>
  <c r="F114" i="6"/>
  <c r="F115" i="6" s="1"/>
  <c r="H114" i="6"/>
  <c r="H115" i="6" s="1"/>
  <c r="D108" i="6"/>
  <c r="D109" i="6" s="1"/>
  <c r="K55" i="14"/>
  <c r="G114" i="6"/>
  <c r="G115" i="6" s="1"/>
  <c r="B108" i="6"/>
  <c r="B109" i="6" s="1"/>
  <c r="E114" i="6"/>
  <c r="E115" i="6" s="1"/>
  <c r="D114" i="6"/>
  <c r="D115" i="6" s="1"/>
  <c r="B114" i="6"/>
  <c r="B115" i="6" s="1"/>
  <c r="C114" i="6"/>
  <c r="C115" i="6" s="1"/>
  <c r="G69" i="6"/>
  <c r="G70" i="6" s="1"/>
  <c r="D127" i="9"/>
  <c r="D128" i="9" s="1"/>
  <c r="B121" i="9"/>
  <c r="B122" i="9" s="1"/>
  <c r="K120" i="9"/>
  <c r="C68" i="9"/>
  <c r="D68" i="9"/>
  <c r="A49" i="10"/>
  <c r="D42" i="8"/>
  <c r="F61" i="10"/>
  <c r="J61" i="10"/>
  <c r="A62" i="10"/>
  <c r="D55" i="10"/>
  <c r="A56" i="10"/>
  <c r="H68" i="10"/>
  <c r="D74" i="8"/>
  <c r="E74" i="8"/>
  <c r="H43" i="6"/>
  <c r="H44" i="6" s="1"/>
  <c r="J43" i="6"/>
  <c r="J44" i="6" s="1"/>
  <c r="G74" i="8"/>
  <c r="H49" i="6"/>
  <c r="H50" i="6" s="1"/>
  <c r="H69" i="15"/>
  <c r="H70" i="15" s="1"/>
  <c r="G88" i="6"/>
  <c r="G89" i="6" s="1"/>
  <c r="B69" i="15"/>
  <c r="B70" i="15" s="1"/>
  <c r="K113" i="6"/>
  <c r="E114" i="7"/>
  <c r="E115" i="7" s="1"/>
  <c r="F114" i="7"/>
  <c r="F115" i="7" s="1"/>
  <c r="B114" i="7"/>
  <c r="B115" i="7" s="1"/>
  <c r="H114" i="7"/>
  <c r="H115" i="7" s="1"/>
  <c r="D69" i="6"/>
  <c r="D70" i="6" s="1"/>
  <c r="C75" i="15"/>
  <c r="C76" i="15" s="1"/>
  <c r="C69" i="15"/>
  <c r="C70" i="15" s="1"/>
  <c r="G69" i="15"/>
  <c r="G70" i="15" s="1"/>
  <c r="B75" i="15"/>
  <c r="B76" i="15" s="1"/>
  <c r="E75" i="15"/>
  <c r="E76" i="15" s="1"/>
  <c r="D87" i="21"/>
  <c r="G75" i="6"/>
  <c r="G76" i="6" s="1"/>
  <c r="B88" i="15"/>
  <c r="B89" i="15" s="1"/>
  <c r="G82" i="15"/>
  <c r="G83" i="15" s="1"/>
  <c r="E82" i="15"/>
  <c r="E83" i="15" s="1"/>
  <c r="B82" i="15"/>
  <c r="B83" i="15" s="1"/>
  <c r="D82" i="15"/>
  <c r="D83" i="15" s="1"/>
  <c r="J88" i="15"/>
  <c r="J89" i="15" s="1"/>
  <c r="D88" i="15"/>
  <c r="D89" i="15" s="1"/>
  <c r="G88" i="15"/>
  <c r="G89" i="15" s="1"/>
  <c r="C82" i="15"/>
  <c r="C83" i="15" s="1"/>
  <c r="K107" i="6"/>
  <c r="K68" i="15"/>
  <c r="K126" i="9"/>
  <c r="C107" i="10"/>
  <c r="J113" i="10"/>
  <c r="E74" i="9"/>
  <c r="J56" i="15"/>
  <c r="J57" i="15" s="1"/>
  <c r="H68" i="9"/>
  <c r="F74" i="9"/>
  <c r="G48" i="10"/>
  <c r="A43" i="10"/>
  <c r="F81" i="9"/>
  <c r="J48" i="10"/>
  <c r="A88" i="9"/>
  <c r="H121" i="9"/>
  <c r="H122" i="9" s="1"/>
  <c r="C127" i="9"/>
  <c r="C128" i="9" s="1"/>
  <c r="F121" i="9"/>
  <c r="F122" i="9" s="1"/>
  <c r="I127" i="9"/>
  <c r="I128" i="9" s="1"/>
  <c r="E107" i="10"/>
  <c r="J68" i="9"/>
  <c r="D48" i="10"/>
  <c r="G107" i="10"/>
  <c r="I107" i="10"/>
  <c r="B42" i="9"/>
  <c r="J121" i="9"/>
  <c r="J122" i="9" s="1"/>
  <c r="F127" i="9"/>
  <c r="F128" i="9" s="1"/>
  <c r="B127" i="9"/>
  <c r="B128" i="9" s="1"/>
  <c r="I121" i="9"/>
  <c r="I122" i="9" s="1"/>
  <c r="K42" i="6"/>
  <c r="F43" i="6"/>
  <c r="F44" i="6" s="1"/>
  <c r="I68" i="9"/>
  <c r="B74" i="9"/>
  <c r="H42" i="10"/>
  <c r="B87" i="9"/>
  <c r="A82" i="9"/>
  <c r="C121" i="9"/>
  <c r="C122" i="9" s="1"/>
  <c r="H127" i="9"/>
  <c r="H128" i="9" s="1"/>
  <c r="E127" i="9"/>
  <c r="E128" i="9" s="1"/>
  <c r="J127" i="9"/>
  <c r="J128" i="9" s="1"/>
  <c r="B49" i="15"/>
  <c r="B50" i="15" s="1"/>
  <c r="F42" i="10"/>
  <c r="J42" i="9"/>
  <c r="D75" i="6"/>
  <c r="D76" i="6" s="1"/>
  <c r="B48" i="10"/>
  <c r="G42" i="10"/>
  <c r="I48" i="10"/>
  <c r="E48" i="9"/>
  <c r="H48" i="9"/>
  <c r="B100" i="8"/>
  <c r="I87" i="21"/>
  <c r="H69" i="6"/>
  <c r="H70" i="6" s="1"/>
  <c r="C69" i="6"/>
  <c r="C70" i="6" s="1"/>
  <c r="B69" i="6"/>
  <c r="B70" i="6" s="1"/>
  <c r="J75" i="6"/>
  <c r="J76" i="6" s="1"/>
  <c r="C75" i="6"/>
  <c r="C76" i="6" s="1"/>
  <c r="E94" i="8"/>
  <c r="C74" i="8"/>
  <c r="J68" i="8"/>
  <c r="F74" i="8"/>
  <c r="J61" i="8"/>
  <c r="G61" i="8"/>
  <c r="I43" i="6"/>
  <c r="I44" i="6" s="1"/>
  <c r="E49" i="6"/>
  <c r="E50" i="6" s="1"/>
  <c r="G49" i="6"/>
  <c r="G50" i="6" s="1"/>
  <c r="C43" i="6"/>
  <c r="C44" i="6" s="1"/>
  <c r="I49" i="6"/>
  <c r="I50" i="6" s="1"/>
  <c r="I43" i="15"/>
  <c r="I44" i="15" s="1"/>
  <c r="H121" i="8"/>
  <c r="H122" i="8" s="1"/>
  <c r="J108" i="15"/>
  <c r="J109" i="15" s="1"/>
  <c r="I75" i="6"/>
  <c r="I76" i="6" s="1"/>
  <c r="C43" i="15"/>
  <c r="C44" i="15" s="1"/>
  <c r="H94" i="8"/>
  <c r="J94" i="8"/>
  <c r="B74" i="8"/>
  <c r="C68" i="8"/>
  <c r="A69" i="8"/>
  <c r="C61" i="8"/>
  <c r="J49" i="6"/>
  <c r="J50" i="6" s="1"/>
  <c r="B49" i="6"/>
  <c r="B50" i="6" s="1"/>
  <c r="F49" i="6"/>
  <c r="F50" i="6" s="1"/>
  <c r="D49" i="6"/>
  <c r="D50" i="6" s="1"/>
  <c r="H127" i="8"/>
  <c r="H128" i="8" s="1"/>
  <c r="F69" i="6"/>
  <c r="F70" i="6" s="1"/>
  <c r="E69" i="6"/>
  <c r="E70" i="6" s="1"/>
  <c r="B58" i="4"/>
  <c r="C58" i="4" s="1"/>
  <c r="F74" i="10"/>
  <c r="B75" i="6"/>
  <c r="B76" i="6" s="1"/>
  <c r="I69" i="6"/>
  <c r="I70" i="6" s="1"/>
  <c r="J69" i="6"/>
  <c r="J70" i="6" s="1"/>
  <c r="E75" i="6"/>
  <c r="E76" i="6" s="1"/>
  <c r="H75" i="6"/>
  <c r="H76" i="6" s="1"/>
  <c r="E100" i="8"/>
  <c r="H74" i="8"/>
  <c r="A75" i="8"/>
  <c r="D61" i="8"/>
  <c r="D43" i="6"/>
  <c r="D44" i="6" s="1"/>
  <c r="G43" i="6"/>
  <c r="G44" i="6" s="1"/>
  <c r="C49" i="6"/>
  <c r="C50" i="6" s="1"/>
  <c r="E43" i="6"/>
  <c r="E44" i="6" s="1"/>
  <c r="B94" i="9"/>
  <c r="E127" i="8"/>
  <c r="E128" i="8" s="1"/>
  <c r="A43" i="8"/>
  <c r="B81" i="21"/>
  <c r="F69" i="7"/>
  <c r="F70" i="7" s="1"/>
  <c r="B69" i="7"/>
  <c r="B70" i="7" s="1"/>
  <c r="C94" i="10"/>
  <c r="B94" i="10"/>
  <c r="E100" i="10"/>
  <c r="C75" i="7"/>
  <c r="C76" i="7" s="1"/>
  <c r="G94" i="10"/>
  <c r="D100" i="10"/>
  <c r="I74" i="9"/>
  <c r="H48" i="10"/>
  <c r="E88" i="15"/>
  <c r="E89" i="15" s="1"/>
  <c r="F88" i="15"/>
  <c r="F89" i="15" s="1"/>
  <c r="F48" i="8"/>
  <c r="F107" i="10"/>
  <c r="F113" i="10"/>
  <c r="I75" i="15"/>
  <c r="I76" i="15" s="1"/>
  <c r="E81" i="10"/>
  <c r="H82" i="15"/>
  <c r="H83" i="15" s="1"/>
  <c r="C48" i="10"/>
  <c r="J74" i="9"/>
  <c r="I42" i="9"/>
  <c r="G42" i="9"/>
  <c r="B48" i="9"/>
  <c r="J81" i="21"/>
  <c r="A69" i="9"/>
  <c r="B68" i="9"/>
  <c r="I56" i="15"/>
  <c r="I57" i="15" s="1"/>
  <c r="C74" i="9"/>
  <c r="J69" i="15"/>
  <c r="J70" i="15" s="1"/>
  <c r="D74" i="9"/>
  <c r="E69" i="15"/>
  <c r="E70" i="15" s="1"/>
  <c r="C113" i="10"/>
  <c r="D75" i="15"/>
  <c r="D76" i="15" s="1"/>
  <c r="E48" i="10"/>
  <c r="C42" i="10"/>
  <c r="I88" i="15"/>
  <c r="I89" i="15" s="1"/>
  <c r="C87" i="8"/>
  <c r="E68" i="9"/>
  <c r="F42" i="9"/>
  <c r="E42" i="9"/>
  <c r="C42" i="9"/>
  <c r="D42" i="9"/>
  <c r="G114" i="7"/>
  <c r="G115" i="7" s="1"/>
  <c r="C114" i="7"/>
  <c r="C115" i="7" s="1"/>
  <c r="G108" i="7"/>
  <c r="G109" i="7" s="1"/>
  <c r="A75" i="9"/>
  <c r="H74" i="9"/>
  <c r="G56" i="15"/>
  <c r="G57" i="15" s="1"/>
  <c r="G68" i="9"/>
  <c r="J75" i="15"/>
  <c r="J76" i="15" s="1"/>
  <c r="F69" i="15"/>
  <c r="F70" i="15" s="1"/>
  <c r="F68" i="9"/>
  <c r="J94" i="9"/>
  <c r="H100" i="8"/>
  <c r="F62" i="15"/>
  <c r="F63" i="15" s="1"/>
  <c r="C94" i="9"/>
  <c r="E42" i="10"/>
  <c r="D42" i="10"/>
  <c r="J42" i="10"/>
  <c r="H88" i="15"/>
  <c r="H89" i="15" s="1"/>
  <c r="F82" i="15"/>
  <c r="F83" i="15" s="1"/>
  <c r="I82" i="15"/>
  <c r="I83" i="15" s="1"/>
  <c r="G75" i="15"/>
  <c r="G76" i="15" s="1"/>
  <c r="F75" i="15"/>
  <c r="F76" i="15" s="1"/>
  <c r="F48" i="10"/>
  <c r="G48" i="9"/>
  <c r="C48" i="9"/>
  <c r="H42" i="9"/>
  <c r="D48" i="9"/>
  <c r="F48" i="9"/>
  <c r="F108" i="7"/>
  <c r="F109" i="7" s="1"/>
  <c r="J114" i="7"/>
  <c r="J115" i="7" s="1"/>
  <c r="A43" i="9"/>
  <c r="I61" i="9"/>
  <c r="A108" i="9"/>
  <c r="K74" i="15"/>
  <c r="I49" i="15"/>
  <c r="I50" i="15" s="1"/>
  <c r="C56" i="6"/>
  <c r="C57" i="6" s="1"/>
  <c r="E88" i="6"/>
  <c r="E89" i="6" s="1"/>
  <c r="K87" i="15"/>
  <c r="K81" i="15"/>
  <c r="G113" i="10"/>
  <c r="E95" i="15"/>
  <c r="E96" i="15" s="1"/>
  <c r="K100" i="6"/>
  <c r="K74" i="6"/>
  <c r="F101" i="15"/>
  <c r="F102" i="15" s="1"/>
  <c r="K120" i="8"/>
  <c r="F113" i="9"/>
  <c r="J43" i="15"/>
  <c r="J44" i="15" s="1"/>
  <c r="F107" i="9"/>
  <c r="A114" i="9"/>
  <c r="G55" i="9"/>
  <c r="C55" i="10"/>
  <c r="B55" i="10"/>
  <c r="C61" i="10"/>
  <c r="C55" i="9"/>
  <c r="G55" i="10"/>
  <c r="E82" i="6"/>
  <c r="E83" i="6" s="1"/>
  <c r="G61" i="10"/>
  <c r="B61" i="9"/>
  <c r="E55" i="10"/>
  <c r="E61" i="10"/>
  <c r="D61" i="10"/>
  <c r="F55" i="9"/>
  <c r="I88" i="6"/>
  <c r="I89" i="6" s="1"/>
  <c r="I55" i="10"/>
  <c r="I61" i="10"/>
  <c r="B61" i="10"/>
  <c r="H61" i="10"/>
  <c r="J55" i="10"/>
  <c r="H55" i="10"/>
  <c r="A56" i="9"/>
  <c r="F75" i="7"/>
  <c r="F76" i="7" s="1"/>
  <c r="B75" i="7"/>
  <c r="B76" i="7" s="1"/>
  <c r="H75" i="7"/>
  <c r="H76" i="7" s="1"/>
  <c r="I69" i="7"/>
  <c r="G69" i="7"/>
  <c r="G70" i="7" s="1"/>
  <c r="B88" i="6"/>
  <c r="B89" i="6" s="1"/>
  <c r="F88" i="6"/>
  <c r="F89" i="6" s="1"/>
  <c r="E69" i="7"/>
  <c r="E70" i="7" s="1"/>
  <c r="J69" i="7"/>
  <c r="J70" i="7" s="1"/>
  <c r="E75" i="7"/>
  <c r="E76" i="7" s="1"/>
  <c r="J42" i="8"/>
  <c r="K68" i="7"/>
  <c r="D56" i="6"/>
  <c r="D57" i="6" s="1"/>
  <c r="F43" i="15"/>
  <c r="F44" i="15" s="1"/>
  <c r="E49" i="15"/>
  <c r="E50" i="15" s="1"/>
  <c r="G49" i="15"/>
  <c r="G50" i="15" s="1"/>
  <c r="B43" i="15"/>
  <c r="G113" i="9"/>
  <c r="G107" i="9"/>
  <c r="B107" i="9"/>
  <c r="C113" i="9"/>
  <c r="I113" i="9"/>
  <c r="J62" i="6"/>
  <c r="J63" i="6" s="1"/>
  <c r="C49" i="15"/>
  <c r="C50" i="15" s="1"/>
  <c r="E43" i="15"/>
  <c r="E44" i="15" s="1"/>
  <c r="B56" i="6"/>
  <c r="B57" i="6" s="1"/>
  <c r="C107" i="9"/>
  <c r="F49" i="15"/>
  <c r="F50" i="15" s="1"/>
  <c r="H113" i="9"/>
  <c r="J49" i="15"/>
  <c r="J50" i="15" s="1"/>
  <c r="H43" i="15"/>
  <c r="H44" i="15" s="1"/>
  <c r="B113" i="9"/>
  <c r="C62" i="6"/>
  <c r="C63" i="6" s="1"/>
  <c r="H49" i="15"/>
  <c r="H50" i="15" s="1"/>
  <c r="G43" i="15"/>
  <c r="G44" i="15" s="1"/>
  <c r="D49" i="15"/>
  <c r="D50" i="15" s="1"/>
  <c r="E113" i="9"/>
  <c r="I107" i="9"/>
  <c r="H107" i="9"/>
  <c r="E107" i="9"/>
  <c r="J113" i="9"/>
  <c r="E113" i="8"/>
  <c r="K81" i="6"/>
  <c r="K87" i="6"/>
  <c r="I101" i="15"/>
  <c r="I102" i="15" s="1"/>
  <c r="G95" i="7"/>
  <c r="G96" i="7" s="1"/>
  <c r="B127" i="8"/>
  <c r="B128" i="8" s="1"/>
  <c r="E95" i="7"/>
  <c r="E96" i="7" s="1"/>
  <c r="J127" i="8"/>
  <c r="J128" i="8" s="1"/>
  <c r="C127" i="8"/>
  <c r="C128" i="8" s="1"/>
  <c r="G127" i="8"/>
  <c r="G128" i="8" s="1"/>
  <c r="G121" i="8"/>
  <c r="G122" i="8" s="1"/>
  <c r="J121" i="8"/>
  <c r="J122" i="8" s="1"/>
  <c r="H101" i="7"/>
  <c r="H102" i="7" s="1"/>
  <c r="D121" i="8"/>
  <c r="D122" i="8" s="1"/>
  <c r="C121" i="8"/>
  <c r="C122" i="8" s="1"/>
  <c r="I121" i="8"/>
  <c r="I122" i="8" s="1"/>
  <c r="F95" i="15"/>
  <c r="F96" i="15" s="1"/>
  <c r="D127" i="8"/>
  <c r="D128" i="8" s="1"/>
  <c r="E121" i="8"/>
  <c r="E122" i="8" s="1"/>
  <c r="B121" i="8"/>
  <c r="B122" i="8" s="1"/>
  <c r="F127" i="8"/>
  <c r="F128" i="8" s="1"/>
  <c r="C87" i="9"/>
  <c r="B81" i="9"/>
  <c r="C81" i="9"/>
  <c r="E81" i="9"/>
  <c r="J87" i="9"/>
  <c r="D87" i="9"/>
  <c r="G87" i="9"/>
  <c r="B82" i="6"/>
  <c r="B83" i="6" s="1"/>
  <c r="C88" i="6"/>
  <c r="C89" i="6" s="1"/>
  <c r="J82" i="6"/>
  <c r="J83" i="6" s="1"/>
  <c r="F82" i="6"/>
  <c r="F83" i="6" s="1"/>
  <c r="F87" i="9"/>
  <c r="I81" i="9"/>
  <c r="E87" i="9"/>
  <c r="J81" i="9"/>
  <c r="G81" i="9"/>
  <c r="C82" i="6"/>
  <c r="C83" i="6" s="1"/>
  <c r="D82" i="6"/>
  <c r="D83" i="6" s="1"/>
  <c r="D88" i="6"/>
  <c r="H82" i="6"/>
  <c r="H83" i="6" s="1"/>
  <c r="H88" i="6"/>
  <c r="H89" i="6" s="1"/>
  <c r="D81" i="9"/>
  <c r="H81" i="9"/>
  <c r="I87" i="9"/>
  <c r="I82" i="6"/>
  <c r="I83" i="6" s="1"/>
  <c r="G82" i="6"/>
  <c r="G83" i="6" s="1"/>
  <c r="J88" i="6"/>
  <c r="J89" i="6" s="1"/>
  <c r="K126" i="8"/>
  <c r="C42" i="8"/>
  <c r="D48" i="8"/>
  <c r="B48" i="8"/>
  <c r="G42" i="8"/>
  <c r="A49" i="8"/>
  <c r="C95" i="15"/>
  <c r="C96" i="15" s="1"/>
  <c r="B101" i="15"/>
  <c r="B102" i="15" s="1"/>
  <c r="G101" i="15"/>
  <c r="G102" i="15" s="1"/>
  <c r="E101" i="15"/>
  <c r="E102" i="15" s="1"/>
  <c r="G95" i="15"/>
  <c r="G96" i="15" s="1"/>
  <c r="K94" i="7"/>
  <c r="D101" i="15"/>
  <c r="D102" i="15" s="1"/>
  <c r="B62" i="6"/>
  <c r="B63" i="6" s="1"/>
  <c r="E56" i="6"/>
  <c r="E57" i="6" s="1"/>
  <c r="F56" i="6"/>
  <c r="F57" i="6" s="1"/>
  <c r="F62" i="7"/>
  <c r="F63" i="7" s="1"/>
  <c r="F62" i="6"/>
  <c r="F63" i="6" s="1"/>
  <c r="C62" i="7"/>
  <c r="C63" i="7" s="1"/>
  <c r="E62" i="6"/>
  <c r="E63" i="6" s="1"/>
  <c r="J56" i="6"/>
  <c r="J57" i="6" s="1"/>
  <c r="I56" i="6"/>
  <c r="I57" i="6" s="1"/>
  <c r="K42" i="15"/>
  <c r="K61" i="6"/>
  <c r="D107" i="10"/>
  <c r="A108" i="10"/>
  <c r="A114" i="10"/>
  <c r="J107" i="10"/>
  <c r="I108" i="15"/>
  <c r="I109" i="15" s="1"/>
  <c r="B114" i="15"/>
  <c r="B115" i="15" s="1"/>
  <c r="I113" i="10"/>
  <c r="B107" i="10"/>
  <c r="D113" i="10"/>
  <c r="E113" i="10"/>
  <c r="B113" i="10"/>
  <c r="B108" i="15"/>
  <c r="B109" i="15" s="1"/>
  <c r="D107" i="9"/>
  <c r="K62" i="4"/>
  <c r="D63" i="4"/>
  <c r="K56" i="4"/>
  <c r="K55" i="7"/>
  <c r="H62" i="6"/>
  <c r="H63" i="6" s="1"/>
  <c r="I62" i="6"/>
  <c r="I63" i="6" s="1"/>
  <c r="G62" i="6"/>
  <c r="G63" i="6" s="1"/>
  <c r="G56" i="6"/>
  <c r="G57" i="6" s="1"/>
  <c r="A114" i="8"/>
  <c r="K94" i="15"/>
  <c r="G81" i="8"/>
  <c r="E87" i="10"/>
  <c r="J87" i="10"/>
  <c r="I87" i="8"/>
  <c r="A88" i="8"/>
  <c r="H87" i="8"/>
  <c r="J87" i="8"/>
  <c r="A82" i="10"/>
  <c r="J81" i="10"/>
  <c r="C81" i="8"/>
  <c r="H87" i="10"/>
  <c r="H81" i="8"/>
  <c r="J81" i="8"/>
  <c r="D81" i="10"/>
  <c r="C87" i="10"/>
  <c r="B81" i="8"/>
  <c r="H81" i="10"/>
  <c r="C108" i="15"/>
  <c r="C109" i="15" s="1"/>
  <c r="E101" i="7"/>
  <c r="E102" i="7" s="1"/>
  <c r="J101" i="7"/>
  <c r="J102" i="7" s="1"/>
  <c r="G101" i="7"/>
  <c r="G102" i="7" s="1"/>
  <c r="F114" i="15"/>
  <c r="F115" i="15" s="1"/>
  <c r="H108" i="15"/>
  <c r="H109" i="15" s="1"/>
  <c r="F108" i="15"/>
  <c r="F109" i="15" s="1"/>
  <c r="J114" i="15"/>
  <c r="J115" i="15" s="1"/>
  <c r="J95" i="7"/>
  <c r="J96" i="7" s="1"/>
  <c r="G87" i="21"/>
  <c r="I101" i="7"/>
  <c r="I102" i="7" s="1"/>
  <c r="D95" i="7"/>
  <c r="D96" i="7" s="1"/>
  <c r="I114" i="15"/>
  <c r="I115" i="15" s="1"/>
  <c r="E108" i="15"/>
  <c r="E109" i="15" s="1"/>
  <c r="D114" i="15"/>
  <c r="D115" i="15" s="1"/>
  <c r="H114" i="15"/>
  <c r="H115" i="15" s="1"/>
  <c r="E114" i="15"/>
  <c r="E115" i="15" s="1"/>
  <c r="I95" i="7"/>
  <c r="I96" i="7" s="1"/>
  <c r="B101" i="7"/>
  <c r="B102" i="7" s="1"/>
  <c r="D101" i="7"/>
  <c r="D102" i="7" s="1"/>
  <c r="C114" i="15"/>
  <c r="C115" i="15" s="1"/>
  <c r="D108" i="15"/>
  <c r="D109" i="15" s="1"/>
  <c r="G114" i="15"/>
  <c r="G115" i="15" s="1"/>
  <c r="G108" i="15"/>
  <c r="G109" i="15" s="1"/>
  <c r="K48" i="15"/>
  <c r="B110" i="4"/>
  <c r="C110" i="4" s="1"/>
  <c r="D110" i="4" s="1"/>
  <c r="E110" i="4" s="1"/>
  <c r="F110" i="4" s="1"/>
  <c r="G110" i="4" s="1"/>
  <c r="H110" i="4" s="1"/>
  <c r="I110" i="4" s="1"/>
  <c r="J110" i="4" s="1"/>
  <c r="C94" i="8"/>
  <c r="A88" i="21"/>
  <c r="A101" i="9"/>
  <c r="D55" i="9"/>
  <c r="D74" i="10"/>
  <c r="J107" i="8"/>
  <c r="K100" i="7"/>
  <c r="K61" i="15"/>
  <c r="K48" i="6"/>
  <c r="K68" i="6"/>
  <c r="K55" i="15"/>
  <c r="K100" i="15"/>
  <c r="K55" i="6"/>
  <c r="K113" i="15"/>
  <c r="E42" i="8"/>
  <c r="G74" i="10"/>
  <c r="A82" i="8"/>
  <c r="F68" i="10"/>
  <c r="I42" i="8"/>
  <c r="D68" i="8"/>
  <c r="I74" i="8"/>
  <c r="I68" i="8"/>
  <c r="F87" i="10"/>
  <c r="D81" i="8"/>
  <c r="A88" i="10"/>
  <c r="D87" i="10"/>
  <c r="B87" i="8"/>
  <c r="D87" i="8"/>
  <c r="D107" i="8"/>
  <c r="G81" i="10"/>
  <c r="G100" i="10"/>
  <c r="A101" i="10"/>
  <c r="D94" i="10"/>
  <c r="J101" i="15"/>
  <c r="J102" i="15" s="1"/>
  <c r="C101" i="15"/>
  <c r="C102" i="15" s="1"/>
  <c r="D95" i="15"/>
  <c r="D96" i="15" s="1"/>
  <c r="H95" i="15"/>
  <c r="H96" i="15" s="1"/>
  <c r="J108" i="7"/>
  <c r="J109" i="7" s="1"/>
  <c r="D114" i="7"/>
  <c r="D115" i="7" s="1"/>
  <c r="I108" i="7"/>
  <c r="I109" i="7" s="1"/>
  <c r="F42" i="8"/>
  <c r="E48" i="8"/>
  <c r="G48" i="8"/>
  <c r="E81" i="8"/>
  <c r="I48" i="8"/>
  <c r="J48" i="8"/>
  <c r="A108" i="8"/>
  <c r="D62" i="6"/>
  <c r="D63" i="6" s="1"/>
  <c r="H56" i="6"/>
  <c r="H57" i="6" s="1"/>
  <c r="H42" i="8"/>
  <c r="I81" i="8"/>
  <c r="C48" i="8"/>
  <c r="B116" i="4"/>
  <c r="C116" i="4" s="1"/>
  <c r="D116" i="4" s="1"/>
  <c r="E116" i="4" s="1"/>
  <c r="F116" i="4" s="1"/>
  <c r="G116" i="4" s="1"/>
  <c r="H116" i="4" s="1"/>
  <c r="I116" i="4" s="1"/>
  <c r="J116" i="4" s="1"/>
  <c r="E87" i="8"/>
  <c r="H48" i="8"/>
  <c r="B42" i="8"/>
  <c r="G68" i="8"/>
  <c r="F68" i="8"/>
  <c r="J74" i="8"/>
  <c r="H68" i="8"/>
  <c r="F81" i="10"/>
  <c r="B81" i="10"/>
  <c r="I87" i="10"/>
  <c r="G87" i="10"/>
  <c r="F81" i="8"/>
  <c r="E68" i="8"/>
  <c r="C81" i="10"/>
  <c r="E94" i="10"/>
  <c r="H100" i="10"/>
  <c r="I81" i="10"/>
  <c r="H101" i="15"/>
  <c r="H102" i="15" s="1"/>
  <c r="B95" i="15"/>
  <c r="B96" i="15" s="1"/>
  <c r="J95" i="15"/>
  <c r="J96" i="15" s="1"/>
  <c r="I95" i="15"/>
  <c r="I96" i="15" s="1"/>
  <c r="H108" i="7"/>
  <c r="H109" i="7" s="1"/>
  <c r="I114" i="7"/>
  <c r="I115" i="7" s="1"/>
  <c r="C108" i="7"/>
  <c r="C109" i="7" s="1"/>
  <c r="C107" i="8"/>
  <c r="D55" i="8"/>
  <c r="K107" i="7"/>
  <c r="K113" i="7"/>
  <c r="E87" i="21"/>
  <c r="F87" i="21"/>
  <c r="C81" i="21"/>
  <c r="F107" i="8"/>
  <c r="H74" i="10"/>
  <c r="J74" i="10"/>
  <c r="I68" i="10"/>
  <c r="B68" i="10"/>
  <c r="F61" i="9"/>
  <c r="J61" i="9"/>
  <c r="H61" i="9"/>
  <c r="E62" i="15"/>
  <c r="E63" i="15" s="1"/>
  <c r="D94" i="8"/>
  <c r="D100" i="9"/>
  <c r="D94" i="9"/>
  <c r="D68" i="10"/>
  <c r="F113" i="8"/>
  <c r="H113" i="8"/>
  <c r="C55" i="8"/>
  <c r="B61" i="8"/>
  <c r="F55" i="8"/>
  <c r="B94" i="8"/>
  <c r="H87" i="21"/>
  <c r="H81" i="21"/>
  <c r="E81" i="21"/>
  <c r="D81" i="21"/>
  <c r="C87" i="21"/>
  <c r="C113" i="8"/>
  <c r="E107" i="8"/>
  <c r="C74" i="10"/>
  <c r="I74" i="10"/>
  <c r="E68" i="10"/>
  <c r="D56" i="15"/>
  <c r="D57" i="15" s="1"/>
  <c r="C56" i="15"/>
  <c r="C57" i="15" s="1"/>
  <c r="D61" i="9"/>
  <c r="E55" i="9"/>
  <c r="I55" i="9"/>
  <c r="E61" i="9"/>
  <c r="E56" i="15"/>
  <c r="E57" i="15" s="1"/>
  <c r="C62" i="15"/>
  <c r="C63" i="15" s="1"/>
  <c r="B62" i="15"/>
  <c r="B63" i="15" s="1"/>
  <c r="D56" i="7"/>
  <c r="D57" i="7" s="1"/>
  <c r="G100" i="8"/>
  <c r="F94" i="9"/>
  <c r="G68" i="10"/>
  <c r="G94" i="8"/>
  <c r="D100" i="8"/>
  <c r="A101" i="8"/>
  <c r="B62" i="7"/>
  <c r="B63" i="7" s="1"/>
  <c r="I94" i="8"/>
  <c r="I100" i="9"/>
  <c r="B107" i="8"/>
  <c r="G107" i="8"/>
  <c r="A56" i="8"/>
  <c r="A62" i="8"/>
  <c r="E55" i="8"/>
  <c r="B55" i="8"/>
  <c r="H61" i="8"/>
  <c r="J113" i="8"/>
  <c r="K107" i="15"/>
  <c r="I81" i="21"/>
  <c r="F81" i="21"/>
  <c r="G113" i="8"/>
  <c r="H107" i="8"/>
  <c r="B55" i="9"/>
  <c r="C61" i="9"/>
  <c r="H62" i="15"/>
  <c r="H63" i="15" s="1"/>
  <c r="D62" i="15"/>
  <c r="D63" i="15" s="1"/>
  <c r="H56" i="15"/>
  <c r="H57" i="15" s="1"/>
  <c r="G81" i="21"/>
  <c r="A82" i="21"/>
  <c r="J87" i="21"/>
  <c r="B87" i="21"/>
  <c r="I107" i="8"/>
  <c r="B113" i="8"/>
  <c r="A75" i="10"/>
  <c r="B74" i="10"/>
  <c r="A69" i="10"/>
  <c r="C68" i="10"/>
  <c r="G61" i="9"/>
  <c r="I62" i="15"/>
  <c r="I63" i="15" s="1"/>
  <c r="J55" i="9"/>
  <c r="H55" i="9"/>
  <c r="A62" i="9"/>
  <c r="F56" i="15"/>
  <c r="F57" i="15" s="1"/>
  <c r="B56" i="15"/>
  <c r="B57" i="15" s="1"/>
  <c r="J100" i="8"/>
  <c r="E74" i="10"/>
  <c r="I100" i="8"/>
  <c r="F100" i="8"/>
  <c r="C100" i="8"/>
  <c r="F94" i="8"/>
  <c r="G100" i="9"/>
  <c r="A95" i="8"/>
  <c r="E94" i="9"/>
  <c r="D113" i="8"/>
  <c r="I113" i="8"/>
  <c r="G55" i="8"/>
  <c r="I61" i="8"/>
  <c r="I55" i="8"/>
  <c r="E61" i="8"/>
  <c r="H55" i="8"/>
  <c r="J55" i="8"/>
  <c r="K126" i="20"/>
  <c r="H95" i="7"/>
  <c r="H96" i="7" s="1"/>
  <c r="F95" i="7"/>
  <c r="F96" i="7" s="1"/>
  <c r="K48" i="3"/>
  <c r="C95" i="7"/>
  <c r="C96" i="7" s="1"/>
  <c r="F101" i="7"/>
  <c r="F102" i="7" s="1"/>
  <c r="B95" i="7"/>
  <c r="B96" i="7" s="1"/>
  <c r="K74" i="7"/>
  <c r="A113" i="20"/>
  <c r="A113" i="19"/>
  <c r="G107" i="19" s="1"/>
  <c r="A87" i="19"/>
  <c r="B87" i="19" s="1"/>
  <c r="A88" i="20"/>
  <c r="K61" i="7"/>
  <c r="A61" i="20"/>
  <c r="A48" i="21"/>
  <c r="A61" i="19"/>
  <c r="A55" i="21"/>
  <c r="F56" i="7"/>
  <c r="F57" i="7" s="1"/>
  <c r="G56" i="7"/>
  <c r="G57" i="7" s="1"/>
  <c r="J56" i="7"/>
  <c r="J57" i="7" s="1"/>
  <c r="B56" i="7"/>
  <c r="B57" i="7" s="1"/>
  <c r="A48" i="20"/>
  <c r="D62" i="7"/>
  <c r="D63" i="7" s="1"/>
  <c r="H56" i="7"/>
  <c r="H57" i="7" s="1"/>
  <c r="H62" i="7"/>
  <c r="H63" i="7" s="1"/>
  <c r="E56" i="7"/>
  <c r="E57" i="7" s="1"/>
  <c r="C56" i="7"/>
  <c r="C57" i="7" s="1"/>
  <c r="J62" i="7"/>
  <c r="J63" i="7" s="1"/>
  <c r="E62" i="7"/>
  <c r="E63" i="7" s="1"/>
  <c r="A55" i="19"/>
  <c r="I56" i="7"/>
  <c r="I57" i="7" s="1"/>
  <c r="I62" i="7"/>
  <c r="I63" i="7" s="1"/>
  <c r="A100" i="19"/>
  <c r="A114" i="21"/>
  <c r="K42" i="3"/>
  <c r="A48" i="19"/>
  <c r="A61" i="21"/>
  <c r="A55" i="20"/>
  <c r="K126" i="4"/>
  <c r="H127" i="3"/>
  <c r="H128" i="3" s="1"/>
  <c r="F127" i="3"/>
  <c r="F128" i="3" s="1"/>
  <c r="B127" i="3"/>
  <c r="B128" i="3" s="1"/>
  <c r="B121" i="3"/>
  <c r="C127" i="3"/>
  <c r="C128" i="3" s="1"/>
  <c r="G127" i="3"/>
  <c r="G128" i="3" s="1"/>
  <c r="J127" i="3"/>
  <c r="J128" i="3" s="1"/>
  <c r="D127" i="3"/>
  <c r="D128" i="3" s="1"/>
  <c r="J121" i="3"/>
  <c r="J122" i="3" s="1"/>
  <c r="G121" i="3"/>
  <c r="G122" i="3" s="1"/>
  <c r="H121" i="3"/>
  <c r="H122" i="3" s="1"/>
  <c r="E121" i="3"/>
  <c r="E122" i="3" s="1"/>
  <c r="E127" i="3"/>
  <c r="E128" i="3" s="1"/>
  <c r="I121" i="3"/>
  <c r="I122" i="3" s="1"/>
  <c r="D121" i="3"/>
  <c r="D122" i="3" s="1"/>
  <c r="C121" i="3"/>
  <c r="C122" i="3" s="1"/>
  <c r="F121" i="3"/>
  <c r="F122" i="3" s="1"/>
  <c r="I127" i="3"/>
  <c r="I128" i="3" s="1"/>
  <c r="A94" i="20"/>
  <c r="A101" i="20" s="1"/>
  <c r="K126" i="3"/>
  <c r="K126" i="14"/>
  <c r="A94" i="19"/>
  <c r="K120" i="4"/>
  <c r="K120" i="3"/>
  <c r="F121" i="14"/>
  <c r="F122" i="14" s="1"/>
  <c r="G121" i="14"/>
  <c r="G122" i="14" s="1"/>
  <c r="G127" i="14"/>
  <c r="G128" i="14" s="1"/>
  <c r="C127" i="14"/>
  <c r="C128" i="14" s="1"/>
  <c r="I127" i="14"/>
  <c r="I128" i="14" s="1"/>
  <c r="H127" i="14"/>
  <c r="H128" i="14" s="1"/>
  <c r="I121" i="14"/>
  <c r="I122" i="14" s="1"/>
  <c r="D121" i="14"/>
  <c r="D122" i="14" s="1"/>
  <c r="D127" i="14"/>
  <c r="D128" i="14" s="1"/>
  <c r="H121" i="14"/>
  <c r="H122" i="14" s="1"/>
  <c r="B121" i="14"/>
  <c r="B122" i="14" s="1"/>
  <c r="J121" i="14"/>
  <c r="J122" i="14" s="1"/>
  <c r="E127" i="14"/>
  <c r="E128" i="14" s="1"/>
  <c r="J127" i="14"/>
  <c r="J128" i="14" s="1"/>
  <c r="B127" i="14"/>
  <c r="B128" i="14" s="1"/>
  <c r="F127" i="14"/>
  <c r="F128" i="14" s="1"/>
  <c r="C121" i="14"/>
  <c r="C122" i="14" s="1"/>
  <c r="E121" i="14"/>
  <c r="E122" i="14" s="1"/>
  <c r="F121" i="4"/>
  <c r="F122" i="4" s="1"/>
  <c r="I121" i="4"/>
  <c r="I122" i="4" s="1"/>
  <c r="C127" i="4"/>
  <c r="C128" i="4" s="1"/>
  <c r="B127" i="4"/>
  <c r="J121" i="4"/>
  <c r="J122" i="4" s="1"/>
  <c r="F127" i="4"/>
  <c r="F128" i="4" s="1"/>
  <c r="I127" i="4"/>
  <c r="I128" i="4" s="1"/>
  <c r="B121" i="4"/>
  <c r="E121" i="4"/>
  <c r="E122" i="4" s="1"/>
  <c r="G121" i="4"/>
  <c r="G122" i="4" s="1"/>
  <c r="H121" i="4"/>
  <c r="H122" i="4" s="1"/>
  <c r="D121" i="4"/>
  <c r="D122" i="4" s="1"/>
  <c r="E127" i="4"/>
  <c r="E128" i="4" s="1"/>
  <c r="H127" i="4"/>
  <c r="H128" i="4" s="1"/>
  <c r="G127" i="4"/>
  <c r="G128" i="4" s="1"/>
  <c r="J127" i="4"/>
  <c r="J128" i="4" s="1"/>
  <c r="C121" i="4"/>
  <c r="C122" i="4" s="1"/>
  <c r="D127" i="4"/>
  <c r="D128" i="4" s="1"/>
  <c r="K120" i="14"/>
  <c r="A68" i="19"/>
  <c r="A69" i="19" s="1"/>
  <c r="K126" i="7"/>
  <c r="F121" i="15"/>
  <c r="F122" i="15" s="1"/>
  <c r="C121" i="15"/>
  <c r="C122" i="15" s="1"/>
  <c r="H127" i="15"/>
  <c r="H128" i="15" s="1"/>
  <c r="I121" i="15"/>
  <c r="I122" i="15" s="1"/>
  <c r="G127" i="15"/>
  <c r="G128" i="15" s="1"/>
  <c r="H121" i="15"/>
  <c r="H122" i="15" s="1"/>
  <c r="I127" i="15"/>
  <c r="I128" i="15" s="1"/>
  <c r="B121" i="15"/>
  <c r="J127" i="15"/>
  <c r="J128" i="15" s="1"/>
  <c r="B127" i="15"/>
  <c r="B128" i="15" s="1"/>
  <c r="D121" i="15"/>
  <c r="D122" i="15" s="1"/>
  <c r="G121" i="15"/>
  <c r="G122" i="15" s="1"/>
  <c r="E127" i="15"/>
  <c r="E128" i="15" s="1"/>
  <c r="F127" i="15"/>
  <c r="F128" i="15" s="1"/>
  <c r="C127" i="15"/>
  <c r="C128" i="15" s="1"/>
  <c r="E121" i="15"/>
  <c r="E122" i="15" s="1"/>
  <c r="J121" i="15"/>
  <c r="J122" i="15" s="1"/>
  <c r="D127" i="15"/>
  <c r="D128" i="15" s="1"/>
  <c r="K126" i="15"/>
  <c r="K120" i="6"/>
  <c r="A68" i="21"/>
  <c r="K126" i="6"/>
  <c r="C127" i="6"/>
  <c r="C128" i="6" s="1"/>
  <c r="B127" i="6"/>
  <c r="B128" i="6" s="1"/>
  <c r="I121" i="6"/>
  <c r="I122" i="6" s="1"/>
  <c r="E121" i="6"/>
  <c r="E122" i="6" s="1"/>
  <c r="E127" i="6"/>
  <c r="E128" i="6" s="1"/>
  <c r="G121" i="6"/>
  <c r="G122" i="6" s="1"/>
  <c r="H121" i="6"/>
  <c r="H122" i="6" s="1"/>
  <c r="F121" i="6"/>
  <c r="F122" i="6" s="1"/>
  <c r="B121" i="6"/>
  <c r="F127" i="6"/>
  <c r="F128" i="6" s="1"/>
  <c r="H127" i="6"/>
  <c r="H128" i="6" s="1"/>
  <c r="D121" i="6"/>
  <c r="D122" i="6" s="1"/>
  <c r="J127" i="6"/>
  <c r="J128" i="6" s="1"/>
  <c r="I127" i="6"/>
  <c r="I128" i="6" s="1"/>
  <c r="C121" i="6"/>
  <c r="C122" i="6" s="1"/>
  <c r="G127" i="6"/>
  <c r="G128" i="6" s="1"/>
  <c r="D127" i="6"/>
  <c r="D128" i="6" s="1"/>
  <c r="J121" i="6"/>
  <c r="J122" i="6" s="1"/>
  <c r="K120" i="7"/>
  <c r="D121" i="7"/>
  <c r="D122" i="7" s="1"/>
  <c r="C121" i="7"/>
  <c r="C122" i="7" s="1"/>
  <c r="H127" i="7"/>
  <c r="H128" i="7" s="1"/>
  <c r="F127" i="7"/>
  <c r="F128" i="7" s="1"/>
  <c r="G127" i="7"/>
  <c r="G128" i="7" s="1"/>
  <c r="I127" i="7"/>
  <c r="I128" i="7" s="1"/>
  <c r="D127" i="7"/>
  <c r="D128" i="7" s="1"/>
  <c r="F121" i="7"/>
  <c r="F122" i="7" s="1"/>
  <c r="J121" i="7"/>
  <c r="J122" i="7" s="1"/>
  <c r="J127" i="7"/>
  <c r="J128" i="7" s="1"/>
  <c r="G121" i="7"/>
  <c r="G122" i="7" s="1"/>
  <c r="H121" i="7"/>
  <c r="H122" i="7" s="1"/>
  <c r="C127" i="7"/>
  <c r="C128" i="7" s="1"/>
  <c r="E127" i="7"/>
  <c r="E128" i="7" s="1"/>
  <c r="B127" i="7"/>
  <c r="B121" i="7"/>
  <c r="E121" i="7"/>
  <c r="E122" i="7" s="1"/>
  <c r="I121" i="7"/>
  <c r="I122" i="7" s="1"/>
  <c r="A68" i="20"/>
  <c r="H74" i="20" s="1"/>
  <c r="K120" i="15"/>
  <c r="A42" i="19"/>
  <c r="A42" i="21"/>
  <c r="A42" i="20"/>
  <c r="K120" i="19"/>
  <c r="K48" i="14"/>
  <c r="G75" i="7"/>
  <c r="G76" i="7" s="1"/>
  <c r="J75" i="7"/>
  <c r="J76" i="7" s="1"/>
  <c r="I75" i="7"/>
  <c r="I76" i="7" s="1"/>
  <c r="C69" i="7"/>
  <c r="C70" i="7" s="1"/>
  <c r="D69" i="7"/>
  <c r="D70" i="7" s="1"/>
  <c r="I94" i="9"/>
  <c r="H100" i="9"/>
  <c r="A95" i="9"/>
  <c r="E100" i="9"/>
  <c r="H69" i="7"/>
  <c r="H70" i="7" s="1"/>
  <c r="H94" i="10"/>
  <c r="I100" i="10"/>
  <c r="A95" i="10"/>
  <c r="J94" i="10"/>
  <c r="F100" i="10"/>
  <c r="K126" i="19"/>
  <c r="E127" i="19"/>
  <c r="E128" i="19" s="1"/>
  <c r="I127" i="19"/>
  <c r="I128" i="19" s="1"/>
  <c r="B121" i="19"/>
  <c r="G127" i="19"/>
  <c r="G128" i="19" s="1"/>
  <c r="F121" i="19"/>
  <c r="F122" i="19" s="1"/>
  <c r="J121" i="19"/>
  <c r="J122" i="19" s="1"/>
  <c r="J127" i="19"/>
  <c r="J128" i="19" s="1"/>
  <c r="C121" i="19"/>
  <c r="C122" i="19" s="1"/>
  <c r="E121" i="19"/>
  <c r="E122" i="19" s="1"/>
  <c r="I121" i="19"/>
  <c r="I122" i="19" s="1"/>
  <c r="D127" i="19"/>
  <c r="D128" i="19" s="1"/>
  <c r="F127" i="19"/>
  <c r="F128" i="19" s="1"/>
  <c r="B127" i="19"/>
  <c r="C127" i="19"/>
  <c r="C128" i="19" s="1"/>
  <c r="H127" i="19"/>
  <c r="H128" i="19" s="1"/>
  <c r="G121" i="19"/>
  <c r="G122" i="19" s="1"/>
  <c r="D121" i="19"/>
  <c r="D122" i="19" s="1"/>
  <c r="H121" i="19"/>
  <c r="H122" i="19" s="1"/>
  <c r="D75" i="7"/>
  <c r="D76" i="7" s="1"/>
  <c r="F100" i="9"/>
  <c r="C100" i="9"/>
  <c r="B100" i="9"/>
  <c r="H94" i="9"/>
  <c r="G94" i="9"/>
  <c r="I94" i="10"/>
  <c r="C100" i="10"/>
  <c r="B100" i="10"/>
  <c r="F94" i="10"/>
  <c r="J100" i="10"/>
  <c r="K48" i="4"/>
  <c r="K120" i="20"/>
  <c r="K42" i="4"/>
  <c r="J49" i="4"/>
  <c r="J50" i="4" s="1"/>
  <c r="H49" i="4"/>
  <c r="H50" i="4" s="1"/>
  <c r="I43" i="4"/>
  <c r="I44" i="4" s="1"/>
  <c r="E49" i="4"/>
  <c r="E50" i="4" s="1"/>
  <c r="D43" i="4"/>
  <c r="D44" i="4" s="1"/>
  <c r="B43" i="4"/>
  <c r="F43" i="4"/>
  <c r="F44" i="4" s="1"/>
  <c r="H43" i="4"/>
  <c r="H44" i="4" s="1"/>
  <c r="I49" i="4"/>
  <c r="I50" i="4" s="1"/>
  <c r="C49" i="4"/>
  <c r="C50" i="4" s="1"/>
  <c r="J43" i="4"/>
  <c r="J44" i="4" s="1"/>
  <c r="E43" i="4"/>
  <c r="E44" i="4" s="1"/>
  <c r="B49" i="4"/>
  <c r="C43" i="4"/>
  <c r="C44" i="4" s="1"/>
  <c r="D49" i="4"/>
  <c r="D50" i="4" s="1"/>
  <c r="G43" i="4"/>
  <c r="G44" i="4" s="1"/>
  <c r="F49" i="4"/>
  <c r="F50" i="4" s="1"/>
  <c r="G49" i="4"/>
  <c r="G50" i="4" s="1"/>
  <c r="G49" i="3"/>
  <c r="G50" i="3" s="1"/>
  <c r="I43" i="3"/>
  <c r="I44" i="3" s="1"/>
  <c r="H43" i="3"/>
  <c r="H44" i="3" s="1"/>
  <c r="E43" i="3"/>
  <c r="E44" i="3" s="1"/>
  <c r="J43" i="3"/>
  <c r="J44" i="3" s="1"/>
  <c r="H49" i="3"/>
  <c r="H50" i="3" s="1"/>
  <c r="B49" i="3"/>
  <c r="I49" i="3"/>
  <c r="I50" i="3" s="1"/>
  <c r="C43" i="3"/>
  <c r="C44" i="3" s="1"/>
  <c r="D43" i="3"/>
  <c r="D44" i="3" s="1"/>
  <c r="B43" i="3"/>
  <c r="C49" i="3"/>
  <c r="C50" i="3" s="1"/>
  <c r="F49" i="3"/>
  <c r="F50" i="3" s="1"/>
  <c r="G43" i="3"/>
  <c r="G44" i="3" s="1"/>
  <c r="E49" i="3"/>
  <c r="E50" i="3" s="1"/>
  <c r="D49" i="3"/>
  <c r="D50" i="3" s="1"/>
  <c r="J49" i="3"/>
  <c r="J50" i="3" s="1"/>
  <c r="F43" i="3"/>
  <c r="F44" i="3" s="1"/>
  <c r="C43" i="14"/>
  <c r="C44" i="14" s="1"/>
  <c r="F43" i="14"/>
  <c r="F44" i="14" s="1"/>
  <c r="B49" i="14"/>
  <c r="E43" i="14"/>
  <c r="E44" i="14" s="1"/>
  <c r="E49" i="14"/>
  <c r="E50" i="14" s="1"/>
  <c r="H49" i="14"/>
  <c r="H50" i="14" s="1"/>
  <c r="C49" i="14"/>
  <c r="C50" i="14" s="1"/>
  <c r="I49" i="14"/>
  <c r="I50" i="14" s="1"/>
  <c r="G43" i="14"/>
  <c r="G44" i="14" s="1"/>
  <c r="G49" i="14"/>
  <c r="G50" i="14" s="1"/>
  <c r="H43" i="14"/>
  <c r="H44" i="14" s="1"/>
  <c r="F49" i="14"/>
  <c r="F50" i="14" s="1"/>
  <c r="I43" i="14"/>
  <c r="I44" i="14" s="1"/>
  <c r="D49" i="14"/>
  <c r="D50" i="14" s="1"/>
  <c r="B43" i="14"/>
  <c r="J43" i="14"/>
  <c r="J44" i="14" s="1"/>
  <c r="D43" i="14"/>
  <c r="D44" i="14" s="1"/>
  <c r="J49" i="14"/>
  <c r="J50" i="14" s="1"/>
  <c r="K42" i="14"/>
  <c r="H127" i="20"/>
  <c r="H128" i="20" s="1"/>
  <c r="I127" i="20"/>
  <c r="I128" i="20" s="1"/>
  <c r="G127" i="20"/>
  <c r="G128" i="20" s="1"/>
  <c r="C121" i="20"/>
  <c r="C122" i="20" s="1"/>
  <c r="F127" i="20"/>
  <c r="F128" i="20" s="1"/>
  <c r="H121" i="20"/>
  <c r="H122" i="20" s="1"/>
  <c r="D127" i="20"/>
  <c r="D128" i="20" s="1"/>
  <c r="C127" i="20"/>
  <c r="C128" i="20" s="1"/>
  <c r="B127" i="20"/>
  <c r="J121" i="20"/>
  <c r="J122" i="20" s="1"/>
  <c r="D121" i="20"/>
  <c r="D122" i="20" s="1"/>
  <c r="E121" i="20"/>
  <c r="E122" i="20" s="1"/>
  <c r="E127" i="20"/>
  <c r="E128" i="20" s="1"/>
  <c r="I121" i="20"/>
  <c r="I122" i="20" s="1"/>
  <c r="G121" i="20"/>
  <c r="G122" i="20" s="1"/>
  <c r="F121" i="20"/>
  <c r="F122" i="20" s="1"/>
  <c r="J127" i="20"/>
  <c r="J128" i="20" s="1"/>
  <c r="B121" i="20"/>
  <c r="AH8" i="13"/>
  <c r="AG8" i="13"/>
  <c r="AE8" i="13"/>
  <c r="AF8" i="13"/>
  <c r="AF10" i="13"/>
  <c r="AH10" i="13"/>
  <c r="AG10" i="13"/>
  <c r="AE10" i="13"/>
  <c r="AE4" i="13"/>
  <c r="AG4" i="13"/>
  <c r="AF4" i="13"/>
  <c r="AH4" i="13"/>
  <c r="AE6" i="13"/>
  <c r="AF6" i="13"/>
  <c r="AH6" i="13"/>
  <c r="AG6" i="13"/>
  <c r="AE24" i="13"/>
  <c r="AG2" i="13"/>
  <c r="AE2" i="13"/>
  <c r="AF2" i="13"/>
  <c r="AH2" i="13"/>
  <c r="AG20" i="13"/>
  <c r="AE20" i="13"/>
  <c r="AF20" i="13"/>
  <c r="AE16" i="13"/>
  <c r="AG16" i="13"/>
  <c r="AF16" i="13"/>
  <c r="AH16" i="13"/>
  <c r="AH12" i="13"/>
  <c r="AF12" i="13"/>
  <c r="AE12" i="13"/>
  <c r="AG12" i="13"/>
  <c r="AE18" i="13"/>
  <c r="AG18" i="13"/>
  <c r="AF18" i="13"/>
  <c r="AH18" i="13"/>
  <c r="AF22" i="13"/>
  <c r="AE22" i="13"/>
  <c r="AE14" i="13"/>
  <c r="AF14" i="13"/>
  <c r="AG14" i="13"/>
  <c r="AH14" i="13"/>
  <c r="K108" i="4"/>
  <c r="B97" i="4"/>
  <c r="C97" i="4" s="1"/>
  <c r="D97" i="4" s="1"/>
  <c r="E97" i="4" s="1"/>
  <c r="F97" i="4" s="1"/>
  <c r="G97" i="4" s="1"/>
  <c r="H97" i="4" s="1"/>
  <c r="I97" i="4" s="1"/>
  <c r="J97" i="4" s="1"/>
  <c r="K95" i="4"/>
  <c r="K114" i="4"/>
  <c r="K101" i="4"/>
  <c r="B103" i="4"/>
  <c r="C103" i="4" s="1"/>
  <c r="D103" i="4" s="1"/>
  <c r="E103" i="4" s="1"/>
  <c r="F103" i="4" s="1"/>
  <c r="G103" i="4" s="1"/>
  <c r="H103" i="4" s="1"/>
  <c r="I103" i="4" s="1"/>
  <c r="J103" i="4" s="1"/>
  <c r="AK50" i="13" l="1"/>
  <c r="AM47" i="13"/>
  <c r="AM50" i="13"/>
  <c r="AN47" i="13"/>
  <c r="E88" i="7"/>
  <c r="E89" i="7" s="1"/>
  <c r="AN50" i="13"/>
  <c r="H82" i="7"/>
  <c r="H83" i="7" s="1"/>
  <c r="F88" i="7"/>
  <c r="F89" i="7" s="1"/>
  <c r="B88" i="7"/>
  <c r="B89" i="7" s="1"/>
  <c r="G88" i="7"/>
  <c r="G89" i="7" s="1"/>
  <c r="I88" i="7"/>
  <c r="I89" i="7" s="1"/>
  <c r="F82" i="7"/>
  <c r="F83" i="7" s="1"/>
  <c r="J82" i="7"/>
  <c r="J83" i="7" s="1"/>
  <c r="H88" i="7"/>
  <c r="H89" i="7" s="1"/>
  <c r="B82" i="7"/>
  <c r="B83" i="7" s="1"/>
  <c r="I82" i="7"/>
  <c r="I83" i="7" s="1"/>
  <c r="D82" i="7"/>
  <c r="D83" i="7" s="1"/>
  <c r="G82" i="7"/>
  <c r="G83" i="7" s="1"/>
  <c r="D88" i="7"/>
  <c r="D89" i="7" s="1"/>
  <c r="C82" i="7"/>
  <c r="C83" i="7" s="1"/>
  <c r="C88" i="7"/>
  <c r="C89" i="7" s="1"/>
  <c r="E82" i="7"/>
  <c r="E83" i="7" s="1"/>
  <c r="J88" i="7"/>
  <c r="J89" i="7" s="1"/>
  <c r="K136" i="20"/>
  <c r="K135" i="20" s="1"/>
  <c r="O8" i="20" s="1"/>
  <c r="K87" i="7"/>
  <c r="B136" i="21"/>
  <c r="C136" i="21" s="1"/>
  <c r="D136" i="21" s="1"/>
  <c r="E136" i="21" s="1"/>
  <c r="F136" i="21" s="1"/>
  <c r="G136" i="21" s="1"/>
  <c r="H136" i="21" s="1"/>
  <c r="I136" i="21" s="1"/>
  <c r="J136" i="21" s="1"/>
  <c r="K81" i="7"/>
  <c r="AN49" i="13"/>
  <c r="AN53" i="13"/>
  <c r="AN45" i="13"/>
  <c r="B142" i="21"/>
  <c r="C142" i="21" s="1"/>
  <c r="D142" i="21" s="1"/>
  <c r="E142" i="21" s="1"/>
  <c r="F142" i="21" s="1"/>
  <c r="G142" i="21" s="1"/>
  <c r="H142" i="21" s="1"/>
  <c r="I142" i="21" s="1"/>
  <c r="J142" i="21" s="1"/>
  <c r="K140" i="21"/>
  <c r="K140" i="15"/>
  <c r="K134" i="15"/>
  <c r="B136" i="15"/>
  <c r="C136" i="15" s="1"/>
  <c r="D136" i="15" s="1"/>
  <c r="E136" i="15" s="1"/>
  <c r="F136" i="15" s="1"/>
  <c r="G136" i="15" s="1"/>
  <c r="H136" i="15" s="1"/>
  <c r="I136" i="15" s="1"/>
  <c r="J136" i="15" s="1"/>
  <c r="B142" i="15"/>
  <c r="C142" i="15" s="1"/>
  <c r="D142" i="15" s="1"/>
  <c r="E142" i="15" s="1"/>
  <c r="F142" i="15" s="1"/>
  <c r="G142" i="15" s="1"/>
  <c r="H142" i="15" s="1"/>
  <c r="I142" i="15" s="1"/>
  <c r="J142" i="15" s="1"/>
  <c r="AM53" i="13"/>
  <c r="AL49" i="13"/>
  <c r="K134" i="21"/>
  <c r="K127" i="10"/>
  <c r="AL53" i="13"/>
  <c r="J128" i="10"/>
  <c r="B129" i="10"/>
  <c r="C129" i="10" s="1"/>
  <c r="D129" i="10" s="1"/>
  <c r="E129" i="10" s="1"/>
  <c r="F129" i="10" s="1"/>
  <c r="G129" i="10" s="1"/>
  <c r="H129" i="10" s="1"/>
  <c r="I129" i="10" s="1"/>
  <c r="AN51" i="13"/>
  <c r="AN40" i="13"/>
  <c r="AN46" i="13"/>
  <c r="AN39" i="13"/>
  <c r="AN41" i="13"/>
  <c r="AN52" i="13"/>
  <c r="AN42" i="13"/>
  <c r="AN44" i="13"/>
  <c r="AN43" i="13"/>
  <c r="AM51" i="13"/>
  <c r="K134" i="7"/>
  <c r="AM46" i="13"/>
  <c r="AM41" i="13"/>
  <c r="AM45" i="13"/>
  <c r="AM52" i="13"/>
  <c r="AM44" i="13"/>
  <c r="AM39" i="13"/>
  <c r="AM48" i="13"/>
  <c r="AM40" i="13"/>
  <c r="AM42" i="13"/>
  <c r="AM43" i="13"/>
  <c r="AL51" i="13"/>
  <c r="AK53" i="13"/>
  <c r="AJ53" i="13"/>
  <c r="AL42" i="13"/>
  <c r="AL46" i="13"/>
  <c r="AL43" i="13"/>
  <c r="AL40" i="13"/>
  <c r="AL44" i="13"/>
  <c r="AL41" i="13"/>
  <c r="AL39" i="13"/>
  <c r="AL52" i="13"/>
  <c r="AL48" i="13"/>
  <c r="AL47" i="13"/>
  <c r="AL45" i="13"/>
  <c r="AK48" i="13"/>
  <c r="AK42" i="13"/>
  <c r="AK46" i="13"/>
  <c r="AK47" i="13"/>
  <c r="AK49" i="13"/>
  <c r="AK43" i="13"/>
  <c r="AK52" i="13"/>
  <c r="AK41" i="13"/>
  <c r="AK44" i="13"/>
  <c r="AK40" i="13"/>
  <c r="AK45" i="13"/>
  <c r="AK39" i="13"/>
  <c r="AJ51" i="13"/>
  <c r="K140" i="7"/>
  <c r="B135" i="7"/>
  <c r="B136" i="7" s="1"/>
  <c r="C136" i="7" s="1"/>
  <c r="D136" i="7" s="1"/>
  <c r="E136" i="7" s="1"/>
  <c r="F136" i="7" s="1"/>
  <c r="G136" i="7" s="1"/>
  <c r="H136" i="7" s="1"/>
  <c r="I136" i="7" s="1"/>
  <c r="J136" i="7" s="1"/>
  <c r="AJ40" i="13"/>
  <c r="AJ42" i="13"/>
  <c r="AJ43" i="13"/>
  <c r="AJ50" i="13"/>
  <c r="AJ39" i="13"/>
  <c r="AJ45" i="13"/>
  <c r="AJ47" i="13"/>
  <c r="AJ44" i="13"/>
  <c r="AJ48" i="13"/>
  <c r="AJ46" i="13"/>
  <c r="AJ49" i="13"/>
  <c r="AJ41" i="13"/>
  <c r="B142" i="14"/>
  <c r="C142" i="14" s="1"/>
  <c r="D142" i="14" s="1"/>
  <c r="E142" i="14" s="1"/>
  <c r="F142" i="14" s="1"/>
  <c r="G142" i="14" s="1"/>
  <c r="H142" i="14" s="1"/>
  <c r="I142" i="14" s="1"/>
  <c r="J142" i="14" s="1"/>
  <c r="K142" i="14" s="1"/>
  <c r="K141" i="14" s="1"/>
  <c r="O34" i="14" s="1"/>
  <c r="H30" i="13" s="1"/>
  <c r="AI51" i="13"/>
  <c r="AI47" i="13"/>
  <c r="AI52" i="13"/>
  <c r="AI41" i="13"/>
  <c r="AI43" i="13"/>
  <c r="AI50" i="13"/>
  <c r="AI40" i="13"/>
  <c r="AI46" i="13"/>
  <c r="AI39" i="13"/>
  <c r="AI49" i="13"/>
  <c r="AI42" i="13"/>
  <c r="AI45" i="13"/>
  <c r="AI44" i="13"/>
  <c r="AI48" i="13"/>
  <c r="AH50" i="13"/>
  <c r="AH47" i="13"/>
  <c r="AH44" i="13"/>
  <c r="AH39" i="13"/>
  <c r="AH49" i="13"/>
  <c r="AH53" i="13"/>
  <c r="AH51" i="13"/>
  <c r="AH46" i="13"/>
  <c r="AH42" i="13"/>
  <c r="AH52" i="13"/>
  <c r="AH45" i="13"/>
  <c r="AH48" i="13"/>
  <c r="AH40" i="13"/>
  <c r="AH43" i="13"/>
  <c r="AH41" i="13"/>
  <c r="AG52" i="13"/>
  <c r="AG41" i="13"/>
  <c r="AG45" i="13"/>
  <c r="AG46" i="13"/>
  <c r="AG47" i="13"/>
  <c r="AG50" i="13"/>
  <c r="AG51" i="13"/>
  <c r="AG49" i="13"/>
  <c r="AG48" i="13"/>
  <c r="AG43" i="13"/>
  <c r="AG44" i="13"/>
  <c r="AG42" i="13"/>
  <c r="AG53" i="13"/>
  <c r="AG40" i="13"/>
  <c r="AG39" i="13"/>
  <c r="AF48" i="13"/>
  <c r="AF45" i="13"/>
  <c r="AF46" i="13"/>
  <c r="AF44" i="13"/>
  <c r="AF43" i="13"/>
  <c r="AF53" i="13"/>
  <c r="AF40" i="13"/>
  <c r="AF42" i="13"/>
  <c r="AF47" i="13"/>
  <c r="AF50" i="13"/>
  <c r="AF51" i="13"/>
  <c r="AF41" i="13"/>
  <c r="AF52" i="13"/>
  <c r="AF49" i="13"/>
  <c r="AF39" i="13"/>
  <c r="K121" i="10"/>
  <c r="AE49" i="13"/>
  <c r="AE48" i="13"/>
  <c r="AE50" i="13"/>
  <c r="AE51" i="13"/>
  <c r="AE38" i="13"/>
  <c r="AE43" i="13"/>
  <c r="AE52" i="13"/>
  <c r="AE45" i="13"/>
  <c r="AE47" i="13"/>
  <c r="AE46" i="13"/>
  <c r="AE40" i="13"/>
  <c r="AE42" i="13"/>
  <c r="AE39" i="13"/>
  <c r="AE41" i="13"/>
  <c r="AE53" i="13"/>
  <c r="AE44" i="13"/>
  <c r="K134" i="8"/>
  <c r="K140" i="8"/>
  <c r="AM49" i="13"/>
  <c r="AL50" i="13"/>
  <c r="AI53" i="13"/>
  <c r="AK51" i="13"/>
  <c r="AJ52" i="13"/>
  <c r="AN48" i="13"/>
  <c r="B141" i="8"/>
  <c r="K134" i="19"/>
  <c r="K140" i="19"/>
  <c r="B135" i="8"/>
  <c r="K134" i="6"/>
  <c r="B141" i="6"/>
  <c r="K140" i="6"/>
  <c r="B141" i="19"/>
  <c r="B142" i="19" s="1"/>
  <c r="C142" i="19" s="1"/>
  <c r="D142" i="19" s="1"/>
  <c r="E142" i="19" s="1"/>
  <c r="F142" i="19" s="1"/>
  <c r="G142" i="19" s="1"/>
  <c r="H142" i="19" s="1"/>
  <c r="I142" i="19" s="1"/>
  <c r="J142" i="19" s="1"/>
  <c r="B135" i="6"/>
  <c r="K140" i="9"/>
  <c r="B136" i="4"/>
  <c r="C136" i="4" s="1"/>
  <c r="D136" i="4" s="1"/>
  <c r="E136" i="4" s="1"/>
  <c r="F136" i="4" s="1"/>
  <c r="G136" i="4" s="1"/>
  <c r="H136" i="4" s="1"/>
  <c r="I136" i="4" s="1"/>
  <c r="J136" i="4" s="1"/>
  <c r="B142" i="4"/>
  <c r="C142" i="4" s="1"/>
  <c r="D142" i="4" s="1"/>
  <c r="E142" i="4" s="1"/>
  <c r="F142" i="4" s="1"/>
  <c r="G142" i="4" s="1"/>
  <c r="H142" i="4" s="1"/>
  <c r="I142" i="4" s="1"/>
  <c r="J142" i="4" s="1"/>
  <c r="K142" i="20"/>
  <c r="K141" i="20" s="1"/>
  <c r="B135" i="9"/>
  <c r="B136" i="9" s="1"/>
  <c r="C136" i="9" s="1"/>
  <c r="D136" i="9" s="1"/>
  <c r="E136" i="9" s="1"/>
  <c r="F136" i="9" s="1"/>
  <c r="G136" i="9" s="1"/>
  <c r="H136" i="9" s="1"/>
  <c r="I136" i="9" s="1"/>
  <c r="J136" i="9" s="1"/>
  <c r="K134" i="9"/>
  <c r="B142" i="10"/>
  <c r="C142" i="10" s="1"/>
  <c r="D142" i="10" s="1"/>
  <c r="E142" i="10" s="1"/>
  <c r="F142" i="10" s="1"/>
  <c r="G142" i="10" s="1"/>
  <c r="H142" i="10" s="1"/>
  <c r="I142" i="10" s="1"/>
  <c r="J142" i="10" s="1"/>
  <c r="B136" i="10"/>
  <c r="C136" i="10" s="1"/>
  <c r="D136" i="10" s="1"/>
  <c r="E136" i="10" s="1"/>
  <c r="F136" i="10" s="1"/>
  <c r="G136" i="10" s="1"/>
  <c r="H136" i="10" s="1"/>
  <c r="I136" i="10" s="1"/>
  <c r="J136" i="10" s="1"/>
  <c r="K140" i="10"/>
  <c r="K134" i="10"/>
  <c r="B90" i="4"/>
  <c r="C90" i="4" s="1"/>
  <c r="D90" i="4" s="1"/>
  <c r="E90" i="4" s="1"/>
  <c r="F90" i="4" s="1"/>
  <c r="G90" i="4" s="1"/>
  <c r="H90" i="4" s="1"/>
  <c r="I90" i="4" s="1"/>
  <c r="J90" i="4" s="1"/>
  <c r="K82" i="4"/>
  <c r="K88" i="4"/>
  <c r="B84" i="4"/>
  <c r="C84" i="4" s="1"/>
  <c r="D84" i="4" s="1"/>
  <c r="E84" i="4" s="1"/>
  <c r="F84" i="4" s="1"/>
  <c r="G84" i="4" s="1"/>
  <c r="H84" i="4" s="1"/>
  <c r="I84" i="4" s="1"/>
  <c r="J84" i="4" s="1"/>
  <c r="K82" i="3"/>
  <c r="K88" i="3"/>
  <c r="B84" i="3"/>
  <c r="C84" i="3" s="1"/>
  <c r="D84" i="3" s="1"/>
  <c r="E84" i="3" s="1"/>
  <c r="F84" i="3" s="1"/>
  <c r="G84" i="3" s="1"/>
  <c r="H84" i="3" s="1"/>
  <c r="I84" i="3" s="1"/>
  <c r="J84" i="3" s="1"/>
  <c r="B90" i="3"/>
  <c r="C90" i="3" s="1"/>
  <c r="D90" i="3" s="1"/>
  <c r="E90" i="3" s="1"/>
  <c r="F90" i="3" s="1"/>
  <c r="G90" i="3" s="1"/>
  <c r="H90" i="3" s="1"/>
  <c r="I90" i="3" s="1"/>
  <c r="J90" i="3" s="1"/>
  <c r="B116" i="3"/>
  <c r="C116" i="3" s="1"/>
  <c r="D116" i="3" s="1"/>
  <c r="E116" i="3" s="1"/>
  <c r="F116" i="3" s="1"/>
  <c r="G116" i="3" s="1"/>
  <c r="H116" i="3" s="1"/>
  <c r="I116" i="3" s="1"/>
  <c r="J116" i="3" s="1"/>
  <c r="B110" i="3"/>
  <c r="C110" i="3" s="1"/>
  <c r="D110" i="3" s="1"/>
  <c r="E110" i="3" s="1"/>
  <c r="F110" i="3" s="1"/>
  <c r="G110" i="3" s="1"/>
  <c r="H110" i="3" s="1"/>
  <c r="I110" i="3" s="1"/>
  <c r="J110" i="3" s="1"/>
  <c r="J43" i="7"/>
  <c r="J44" i="7" s="1"/>
  <c r="H49" i="7"/>
  <c r="H50" i="7" s="1"/>
  <c r="K108" i="3"/>
  <c r="K114" i="3"/>
  <c r="K42" i="7"/>
  <c r="K48" i="7"/>
  <c r="B71" i="4"/>
  <c r="C71" i="4" s="1"/>
  <c r="D71" i="4" s="1"/>
  <c r="E71" i="4" s="1"/>
  <c r="F71" i="4" s="1"/>
  <c r="G71" i="4" s="1"/>
  <c r="H71" i="4" s="1"/>
  <c r="I71" i="4" s="1"/>
  <c r="J71" i="4" s="1"/>
  <c r="K75" i="14"/>
  <c r="G49" i="7"/>
  <c r="G50" i="7" s="1"/>
  <c r="D43" i="7"/>
  <c r="D44" i="7" s="1"/>
  <c r="B49" i="7"/>
  <c r="B50" i="7" s="1"/>
  <c r="G76" i="14"/>
  <c r="J49" i="7"/>
  <c r="J50" i="7" s="1"/>
  <c r="E43" i="7"/>
  <c r="E44" i="7" s="1"/>
  <c r="G43" i="7"/>
  <c r="G44" i="7" s="1"/>
  <c r="D49" i="7"/>
  <c r="D50" i="7" s="1"/>
  <c r="I43" i="7"/>
  <c r="I44" i="7" s="1"/>
  <c r="E49" i="7"/>
  <c r="E50" i="7" s="1"/>
  <c r="H43" i="7"/>
  <c r="H44" i="7" s="1"/>
  <c r="B43" i="7"/>
  <c r="B44" i="7" s="1"/>
  <c r="C49" i="7"/>
  <c r="C50" i="7" s="1"/>
  <c r="F43" i="7"/>
  <c r="F44" i="7" s="1"/>
  <c r="F49" i="7"/>
  <c r="F50" i="7" s="1"/>
  <c r="I49" i="7"/>
  <c r="I50" i="7" s="1"/>
  <c r="C43" i="7"/>
  <c r="C44" i="7" s="1"/>
  <c r="B71" i="14"/>
  <c r="C71" i="14" s="1"/>
  <c r="D71" i="14" s="1"/>
  <c r="E71" i="14" s="1"/>
  <c r="F71" i="14" s="1"/>
  <c r="K69" i="14"/>
  <c r="I127" i="21"/>
  <c r="I128" i="21" s="1"/>
  <c r="B77" i="14"/>
  <c r="C77" i="14" s="1"/>
  <c r="D77" i="14" s="1"/>
  <c r="E77" i="14" s="1"/>
  <c r="F77" i="14" s="1"/>
  <c r="C127" i="21"/>
  <c r="C128" i="21" s="1"/>
  <c r="E121" i="21"/>
  <c r="E122" i="21" s="1"/>
  <c r="H121" i="21"/>
  <c r="H122" i="21" s="1"/>
  <c r="D127" i="21"/>
  <c r="D128" i="21" s="1"/>
  <c r="J127" i="21"/>
  <c r="J128" i="21" s="1"/>
  <c r="B127" i="21"/>
  <c r="B128" i="21" s="1"/>
  <c r="C121" i="21"/>
  <c r="C122" i="21" s="1"/>
  <c r="G127" i="21"/>
  <c r="G128" i="21" s="1"/>
  <c r="F121" i="21"/>
  <c r="F122" i="21" s="1"/>
  <c r="F127" i="21"/>
  <c r="F128" i="21" s="1"/>
  <c r="E127" i="21"/>
  <c r="E128" i="21" s="1"/>
  <c r="B121" i="21"/>
  <c r="B122" i="21" s="1"/>
  <c r="H127" i="21"/>
  <c r="H128" i="21" s="1"/>
  <c r="K69" i="4"/>
  <c r="B77" i="4"/>
  <c r="C77" i="4" s="1"/>
  <c r="D77" i="4" s="1"/>
  <c r="E77" i="4" s="1"/>
  <c r="F77" i="4" s="1"/>
  <c r="G77" i="4" s="1"/>
  <c r="H77" i="4" s="1"/>
  <c r="I77" i="4" s="1"/>
  <c r="J77" i="4" s="1"/>
  <c r="J121" i="21"/>
  <c r="J122" i="21" s="1"/>
  <c r="D121" i="21"/>
  <c r="D122" i="21" s="1"/>
  <c r="I121" i="21"/>
  <c r="I122" i="21" s="1"/>
  <c r="G121" i="21"/>
  <c r="G122" i="21" s="1"/>
  <c r="K75" i="4"/>
  <c r="K120" i="21"/>
  <c r="K126" i="21"/>
  <c r="K114" i="14"/>
  <c r="B116" i="14"/>
  <c r="C116" i="14" s="1"/>
  <c r="D116" i="14" s="1"/>
  <c r="E116" i="14" s="1"/>
  <c r="F116" i="14" s="1"/>
  <c r="G116" i="14" s="1"/>
  <c r="H116" i="14" s="1"/>
  <c r="I116" i="14" s="1"/>
  <c r="J116" i="14" s="1"/>
  <c r="B110" i="14"/>
  <c r="C110" i="14" s="1"/>
  <c r="D110" i="14" s="1"/>
  <c r="E110" i="14" s="1"/>
  <c r="F110" i="14" s="1"/>
  <c r="G110" i="14" s="1"/>
  <c r="H110" i="14" s="1"/>
  <c r="I110" i="14" s="1"/>
  <c r="J110" i="14" s="1"/>
  <c r="K108" i="14"/>
  <c r="K75" i="3"/>
  <c r="K69" i="3"/>
  <c r="B77" i="3"/>
  <c r="C77" i="3" s="1"/>
  <c r="D77" i="3" s="1"/>
  <c r="E77" i="3" s="1"/>
  <c r="F77" i="3" s="1"/>
  <c r="G77" i="3" s="1"/>
  <c r="H77" i="3" s="1"/>
  <c r="I77" i="3" s="1"/>
  <c r="J77" i="3" s="1"/>
  <c r="B71" i="3"/>
  <c r="C71" i="3" s="1"/>
  <c r="D71" i="3" s="1"/>
  <c r="E71" i="3" s="1"/>
  <c r="F71" i="3" s="1"/>
  <c r="G71" i="3" s="1"/>
  <c r="H71" i="3" s="1"/>
  <c r="I71" i="3" s="1"/>
  <c r="J71" i="3" s="1"/>
  <c r="E107" i="19"/>
  <c r="A108" i="19"/>
  <c r="B90" i="14"/>
  <c r="C90" i="14" s="1"/>
  <c r="D90" i="14" s="1"/>
  <c r="E90" i="14" s="1"/>
  <c r="F90" i="14" s="1"/>
  <c r="G90" i="14" s="1"/>
  <c r="H90" i="14" s="1"/>
  <c r="I90" i="14" s="1"/>
  <c r="J90" i="14" s="1"/>
  <c r="B84" i="14"/>
  <c r="C84" i="14" s="1"/>
  <c r="D84" i="14" s="1"/>
  <c r="E84" i="14" s="1"/>
  <c r="F84" i="14" s="1"/>
  <c r="G84" i="14" s="1"/>
  <c r="H84" i="14" s="1"/>
  <c r="I84" i="14" s="1"/>
  <c r="J84" i="14" s="1"/>
  <c r="K88" i="14"/>
  <c r="K82" i="14"/>
  <c r="B56" i="9"/>
  <c r="B57" i="9" s="1"/>
  <c r="E74" i="19"/>
  <c r="D68" i="19"/>
  <c r="B97" i="14"/>
  <c r="C97" i="14" s="1"/>
  <c r="D97" i="14" s="1"/>
  <c r="E97" i="14" s="1"/>
  <c r="F97" i="14" s="1"/>
  <c r="G97" i="14" s="1"/>
  <c r="H97" i="14" s="1"/>
  <c r="I97" i="14" s="1"/>
  <c r="J97" i="14" s="1"/>
  <c r="F68" i="19"/>
  <c r="F100" i="20"/>
  <c r="C68" i="19"/>
  <c r="H94" i="20"/>
  <c r="H68" i="19"/>
  <c r="C113" i="19"/>
  <c r="B74" i="19"/>
  <c r="B55" i="19"/>
  <c r="C74" i="19"/>
  <c r="B107" i="19"/>
  <c r="I74" i="19"/>
  <c r="G94" i="20"/>
  <c r="F107" i="19"/>
  <c r="B68" i="19"/>
  <c r="D62" i="9"/>
  <c r="D63" i="9" s="1"/>
  <c r="B103" i="14"/>
  <c r="C103" i="14" s="1"/>
  <c r="D103" i="14" s="1"/>
  <c r="E103" i="14" s="1"/>
  <c r="F103" i="14" s="1"/>
  <c r="G103" i="14" s="1"/>
  <c r="H103" i="14" s="1"/>
  <c r="I103" i="14" s="1"/>
  <c r="J103" i="14" s="1"/>
  <c r="K95" i="14"/>
  <c r="B75" i="9"/>
  <c r="B76" i="9" s="1"/>
  <c r="F43" i="10"/>
  <c r="F44" i="10" s="1"/>
  <c r="I94" i="20"/>
  <c r="H88" i="8"/>
  <c r="H89" i="8" s="1"/>
  <c r="J43" i="8"/>
  <c r="J44" i="8" s="1"/>
  <c r="B55" i="20"/>
  <c r="K101" i="14"/>
  <c r="F82" i="9"/>
  <c r="F83" i="9" s="1"/>
  <c r="K56" i="3"/>
  <c r="B116" i="7"/>
  <c r="C116" i="7" s="1"/>
  <c r="D116" i="7" s="1"/>
  <c r="E116" i="7" s="1"/>
  <c r="F116" i="7" s="1"/>
  <c r="G116" i="7" s="1"/>
  <c r="H116" i="7" s="1"/>
  <c r="I116" i="7" s="1"/>
  <c r="J116" i="7" s="1"/>
  <c r="F49" i="10"/>
  <c r="F50" i="10" s="1"/>
  <c r="E48" i="21"/>
  <c r="A101" i="21"/>
  <c r="I95" i="9"/>
  <c r="I96" i="9" s="1"/>
  <c r="B71" i="15"/>
  <c r="C71" i="15" s="1"/>
  <c r="D71" i="15" s="1"/>
  <c r="E71" i="15" s="1"/>
  <c r="F71" i="15" s="1"/>
  <c r="G71" i="15" s="1"/>
  <c r="H71" i="15" s="1"/>
  <c r="I71" i="15" s="1"/>
  <c r="J71" i="15" s="1"/>
  <c r="J94" i="20"/>
  <c r="E100" i="20"/>
  <c r="G100" i="20"/>
  <c r="E94" i="20"/>
  <c r="I100" i="20"/>
  <c r="B100" i="20"/>
  <c r="A95" i="20"/>
  <c r="I95" i="20" s="1"/>
  <c r="H100" i="20"/>
  <c r="F94" i="20"/>
  <c r="B94" i="20"/>
  <c r="J100" i="20"/>
  <c r="C94" i="20"/>
  <c r="D94" i="20"/>
  <c r="D100" i="20"/>
  <c r="D75" i="9"/>
  <c r="D76" i="9" s="1"/>
  <c r="B75" i="8"/>
  <c r="B76" i="8" s="1"/>
  <c r="F69" i="9"/>
  <c r="F70" i="9" s="1"/>
  <c r="D69" i="9"/>
  <c r="D70" i="9" s="1"/>
  <c r="G69" i="9"/>
  <c r="G70" i="9" s="1"/>
  <c r="J75" i="9"/>
  <c r="J76" i="9" s="1"/>
  <c r="D100" i="21"/>
  <c r="B64" i="3"/>
  <c r="C64" i="3" s="1"/>
  <c r="D64" i="3" s="1"/>
  <c r="E64" i="3" s="1"/>
  <c r="F64" i="3" s="1"/>
  <c r="G64" i="3" s="1"/>
  <c r="H64" i="3" s="1"/>
  <c r="I64" i="3" s="1"/>
  <c r="J64" i="3" s="1"/>
  <c r="B58" i="3"/>
  <c r="C58" i="3" s="1"/>
  <c r="D58" i="3" s="1"/>
  <c r="E58" i="3" s="1"/>
  <c r="F58" i="3" s="1"/>
  <c r="G58" i="3" s="1"/>
  <c r="H58" i="3" s="1"/>
  <c r="I58" i="3" s="1"/>
  <c r="J58" i="3" s="1"/>
  <c r="K62" i="3"/>
  <c r="B103" i="6"/>
  <c r="C103" i="6" s="1"/>
  <c r="D103" i="6" s="1"/>
  <c r="B110" i="6"/>
  <c r="C110" i="6" s="1"/>
  <c r="D110" i="6" s="1"/>
  <c r="E110" i="6" s="1"/>
  <c r="F110" i="6" s="1"/>
  <c r="G110" i="6" s="1"/>
  <c r="H110" i="6" s="1"/>
  <c r="I110" i="6" s="1"/>
  <c r="J110" i="6" s="1"/>
  <c r="F55" i="20"/>
  <c r="D55" i="20"/>
  <c r="F100" i="21"/>
  <c r="A69" i="20"/>
  <c r="H81" i="20"/>
  <c r="B100" i="21"/>
  <c r="I42" i="19"/>
  <c r="F75" i="10"/>
  <c r="F76" i="10" s="1"/>
  <c r="C100" i="19"/>
  <c r="E48" i="19"/>
  <c r="F48" i="19"/>
  <c r="H42" i="19"/>
  <c r="E108" i="10"/>
  <c r="E109" i="10" s="1"/>
  <c r="I48" i="19"/>
  <c r="E42" i="19"/>
  <c r="A43" i="19"/>
  <c r="C48" i="19"/>
  <c r="K101" i="6"/>
  <c r="B77" i="15"/>
  <c r="C77" i="15" s="1"/>
  <c r="D77" i="15" s="1"/>
  <c r="E77" i="15" s="1"/>
  <c r="F77" i="15" s="1"/>
  <c r="G77" i="15" s="1"/>
  <c r="H77" i="15" s="1"/>
  <c r="I77" i="15" s="1"/>
  <c r="J77" i="15" s="1"/>
  <c r="J49" i="10"/>
  <c r="J50" i="10" s="1"/>
  <c r="F74" i="20"/>
  <c r="H49" i="10"/>
  <c r="H50" i="10" s="1"/>
  <c r="E43" i="10"/>
  <c r="E44" i="10" s="1"/>
  <c r="I43" i="10"/>
  <c r="I44" i="10" s="1"/>
  <c r="G43" i="10"/>
  <c r="G44" i="10" s="1"/>
  <c r="J43" i="10"/>
  <c r="J44" i="10" s="1"/>
  <c r="G49" i="10"/>
  <c r="G50" i="10" s="1"/>
  <c r="E49" i="10"/>
  <c r="E50" i="10" s="1"/>
  <c r="A75" i="20"/>
  <c r="G74" i="20"/>
  <c r="D43" i="10"/>
  <c r="D44" i="10" s="1"/>
  <c r="C43" i="9"/>
  <c r="C44" i="9" s="1"/>
  <c r="H42" i="20"/>
  <c r="E102" i="6"/>
  <c r="K95" i="6"/>
  <c r="H101" i="9"/>
  <c r="H102" i="9" s="1"/>
  <c r="B95" i="9"/>
  <c r="B96" i="9" s="1"/>
  <c r="I108" i="9"/>
  <c r="I109" i="9" s="1"/>
  <c r="J87" i="20"/>
  <c r="J81" i="20"/>
  <c r="F108" i="9"/>
  <c r="F109" i="9" s="1"/>
  <c r="C81" i="20"/>
  <c r="J108" i="9"/>
  <c r="J109" i="9" s="1"/>
  <c r="I107" i="20"/>
  <c r="J114" i="10"/>
  <c r="J115" i="10" s="1"/>
  <c r="A62" i="21"/>
  <c r="C82" i="9"/>
  <c r="C83" i="9" s="1"/>
  <c r="F62" i="10"/>
  <c r="F63" i="10" s="1"/>
  <c r="E62" i="8"/>
  <c r="E63" i="8" s="1"/>
  <c r="F49" i="9"/>
  <c r="F50" i="9" s="1"/>
  <c r="K56" i="14"/>
  <c r="E49" i="9"/>
  <c r="E50" i="9" s="1"/>
  <c r="K62" i="14"/>
  <c r="C55" i="21"/>
  <c r="J55" i="21"/>
  <c r="E55" i="21"/>
  <c r="I101" i="9"/>
  <c r="I102" i="9" s="1"/>
  <c r="C101" i="9"/>
  <c r="C102" i="9" s="1"/>
  <c r="B63" i="14"/>
  <c r="B58" i="14" s="1"/>
  <c r="C58" i="14" s="1"/>
  <c r="D58" i="14" s="1"/>
  <c r="E58" i="14" s="1"/>
  <c r="F58" i="14" s="1"/>
  <c r="G58" i="14" s="1"/>
  <c r="H58" i="14" s="1"/>
  <c r="I58" i="14" s="1"/>
  <c r="J58" i="14" s="1"/>
  <c r="K108" i="6"/>
  <c r="C88" i="9"/>
  <c r="C89" i="9" s="1"/>
  <c r="F88" i="9"/>
  <c r="B88" i="9"/>
  <c r="B89" i="9" s="1"/>
  <c r="K114" i="6"/>
  <c r="B108" i="9"/>
  <c r="B109" i="9" s="1"/>
  <c r="C114" i="9"/>
  <c r="C115" i="9" s="1"/>
  <c r="I81" i="20"/>
  <c r="G81" i="20"/>
  <c r="D108" i="9"/>
  <c r="D109" i="9" s="1"/>
  <c r="H114" i="9"/>
  <c r="H115" i="9" s="1"/>
  <c r="C108" i="9"/>
  <c r="C109" i="9" s="1"/>
  <c r="B64" i="6"/>
  <c r="C64" i="6" s="1"/>
  <c r="D64" i="6" s="1"/>
  <c r="E64" i="6" s="1"/>
  <c r="F64" i="6" s="1"/>
  <c r="G64" i="6" s="1"/>
  <c r="H64" i="6" s="1"/>
  <c r="I64" i="6" s="1"/>
  <c r="J64" i="6" s="1"/>
  <c r="F114" i="9"/>
  <c r="F115" i="9" s="1"/>
  <c r="E108" i="9"/>
  <c r="E109" i="9" s="1"/>
  <c r="B114" i="9"/>
  <c r="B115" i="9" s="1"/>
  <c r="I114" i="9"/>
  <c r="I115" i="9" s="1"/>
  <c r="G108" i="9"/>
  <c r="G109" i="9" s="1"/>
  <c r="G114" i="9"/>
  <c r="G115" i="9" s="1"/>
  <c r="J61" i="21"/>
  <c r="E43" i="9"/>
  <c r="E44" i="9" s="1"/>
  <c r="F55" i="21"/>
  <c r="C56" i="10"/>
  <c r="C57" i="10" s="1"/>
  <c r="B88" i="21"/>
  <c r="B89" i="21" s="1"/>
  <c r="I62" i="10"/>
  <c r="I63" i="10" s="1"/>
  <c r="J100" i="19"/>
  <c r="G56" i="10"/>
  <c r="G57" i="10" s="1"/>
  <c r="H56" i="10"/>
  <c r="B43" i="10"/>
  <c r="B44" i="10" s="1"/>
  <c r="B49" i="10"/>
  <c r="B50" i="10" s="1"/>
  <c r="C49" i="10"/>
  <c r="C50" i="10" s="1"/>
  <c r="D49" i="10"/>
  <c r="D50" i="10" s="1"/>
  <c r="B43" i="9"/>
  <c r="B44" i="9" s="1"/>
  <c r="D49" i="9"/>
  <c r="D50" i="9" s="1"/>
  <c r="I43" i="9"/>
  <c r="I44" i="9" s="1"/>
  <c r="I49" i="10"/>
  <c r="I50" i="10" s="1"/>
  <c r="C43" i="10"/>
  <c r="C44" i="10" s="1"/>
  <c r="H43" i="10"/>
  <c r="H44" i="10" s="1"/>
  <c r="G43" i="9"/>
  <c r="G44" i="9" s="1"/>
  <c r="E62" i="10"/>
  <c r="E63" i="10" s="1"/>
  <c r="D56" i="10"/>
  <c r="D57" i="10" s="1"/>
  <c r="F56" i="10"/>
  <c r="F57" i="10" s="1"/>
  <c r="C62" i="10"/>
  <c r="C63" i="10" s="1"/>
  <c r="B62" i="10"/>
  <c r="B63" i="10" s="1"/>
  <c r="C56" i="8"/>
  <c r="C57" i="8" s="1"/>
  <c r="B51" i="6"/>
  <c r="C51" i="6" s="1"/>
  <c r="D51" i="6" s="1"/>
  <c r="E51" i="6" s="1"/>
  <c r="F51" i="6" s="1"/>
  <c r="G51" i="6" s="1"/>
  <c r="H51" i="6" s="1"/>
  <c r="I51" i="6" s="1"/>
  <c r="J51" i="6" s="1"/>
  <c r="J56" i="10"/>
  <c r="J57" i="10" s="1"/>
  <c r="B56" i="10"/>
  <c r="B57" i="10" s="1"/>
  <c r="E56" i="10"/>
  <c r="E57" i="10" s="1"/>
  <c r="H62" i="10"/>
  <c r="H63" i="10" s="1"/>
  <c r="G62" i="10"/>
  <c r="G63" i="10" s="1"/>
  <c r="J62" i="10"/>
  <c r="J63" i="10" s="1"/>
  <c r="I56" i="10"/>
  <c r="I57" i="10" s="1"/>
  <c r="D62" i="10"/>
  <c r="D63" i="10" s="1"/>
  <c r="G62" i="8"/>
  <c r="G63" i="8" s="1"/>
  <c r="D56" i="8"/>
  <c r="D57" i="8" s="1"/>
  <c r="K103" i="3"/>
  <c r="K102" i="3" s="1"/>
  <c r="O24" i="3" s="1"/>
  <c r="F20" i="13" s="1"/>
  <c r="K97" i="3"/>
  <c r="K96" i="3" s="1"/>
  <c r="O22" i="3" s="1"/>
  <c r="F18" i="13" s="1"/>
  <c r="J82" i="10"/>
  <c r="J83" i="10" s="1"/>
  <c r="C88" i="10"/>
  <c r="C89" i="10" s="1"/>
  <c r="E75" i="9"/>
  <c r="E76" i="9" s="1"/>
  <c r="G88" i="8"/>
  <c r="G89" i="8" s="1"/>
  <c r="I82" i="9"/>
  <c r="I83" i="9" s="1"/>
  <c r="I88" i="9"/>
  <c r="I89" i="9" s="1"/>
  <c r="H88" i="9"/>
  <c r="H89" i="9" s="1"/>
  <c r="J82" i="9"/>
  <c r="J83" i="9" s="1"/>
  <c r="B116" i="6"/>
  <c r="C116" i="6" s="1"/>
  <c r="D116" i="6" s="1"/>
  <c r="E116" i="6" s="1"/>
  <c r="F116" i="6" s="1"/>
  <c r="G116" i="6" s="1"/>
  <c r="H116" i="6" s="1"/>
  <c r="I116" i="6" s="1"/>
  <c r="J116" i="6" s="1"/>
  <c r="H82" i="9"/>
  <c r="H83" i="9" s="1"/>
  <c r="E82" i="8"/>
  <c r="E83" i="8" s="1"/>
  <c r="E69" i="9"/>
  <c r="E70" i="9" s="1"/>
  <c r="I75" i="9"/>
  <c r="I76" i="9" s="1"/>
  <c r="B69" i="9"/>
  <c r="B70" i="9" s="1"/>
  <c r="F75" i="9"/>
  <c r="F76" i="9" s="1"/>
  <c r="I82" i="8"/>
  <c r="I83" i="8" s="1"/>
  <c r="J69" i="9"/>
  <c r="J70" i="9" s="1"/>
  <c r="G75" i="9"/>
  <c r="G76" i="9" s="1"/>
  <c r="H69" i="9"/>
  <c r="H70" i="9" s="1"/>
  <c r="C69" i="9"/>
  <c r="C70" i="9" s="1"/>
  <c r="I69" i="9"/>
  <c r="I70" i="9" s="1"/>
  <c r="H75" i="9"/>
  <c r="H76" i="9" s="1"/>
  <c r="C75" i="9"/>
  <c r="C76" i="9" s="1"/>
  <c r="F88" i="8"/>
  <c r="F89" i="8" s="1"/>
  <c r="B116" i="15"/>
  <c r="C116" i="15" s="1"/>
  <c r="D116" i="15" s="1"/>
  <c r="E116" i="15" s="1"/>
  <c r="F116" i="15" s="1"/>
  <c r="G116" i="15" s="1"/>
  <c r="H116" i="15" s="1"/>
  <c r="I116" i="15" s="1"/>
  <c r="J116" i="15" s="1"/>
  <c r="E88" i="9"/>
  <c r="E89" i="9" s="1"/>
  <c r="E82" i="9"/>
  <c r="E83" i="9" s="1"/>
  <c r="D88" i="9"/>
  <c r="D89" i="9" s="1"/>
  <c r="B110" i="15"/>
  <c r="C110" i="15" s="1"/>
  <c r="D110" i="15" s="1"/>
  <c r="E110" i="15" s="1"/>
  <c r="F110" i="15" s="1"/>
  <c r="G110" i="15" s="1"/>
  <c r="H110" i="15" s="1"/>
  <c r="I110" i="15" s="1"/>
  <c r="J110" i="15" s="1"/>
  <c r="G82" i="9"/>
  <c r="G83" i="9" s="1"/>
  <c r="B82" i="9"/>
  <c r="B83" i="9" s="1"/>
  <c r="D82" i="9"/>
  <c r="D83" i="9" s="1"/>
  <c r="J88" i="9"/>
  <c r="J89" i="9" s="1"/>
  <c r="H88" i="10"/>
  <c r="H89" i="10" s="1"/>
  <c r="B77" i="6"/>
  <c r="C77" i="6" s="1"/>
  <c r="D77" i="6" s="1"/>
  <c r="E77" i="6" s="1"/>
  <c r="F77" i="6" s="1"/>
  <c r="G77" i="6" s="1"/>
  <c r="H77" i="6" s="1"/>
  <c r="I77" i="6" s="1"/>
  <c r="J77" i="6" s="1"/>
  <c r="K127" i="9"/>
  <c r="B90" i="15"/>
  <c r="C90" i="15" s="1"/>
  <c r="D90" i="15" s="1"/>
  <c r="E90" i="15" s="1"/>
  <c r="F90" i="15" s="1"/>
  <c r="G90" i="15" s="1"/>
  <c r="H90" i="15" s="1"/>
  <c r="I90" i="15" s="1"/>
  <c r="J90" i="15" s="1"/>
  <c r="B88" i="10"/>
  <c r="B89" i="10" s="1"/>
  <c r="F82" i="10"/>
  <c r="F83" i="10" s="1"/>
  <c r="G82" i="10"/>
  <c r="G83" i="10" s="1"/>
  <c r="J88" i="10"/>
  <c r="J89" i="10" s="1"/>
  <c r="F88" i="10"/>
  <c r="F89" i="10" s="1"/>
  <c r="G107" i="21"/>
  <c r="B84" i="15"/>
  <c r="C84" i="15" s="1"/>
  <c r="D84" i="15" s="1"/>
  <c r="E84" i="15" s="1"/>
  <c r="F84" i="15" s="1"/>
  <c r="G84" i="15" s="1"/>
  <c r="H84" i="15" s="1"/>
  <c r="I84" i="15" s="1"/>
  <c r="J84" i="15" s="1"/>
  <c r="F43" i="8"/>
  <c r="F44" i="8" s="1"/>
  <c r="I43" i="8"/>
  <c r="I44" i="8" s="1"/>
  <c r="I113" i="21"/>
  <c r="C43" i="8"/>
  <c r="C44" i="8" s="1"/>
  <c r="B43" i="8"/>
  <c r="B44" i="8" s="1"/>
  <c r="F49" i="8"/>
  <c r="F50" i="8" s="1"/>
  <c r="D114" i="9"/>
  <c r="D115" i="9" s="1"/>
  <c r="H69" i="8"/>
  <c r="H70" i="8" s="1"/>
  <c r="D75" i="8"/>
  <c r="D76" i="8" s="1"/>
  <c r="G69" i="8"/>
  <c r="G70" i="8" s="1"/>
  <c r="J69" i="8"/>
  <c r="J70" i="8" s="1"/>
  <c r="F69" i="8"/>
  <c r="F70" i="8" s="1"/>
  <c r="I69" i="8"/>
  <c r="I70" i="8" s="1"/>
  <c r="C75" i="10"/>
  <c r="C76" i="10" s="1"/>
  <c r="C75" i="8"/>
  <c r="C76" i="8" s="1"/>
  <c r="I75" i="8"/>
  <c r="I76" i="8" s="1"/>
  <c r="J75" i="8"/>
  <c r="J76" i="8" s="1"/>
  <c r="C100" i="20"/>
  <c r="E75" i="8"/>
  <c r="E76" i="8" s="1"/>
  <c r="E69" i="8"/>
  <c r="E70" i="8" s="1"/>
  <c r="B45" i="6"/>
  <c r="C45" i="6" s="1"/>
  <c r="D45" i="6" s="1"/>
  <c r="E45" i="6" s="1"/>
  <c r="F45" i="6" s="1"/>
  <c r="G45" i="6" s="1"/>
  <c r="H45" i="6" s="1"/>
  <c r="I45" i="6" s="1"/>
  <c r="J45" i="6" s="1"/>
  <c r="C69" i="10"/>
  <c r="C70" i="10" s="1"/>
  <c r="D69" i="10"/>
  <c r="D70" i="10" s="1"/>
  <c r="F75" i="8"/>
  <c r="F76" i="8" s="1"/>
  <c r="G75" i="8"/>
  <c r="G76" i="8" s="1"/>
  <c r="E69" i="10"/>
  <c r="E70" i="10" s="1"/>
  <c r="D69" i="8"/>
  <c r="D70" i="8" s="1"/>
  <c r="C69" i="8"/>
  <c r="C70" i="8" s="1"/>
  <c r="H75" i="8"/>
  <c r="H76" i="8" s="1"/>
  <c r="B69" i="8"/>
  <c r="B70" i="8" s="1"/>
  <c r="G88" i="9"/>
  <c r="G89" i="9" s="1"/>
  <c r="B103" i="7"/>
  <c r="C103" i="7" s="1"/>
  <c r="D103" i="7" s="1"/>
  <c r="E103" i="7" s="1"/>
  <c r="F103" i="7" s="1"/>
  <c r="G103" i="7" s="1"/>
  <c r="H103" i="7" s="1"/>
  <c r="I103" i="7" s="1"/>
  <c r="J103" i="7" s="1"/>
  <c r="H107" i="19"/>
  <c r="J107" i="19"/>
  <c r="I107" i="19"/>
  <c r="I113" i="19"/>
  <c r="F113" i="19"/>
  <c r="K108" i="7"/>
  <c r="B97" i="15"/>
  <c r="C97" i="15" s="1"/>
  <c r="D97" i="15" s="1"/>
  <c r="E97" i="15" s="1"/>
  <c r="F97" i="15" s="1"/>
  <c r="G97" i="15" s="1"/>
  <c r="H97" i="15" s="1"/>
  <c r="I97" i="15" s="1"/>
  <c r="J97" i="15" s="1"/>
  <c r="I101" i="10"/>
  <c r="I102" i="10" s="1"/>
  <c r="C95" i="8"/>
  <c r="C96" i="8" s="1"/>
  <c r="K75" i="15"/>
  <c r="E101" i="9"/>
  <c r="E102" i="9" s="1"/>
  <c r="F101" i="9"/>
  <c r="F102" i="9" s="1"/>
  <c r="B71" i="7"/>
  <c r="C71" i="7" s="1"/>
  <c r="D71" i="7" s="1"/>
  <c r="E71" i="7" s="1"/>
  <c r="F71" i="7" s="1"/>
  <c r="G71" i="7" s="1"/>
  <c r="H71" i="7" s="1"/>
  <c r="K82" i="15"/>
  <c r="K48" i="10"/>
  <c r="K68" i="9"/>
  <c r="K121" i="9"/>
  <c r="K61" i="10"/>
  <c r="K42" i="10"/>
  <c r="K107" i="10"/>
  <c r="K74" i="9"/>
  <c r="K42" i="9"/>
  <c r="K48" i="9"/>
  <c r="K87" i="8"/>
  <c r="K61" i="8"/>
  <c r="K74" i="8"/>
  <c r="K69" i="15"/>
  <c r="K75" i="6"/>
  <c r="K69" i="6"/>
  <c r="K49" i="15"/>
  <c r="K49" i="6"/>
  <c r="B103" i="15"/>
  <c r="C103" i="15" s="1"/>
  <c r="D103" i="15" s="1"/>
  <c r="E103" i="15" s="1"/>
  <c r="F103" i="15" s="1"/>
  <c r="G103" i="15" s="1"/>
  <c r="H103" i="15" s="1"/>
  <c r="I103" i="15" s="1"/>
  <c r="J103" i="15" s="1"/>
  <c r="B97" i="7"/>
  <c r="C97" i="7" s="1"/>
  <c r="D97" i="7" s="1"/>
  <c r="E97" i="7" s="1"/>
  <c r="F97" i="7" s="1"/>
  <c r="G97" i="7" s="1"/>
  <c r="H97" i="7" s="1"/>
  <c r="I97" i="7" s="1"/>
  <c r="J97" i="7" s="1"/>
  <c r="K43" i="6"/>
  <c r="B110" i="7"/>
  <c r="C110" i="7" s="1"/>
  <c r="D110" i="7" s="1"/>
  <c r="E110" i="7" s="1"/>
  <c r="F110" i="7" s="1"/>
  <c r="G110" i="7" s="1"/>
  <c r="H110" i="7" s="1"/>
  <c r="I110" i="7" s="1"/>
  <c r="J110" i="7" s="1"/>
  <c r="K114" i="7"/>
  <c r="K121" i="8"/>
  <c r="K55" i="10"/>
  <c r="A88" i="19"/>
  <c r="E114" i="9"/>
  <c r="E115" i="9" s="1"/>
  <c r="J114" i="9"/>
  <c r="J115" i="9" s="1"/>
  <c r="H108" i="9"/>
  <c r="H109" i="9" s="1"/>
  <c r="K62" i="6"/>
  <c r="B58" i="6"/>
  <c r="C58" i="6" s="1"/>
  <c r="D58" i="6" s="1"/>
  <c r="E58" i="6" s="1"/>
  <c r="F58" i="6" s="1"/>
  <c r="G58" i="6" s="1"/>
  <c r="H58" i="6" s="1"/>
  <c r="I58" i="6" s="1"/>
  <c r="J58" i="6" s="1"/>
  <c r="G95" i="8"/>
  <c r="G96" i="8" s="1"/>
  <c r="I108" i="10"/>
  <c r="I109" i="10" s="1"/>
  <c r="K113" i="9"/>
  <c r="K107" i="9"/>
  <c r="G43" i="8"/>
  <c r="G44" i="8" s="1"/>
  <c r="E43" i="8"/>
  <c r="E44" i="8" s="1"/>
  <c r="G49" i="8"/>
  <c r="G50" i="8" s="1"/>
  <c r="B77" i="7"/>
  <c r="C77" i="7" s="1"/>
  <c r="D77" i="7" s="1"/>
  <c r="E77" i="7" s="1"/>
  <c r="F77" i="7" s="1"/>
  <c r="G77" i="7" s="1"/>
  <c r="H77" i="7" s="1"/>
  <c r="K88" i="15"/>
  <c r="D49" i="8"/>
  <c r="D50" i="8" s="1"/>
  <c r="H43" i="8"/>
  <c r="H44" i="8" s="1"/>
  <c r="I49" i="8"/>
  <c r="I50" i="8" s="1"/>
  <c r="H49" i="8"/>
  <c r="H50" i="8" s="1"/>
  <c r="E49" i="8"/>
  <c r="E50" i="8" s="1"/>
  <c r="J49" i="8"/>
  <c r="J50" i="8" s="1"/>
  <c r="D43" i="8"/>
  <c r="D44" i="8" s="1"/>
  <c r="C49" i="8"/>
  <c r="C50" i="8" s="1"/>
  <c r="B49" i="8"/>
  <c r="B50" i="8" s="1"/>
  <c r="B84" i="6"/>
  <c r="C84" i="6" s="1"/>
  <c r="D101" i="8"/>
  <c r="D102" i="8" s="1"/>
  <c r="I101" i="8"/>
  <c r="I102" i="8" s="1"/>
  <c r="I95" i="8"/>
  <c r="I96" i="8" s="1"/>
  <c r="F108" i="10"/>
  <c r="F109" i="10" s="1"/>
  <c r="B108" i="10"/>
  <c r="B109" i="10" s="1"/>
  <c r="B95" i="8"/>
  <c r="B96" i="8" s="1"/>
  <c r="J101" i="8"/>
  <c r="J102" i="8" s="1"/>
  <c r="H95" i="8"/>
  <c r="H96" i="8" s="1"/>
  <c r="A56" i="20"/>
  <c r="D55" i="21"/>
  <c r="B61" i="21"/>
  <c r="A62" i="20"/>
  <c r="B61" i="20"/>
  <c r="G42" i="19"/>
  <c r="D48" i="19"/>
  <c r="J48" i="19"/>
  <c r="A49" i="19"/>
  <c r="J68" i="19"/>
  <c r="I68" i="19"/>
  <c r="G74" i="19"/>
  <c r="E61" i="20"/>
  <c r="J68" i="20"/>
  <c r="B48" i="19"/>
  <c r="G48" i="19"/>
  <c r="H48" i="19"/>
  <c r="F74" i="19"/>
  <c r="G68" i="19"/>
  <c r="E68" i="19"/>
  <c r="I74" i="20"/>
  <c r="E74" i="20"/>
  <c r="D68" i="20"/>
  <c r="J74" i="20"/>
  <c r="H68" i="20"/>
  <c r="G68" i="20"/>
  <c r="B74" i="20"/>
  <c r="B42" i="21"/>
  <c r="F68" i="20"/>
  <c r="I68" i="20"/>
  <c r="A49" i="21"/>
  <c r="H68" i="21"/>
  <c r="F107" i="20"/>
  <c r="B69" i="10"/>
  <c r="B70" i="10" s="1"/>
  <c r="J114" i="8"/>
  <c r="J115" i="8" s="1"/>
  <c r="K87" i="9"/>
  <c r="E68" i="20"/>
  <c r="C74" i="20"/>
  <c r="D74" i="20"/>
  <c r="C68" i="20"/>
  <c r="B68" i="20"/>
  <c r="B114" i="10"/>
  <c r="B115" i="10" s="1"/>
  <c r="K43" i="15"/>
  <c r="J56" i="9"/>
  <c r="J57" i="9" s="1"/>
  <c r="J75" i="10"/>
  <c r="J76" i="10" s="1"/>
  <c r="G75" i="10"/>
  <c r="G76" i="10" s="1"/>
  <c r="B75" i="10"/>
  <c r="B76" i="10" s="1"/>
  <c r="F69" i="10"/>
  <c r="F70" i="10" s="1"/>
  <c r="H62" i="9"/>
  <c r="H63" i="9" s="1"/>
  <c r="H56" i="9"/>
  <c r="H57" i="9" s="1"/>
  <c r="D82" i="8"/>
  <c r="D83" i="8" s="1"/>
  <c r="D88" i="8"/>
  <c r="D89" i="8" s="1"/>
  <c r="F114" i="10"/>
  <c r="F115" i="10" s="1"/>
  <c r="G114" i="10"/>
  <c r="G115" i="10" s="1"/>
  <c r="G108" i="10"/>
  <c r="G109" i="10" s="1"/>
  <c r="K101" i="15"/>
  <c r="B49" i="9"/>
  <c r="B50" i="9" s="1"/>
  <c r="G49" i="9"/>
  <c r="G50" i="9" s="1"/>
  <c r="J49" i="9"/>
  <c r="J50" i="9" s="1"/>
  <c r="F43" i="9"/>
  <c r="F44" i="9" s="1"/>
  <c r="J48" i="21"/>
  <c r="I49" i="9"/>
  <c r="I50" i="9" s="1"/>
  <c r="J56" i="8"/>
  <c r="J57" i="8" s="1"/>
  <c r="B44" i="15"/>
  <c r="G56" i="9"/>
  <c r="G57" i="9" s="1"/>
  <c r="D75" i="10"/>
  <c r="D76" i="10" s="1"/>
  <c r="J82" i="8"/>
  <c r="J83" i="8" s="1"/>
  <c r="E42" i="21"/>
  <c r="C48" i="21"/>
  <c r="F48" i="21"/>
  <c r="D42" i="21"/>
  <c r="I100" i="19"/>
  <c r="G55" i="20"/>
  <c r="B64" i="15"/>
  <c r="C64" i="15" s="1"/>
  <c r="D64" i="15" s="1"/>
  <c r="E64" i="15" s="1"/>
  <c r="F64" i="15" s="1"/>
  <c r="G64" i="15" s="1"/>
  <c r="H64" i="15" s="1"/>
  <c r="I64" i="15" s="1"/>
  <c r="J64" i="15" s="1"/>
  <c r="K87" i="10"/>
  <c r="E75" i="10"/>
  <c r="E76" i="10" s="1"/>
  <c r="J62" i="9"/>
  <c r="J63" i="9" s="1"/>
  <c r="D113" i="21"/>
  <c r="H69" i="10"/>
  <c r="H70" i="10" s="1"/>
  <c r="C107" i="21"/>
  <c r="H75" i="10"/>
  <c r="H76" i="10" s="1"/>
  <c r="C56" i="9"/>
  <c r="C57" i="9" s="1"/>
  <c r="E88" i="8"/>
  <c r="E89" i="8" s="1"/>
  <c r="C114" i="10"/>
  <c r="C115" i="10" s="1"/>
  <c r="C108" i="10"/>
  <c r="C109" i="10" s="1"/>
  <c r="H108" i="10"/>
  <c r="H109" i="10" s="1"/>
  <c r="C49" i="9"/>
  <c r="C50" i="9" s="1"/>
  <c r="H49" i="9"/>
  <c r="H50" i="9" s="1"/>
  <c r="H43" i="9"/>
  <c r="H44" i="9" s="1"/>
  <c r="J43" i="9"/>
  <c r="J44" i="9" s="1"/>
  <c r="D43" i="9"/>
  <c r="D44" i="9" s="1"/>
  <c r="I48" i="21"/>
  <c r="J42" i="21"/>
  <c r="I42" i="21"/>
  <c r="H94" i="21"/>
  <c r="K94" i="8"/>
  <c r="D101" i="9"/>
  <c r="D102" i="9" s="1"/>
  <c r="G107" i="20"/>
  <c r="C82" i="21"/>
  <c r="C83" i="21" s="1"/>
  <c r="B71" i="6"/>
  <c r="C71" i="6" s="1"/>
  <c r="D71" i="6" s="1"/>
  <c r="E71" i="6" s="1"/>
  <c r="F71" i="6" s="1"/>
  <c r="G71" i="6" s="1"/>
  <c r="H71" i="6" s="1"/>
  <c r="I71" i="6" s="1"/>
  <c r="J71" i="6" s="1"/>
  <c r="D48" i="20"/>
  <c r="B129" i="8"/>
  <c r="C129" i="8" s="1"/>
  <c r="D129" i="8" s="1"/>
  <c r="E129" i="8" s="1"/>
  <c r="F129" i="8" s="1"/>
  <c r="G129" i="8" s="1"/>
  <c r="H129" i="8" s="1"/>
  <c r="I129" i="8" s="1"/>
  <c r="J129" i="8" s="1"/>
  <c r="C42" i="20"/>
  <c r="H74" i="21"/>
  <c r="B68" i="21"/>
  <c r="C95" i="9"/>
  <c r="C96" i="9" s="1"/>
  <c r="D95" i="9"/>
  <c r="D96" i="9" s="1"/>
  <c r="G95" i="9"/>
  <c r="G96" i="9" s="1"/>
  <c r="J101" i="9"/>
  <c r="J102" i="9" s="1"/>
  <c r="J95" i="9"/>
  <c r="J96" i="9" s="1"/>
  <c r="F95" i="9"/>
  <c r="F96" i="9" s="1"/>
  <c r="G82" i="21"/>
  <c r="G83" i="21" s="1"/>
  <c r="H82" i="21"/>
  <c r="H83" i="21" s="1"/>
  <c r="D88" i="21"/>
  <c r="D89" i="21" s="1"/>
  <c r="J82" i="21"/>
  <c r="J83" i="21" s="1"/>
  <c r="C62" i="9"/>
  <c r="C63" i="9" s="1"/>
  <c r="B113" i="21"/>
  <c r="E56" i="9"/>
  <c r="E57" i="9" s="1"/>
  <c r="J113" i="21"/>
  <c r="D107" i="21"/>
  <c r="H107" i="21"/>
  <c r="D56" i="9"/>
  <c r="D57" i="9" s="1"/>
  <c r="K69" i="7"/>
  <c r="G113" i="21"/>
  <c r="A108" i="21"/>
  <c r="B108" i="21" s="1"/>
  <c r="G62" i="9"/>
  <c r="G63" i="9" s="1"/>
  <c r="F107" i="21"/>
  <c r="F62" i="9"/>
  <c r="F63" i="9" s="1"/>
  <c r="I56" i="9"/>
  <c r="I57" i="9" s="1"/>
  <c r="I62" i="9"/>
  <c r="I63" i="9" s="1"/>
  <c r="K55" i="9"/>
  <c r="K61" i="9"/>
  <c r="B107" i="21"/>
  <c r="F56" i="9"/>
  <c r="F57" i="9" s="1"/>
  <c r="J107" i="21"/>
  <c r="E62" i="9"/>
  <c r="E63" i="9" s="1"/>
  <c r="I107" i="21"/>
  <c r="C113" i="21"/>
  <c r="E107" i="21"/>
  <c r="B62" i="9"/>
  <c r="B63" i="9" s="1"/>
  <c r="E113" i="21"/>
  <c r="F113" i="21"/>
  <c r="H113" i="21"/>
  <c r="A101" i="19"/>
  <c r="K75" i="7"/>
  <c r="B100" i="19"/>
  <c r="A95" i="19"/>
  <c r="C107" i="20"/>
  <c r="I70" i="7"/>
  <c r="C94" i="19"/>
  <c r="J94" i="19"/>
  <c r="E94" i="19"/>
  <c r="D107" i="20"/>
  <c r="I113" i="20"/>
  <c r="J113" i="20"/>
  <c r="K48" i="8"/>
  <c r="K42" i="8"/>
  <c r="B90" i="6"/>
  <c r="C90" i="6" s="1"/>
  <c r="H100" i="19"/>
  <c r="G100" i="19"/>
  <c r="D94" i="19"/>
  <c r="E88" i="10"/>
  <c r="E89" i="10" s="1"/>
  <c r="K81" i="9"/>
  <c r="E95" i="9"/>
  <c r="E96" i="9" s="1"/>
  <c r="G108" i="8"/>
  <c r="G109" i="8" s="1"/>
  <c r="K113" i="10"/>
  <c r="D108" i="10"/>
  <c r="D109" i="10" s="1"/>
  <c r="K74" i="10"/>
  <c r="I75" i="10"/>
  <c r="I76" i="10" s="1"/>
  <c r="K88" i="6"/>
  <c r="J94" i="21"/>
  <c r="I100" i="21"/>
  <c r="J100" i="21"/>
  <c r="G100" i="21"/>
  <c r="F94" i="21"/>
  <c r="E94" i="21"/>
  <c r="I94" i="21"/>
  <c r="A95" i="21"/>
  <c r="E100" i="21"/>
  <c r="C100" i="21"/>
  <c r="D94" i="21"/>
  <c r="B94" i="21"/>
  <c r="C94" i="21"/>
  <c r="G94" i="21"/>
  <c r="H100" i="21"/>
  <c r="K127" i="8"/>
  <c r="G42" i="20"/>
  <c r="F48" i="20"/>
  <c r="F42" i="20"/>
  <c r="H48" i="20"/>
  <c r="B42" i="19"/>
  <c r="C42" i="19"/>
  <c r="F42" i="19"/>
  <c r="D42" i="19"/>
  <c r="J42" i="19"/>
  <c r="K95" i="15"/>
  <c r="B123" i="8"/>
  <c r="C123" i="8" s="1"/>
  <c r="D123" i="8" s="1"/>
  <c r="E123" i="8" s="1"/>
  <c r="F123" i="8" s="1"/>
  <c r="G123" i="8" s="1"/>
  <c r="H123" i="8" s="1"/>
  <c r="I123" i="8" s="1"/>
  <c r="J123" i="8" s="1"/>
  <c r="B42" i="20"/>
  <c r="A49" i="20"/>
  <c r="K82" i="6"/>
  <c r="D89" i="6"/>
  <c r="G69" i="10"/>
  <c r="G70" i="10" s="1"/>
  <c r="J69" i="10"/>
  <c r="J70" i="10" s="1"/>
  <c r="I69" i="10"/>
  <c r="I70" i="10" s="1"/>
  <c r="F82" i="8"/>
  <c r="F83" i="8" s="1"/>
  <c r="A114" i="19"/>
  <c r="C107" i="19"/>
  <c r="D113" i="19"/>
  <c r="B113" i="19"/>
  <c r="D58" i="4"/>
  <c r="E58" i="4" s="1"/>
  <c r="F58" i="4" s="1"/>
  <c r="G58" i="4" s="1"/>
  <c r="H58" i="4" s="1"/>
  <c r="I58" i="4" s="1"/>
  <c r="J58" i="4" s="1"/>
  <c r="H113" i="19"/>
  <c r="E113" i="19"/>
  <c r="D107" i="19"/>
  <c r="J113" i="19"/>
  <c r="G113" i="19"/>
  <c r="C42" i="21"/>
  <c r="G42" i="21"/>
  <c r="B48" i="21"/>
  <c r="H48" i="21"/>
  <c r="G48" i="21"/>
  <c r="D48" i="21"/>
  <c r="H42" i="21"/>
  <c r="A43" i="21"/>
  <c r="F42" i="21"/>
  <c r="I74" i="21"/>
  <c r="D81" i="20"/>
  <c r="C87" i="20"/>
  <c r="H87" i="20"/>
  <c r="E81" i="20"/>
  <c r="E87" i="20"/>
  <c r="A82" i="20"/>
  <c r="G88" i="20" s="1"/>
  <c r="F87" i="20"/>
  <c r="G87" i="20"/>
  <c r="B81" i="20"/>
  <c r="B58" i="7"/>
  <c r="C58" i="7" s="1"/>
  <c r="D58" i="7" s="1"/>
  <c r="E58" i="7" s="1"/>
  <c r="F58" i="7" s="1"/>
  <c r="G58" i="7" s="1"/>
  <c r="H58" i="7" s="1"/>
  <c r="I58" i="7" s="1"/>
  <c r="J58" i="7" s="1"/>
  <c r="C114" i="8"/>
  <c r="C115" i="8" s="1"/>
  <c r="F81" i="20"/>
  <c r="I87" i="20"/>
  <c r="D87" i="20"/>
  <c r="B87" i="20"/>
  <c r="F95" i="10"/>
  <c r="F96" i="10" s="1"/>
  <c r="G101" i="9"/>
  <c r="G102" i="9" s="1"/>
  <c r="H95" i="9"/>
  <c r="H96" i="9" s="1"/>
  <c r="B101" i="9"/>
  <c r="B102" i="9" s="1"/>
  <c r="I114" i="10"/>
  <c r="I115" i="10" s="1"/>
  <c r="E114" i="10"/>
  <c r="E115" i="10" s="1"/>
  <c r="H114" i="10"/>
  <c r="H115" i="10" s="1"/>
  <c r="D114" i="10"/>
  <c r="D115" i="10" s="1"/>
  <c r="J108" i="10"/>
  <c r="J109" i="10" s="1"/>
  <c r="C108" i="8"/>
  <c r="C109" i="8" s="1"/>
  <c r="K108" i="15"/>
  <c r="I81" i="19"/>
  <c r="H81" i="19"/>
  <c r="J101" i="10"/>
  <c r="J102" i="10" s="1"/>
  <c r="K107" i="8"/>
  <c r="D64" i="4"/>
  <c r="E64" i="4" s="1"/>
  <c r="F64" i="4" s="1"/>
  <c r="G64" i="4" s="1"/>
  <c r="H64" i="4" s="1"/>
  <c r="I64" i="4" s="1"/>
  <c r="J64" i="4" s="1"/>
  <c r="C68" i="21"/>
  <c r="E68" i="21"/>
  <c r="F74" i="21"/>
  <c r="F108" i="8"/>
  <c r="F109" i="8" s="1"/>
  <c r="G68" i="21"/>
  <c r="F114" i="8"/>
  <c r="F115" i="8" s="1"/>
  <c r="D108" i="8"/>
  <c r="D109" i="8" s="1"/>
  <c r="J108" i="8"/>
  <c r="J109" i="8" s="1"/>
  <c r="H114" i="8"/>
  <c r="H115" i="8" s="1"/>
  <c r="I68" i="21"/>
  <c r="J74" i="21"/>
  <c r="D74" i="21"/>
  <c r="H108" i="8"/>
  <c r="H109" i="8" s="1"/>
  <c r="I108" i="8"/>
  <c r="I109" i="8" s="1"/>
  <c r="I114" i="8"/>
  <c r="I115" i="8" s="1"/>
  <c r="D114" i="8"/>
  <c r="D115" i="8" s="1"/>
  <c r="B114" i="8"/>
  <c r="B115" i="8" s="1"/>
  <c r="E114" i="8"/>
  <c r="E115" i="8" s="1"/>
  <c r="B64" i="7"/>
  <c r="C64" i="7" s="1"/>
  <c r="D64" i="7" s="1"/>
  <c r="E64" i="7" s="1"/>
  <c r="F64" i="7" s="1"/>
  <c r="G64" i="7" s="1"/>
  <c r="H64" i="7" s="1"/>
  <c r="I64" i="7" s="1"/>
  <c r="J64" i="7" s="1"/>
  <c r="B108" i="8"/>
  <c r="B109" i="8" s="1"/>
  <c r="G114" i="8"/>
  <c r="G115" i="8" s="1"/>
  <c r="E108" i="8"/>
  <c r="E109" i="8" s="1"/>
  <c r="D68" i="21"/>
  <c r="A69" i="21"/>
  <c r="B74" i="21"/>
  <c r="G113" i="20"/>
  <c r="D113" i="20"/>
  <c r="E113" i="20"/>
  <c r="J107" i="20"/>
  <c r="F113" i="20"/>
  <c r="H113" i="20"/>
  <c r="B107" i="20"/>
  <c r="H107" i="20"/>
  <c r="C113" i="20"/>
  <c r="A114" i="20"/>
  <c r="E107" i="20"/>
  <c r="A108" i="20"/>
  <c r="B113" i="20"/>
  <c r="H87" i="19"/>
  <c r="I87" i="19"/>
  <c r="D87" i="19"/>
  <c r="J87" i="19"/>
  <c r="E81" i="19"/>
  <c r="C81" i="19"/>
  <c r="H95" i="10"/>
  <c r="H96" i="10" s="1"/>
  <c r="G81" i="19"/>
  <c r="A82" i="19"/>
  <c r="E87" i="19"/>
  <c r="C87" i="19"/>
  <c r="F81" i="19"/>
  <c r="F87" i="19"/>
  <c r="K94" i="10"/>
  <c r="G87" i="19"/>
  <c r="D81" i="19"/>
  <c r="J81" i="19"/>
  <c r="B81" i="19"/>
  <c r="G101" i="10"/>
  <c r="G102" i="10" s="1"/>
  <c r="J95" i="10"/>
  <c r="J96" i="10" s="1"/>
  <c r="K113" i="8"/>
  <c r="J68" i="21"/>
  <c r="A75" i="21"/>
  <c r="F68" i="21"/>
  <c r="E74" i="21"/>
  <c r="K62" i="7"/>
  <c r="G74" i="21"/>
  <c r="C74" i="21"/>
  <c r="K81" i="8"/>
  <c r="B82" i="8"/>
  <c r="B83" i="8" s="1"/>
  <c r="C88" i="8"/>
  <c r="C89" i="8" s="1"/>
  <c r="I82" i="10"/>
  <c r="I83" i="10" s="1"/>
  <c r="H82" i="8"/>
  <c r="H83" i="8" s="1"/>
  <c r="D82" i="10"/>
  <c r="D83" i="10" s="1"/>
  <c r="G88" i="10"/>
  <c r="G89" i="10" s="1"/>
  <c r="I88" i="10"/>
  <c r="I89" i="10" s="1"/>
  <c r="C82" i="10"/>
  <c r="C83" i="10" s="1"/>
  <c r="J88" i="8"/>
  <c r="J89" i="8" s="1"/>
  <c r="G82" i="8"/>
  <c r="G83" i="8" s="1"/>
  <c r="B88" i="8"/>
  <c r="B89" i="8" s="1"/>
  <c r="C82" i="8"/>
  <c r="C83" i="8" s="1"/>
  <c r="B82" i="10"/>
  <c r="B83" i="10" s="1"/>
  <c r="I88" i="8"/>
  <c r="I89" i="8" s="1"/>
  <c r="D88" i="10"/>
  <c r="D89" i="10" s="1"/>
  <c r="E82" i="10"/>
  <c r="E83" i="10" s="1"/>
  <c r="H82" i="10"/>
  <c r="H83" i="10" s="1"/>
  <c r="K87" i="21"/>
  <c r="K81" i="10"/>
  <c r="K68" i="8"/>
  <c r="E88" i="21"/>
  <c r="E89" i="21" s="1"/>
  <c r="K95" i="7"/>
  <c r="F82" i="21"/>
  <c r="F83" i="21" s="1"/>
  <c r="B82" i="21"/>
  <c r="B83" i="21" s="1"/>
  <c r="H88" i="21"/>
  <c r="H89" i="21" s="1"/>
  <c r="I82" i="21"/>
  <c r="I83" i="21" s="1"/>
  <c r="G88" i="21"/>
  <c r="G89" i="21" s="1"/>
  <c r="I88" i="21"/>
  <c r="I89" i="21" s="1"/>
  <c r="K114" i="15"/>
  <c r="E82" i="21"/>
  <c r="E83" i="21" s="1"/>
  <c r="C88" i="21"/>
  <c r="C89" i="21" s="1"/>
  <c r="J88" i="21"/>
  <c r="J89" i="21" s="1"/>
  <c r="D82" i="21"/>
  <c r="D83" i="21" s="1"/>
  <c r="F88" i="21"/>
  <c r="F89" i="21" s="1"/>
  <c r="K101" i="7"/>
  <c r="K56" i="6"/>
  <c r="B58" i="15"/>
  <c r="C58" i="15" s="1"/>
  <c r="D58" i="15" s="1"/>
  <c r="E58" i="15" s="1"/>
  <c r="F58" i="15" s="1"/>
  <c r="G58" i="15" s="1"/>
  <c r="H58" i="15" s="1"/>
  <c r="I58" i="15" s="1"/>
  <c r="J58" i="15" s="1"/>
  <c r="K100" i="8"/>
  <c r="K100" i="9"/>
  <c r="K100" i="10"/>
  <c r="A56" i="21"/>
  <c r="G55" i="19"/>
  <c r="I55" i="20"/>
  <c r="K94" i="9"/>
  <c r="F101" i="8"/>
  <c r="F102" i="8" s="1"/>
  <c r="K55" i="8"/>
  <c r="K68" i="10"/>
  <c r="K81" i="21"/>
  <c r="H94" i="19"/>
  <c r="B94" i="19"/>
  <c r="I61" i="20"/>
  <c r="E101" i="8"/>
  <c r="E102" i="8" s="1"/>
  <c r="B101" i="8"/>
  <c r="B102" i="8" s="1"/>
  <c r="G101" i="8"/>
  <c r="G102" i="8" s="1"/>
  <c r="J95" i="8"/>
  <c r="J96" i="8" s="1"/>
  <c r="H101" i="8"/>
  <c r="H102" i="8" s="1"/>
  <c r="C101" i="8"/>
  <c r="C102" i="8" s="1"/>
  <c r="D61" i="21"/>
  <c r="E42" i="20"/>
  <c r="I61" i="21"/>
  <c r="J42" i="20"/>
  <c r="F61" i="20"/>
  <c r="G61" i="20"/>
  <c r="I56" i="8"/>
  <c r="I57" i="8" s="1"/>
  <c r="F56" i="8"/>
  <c r="F57" i="8" s="1"/>
  <c r="G56" i="8"/>
  <c r="G57" i="8" s="1"/>
  <c r="C55" i="20"/>
  <c r="E61" i="21"/>
  <c r="F62" i="8"/>
  <c r="F63" i="8" s="1"/>
  <c r="E95" i="8"/>
  <c r="E96" i="8" s="1"/>
  <c r="E95" i="10"/>
  <c r="E96" i="10" s="1"/>
  <c r="H101" i="10"/>
  <c r="H102" i="10" s="1"/>
  <c r="B101" i="10"/>
  <c r="B102" i="10" s="1"/>
  <c r="C61" i="21"/>
  <c r="G55" i="21"/>
  <c r="C62" i="8"/>
  <c r="C63" i="8" s="1"/>
  <c r="C55" i="19"/>
  <c r="K62" i="15"/>
  <c r="F94" i="19"/>
  <c r="D100" i="19"/>
  <c r="G94" i="19"/>
  <c r="I42" i="20"/>
  <c r="J55" i="20"/>
  <c r="K56" i="15"/>
  <c r="F61" i="19"/>
  <c r="A56" i="19"/>
  <c r="I94" i="19"/>
  <c r="E100" i="19"/>
  <c r="F100" i="19"/>
  <c r="B61" i="19"/>
  <c r="G48" i="20"/>
  <c r="D61" i="20"/>
  <c r="J61" i="20"/>
  <c r="E55" i="20"/>
  <c r="D95" i="8"/>
  <c r="D96" i="8" s="1"/>
  <c r="F95" i="8"/>
  <c r="F96" i="8" s="1"/>
  <c r="D42" i="20"/>
  <c r="I55" i="21"/>
  <c r="B55" i="21"/>
  <c r="H55" i="21"/>
  <c r="G61" i="21"/>
  <c r="H55" i="20"/>
  <c r="C61" i="20"/>
  <c r="H62" i="8"/>
  <c r="H63" i="8" s="1"/>
  <c r="I62" i="8"/>
  <c r="I63" i="8" s="1"/>
  <c r="D62" i="8"/>
  <c r="D63" i="8" s="1"/>
  <c r="E56" i="8"/>
  <c r="E57" i="8" s="1"/>
  <c r="D101" i="10"/>
  <c r="D102" i="10" s="1"/>
  <c r="B95" i="10"/>
  <c r="B96" i="10" s="1"/>
  <c r="F101" i="10"/>
  <c r="F102" i="10" s="1"/>
  <c r="D95" i="10"/>
  <c r="D96" i="10" s="1"/>
  <c r="F61" i="21"/>
  <c r="H61" i="21"/>
  <c r="C95" i="10"/>
  <c r="C96" i="10" s="1"/>
  <c r="E101" i="10"/>
  <c r="E102" i="10" s="1"/>
  <c r="H61" i="20"/>
  <c r="H56" i="8"/>
  <c r="H57" i="8" s="1"/>
  <c r="B56" i="8"/>
  <c r="B57" i="8" s="1"/>
  <c r="J62" i="8"/>
  <c r="J63" i="8" s="1"/>
  <c r="I95" i="10"/>
  <c r="I96" i="10" s="1"/>
  <c r="G95" i="10"/>
  <c r="G96" i="10" s="1"/>
  <c r="C101" i="10"/>
  <c r="C102" i="10" s="1"/>
  <c r="B62" i="8"/>
  <c r="B63" i="8" s="1"/>
  <c r="E48" i="20"/>
  <c r="B123" i="10"/>
  <c r="C123" i="10" s="1"/>
  <c r="D123" i="10" s="1"/>
  <c r="E123" i="10" s="1"/>
  <c r="F123" i="10" s="1"/>
  <c r="G123" i="10" s="1"/>
  <c r="H123" i="10" s="1"/>
  <c r="I123" i="10" s="1"/>
  <c r="AF38" i="13"/>
  <c r="AG38" i="13"/>
  <c r="AH38" i="13"/>
  <c r="AI38" i="13"/>
  <c r="AJ38" i="13"/>
  <c r="J55" i="19"/>
  <c r="A62" i="19"/>
  <c r="J61" i="19"/>
  <c r="I61" i="19"/>
  <c r="I55" i="19"/>
  <c r="C61" i="19"/>
  <c r="H55" i="19"/>
  <c r="F55" i="19"/>
  <c r="J48" i="20"/>
  <c r="G61" i="19"/>
  <c r="I48" i="20"/>
  <c r="H61" i="19"/>
  <c r="K56" i="7"/>
  <c r="C48" i="20"/>
  <c r="A43" i="20"/>
  <c r="B48" i="20"/>
  <c r="E55" i="19"/>
  <c r="E61" i="19"/>
  <c r="D55" i="19"/>
  <c r="D61" i="19"/>
  <c r="AN38" i="13"/>
  <c r="K127" i="3"/>
  <c r="B129" i="14"/>
  <c r="C129" i="14" s="1"/>
  <c r="D129" i="14" s="1"/>
  <c r="E129" i="14" s="1"/>
  <c r="F129" i="14" s="1"/>
  <c r="G129" i="14" s="1"/>
  <c r="H129" i="14" s="1"/>
  <c r="I129" i="14" s="1"/>
  <c r="J129" i="14" s="1"/>
  <c r="B123" i="14"/>
  <c r="C123" i="14" s="1"/>
  <c r="D123" i="14" s="1"/>
  <c r="E123" i="14" s="1"/>
  <c r="F123" i="14" s="1"/>
  <c r="G123" i="14" s="1"/>
  <c r="H123" i="14" s="1"/>
  <c r="I123" i="14" s="1"/>
  <c r="J123" i="14" s="1"/>
  <c r="K121" i="4"/>
  <c r="K127" i="4"/>
  <c r="K127" i="14"/>
  <c r="K121" i="14"/>
  <c r="B122" i="4"/>
  <c r="B122" i="3"/>
  <c r="B129" i="3" s="1"/>
  <c r="C129" i="3" s="1"/>
  <c r="D129" i="3" s="1"/>
  <c r="E129" i="3" s="1"/>
  <c r="F129" i="3" s="1"/>
  <c r="G129" i="3" s="1"/>
  <c r="H129" i="3" s="1"/>
  <c r="I129" i="3" s="1"/>
  <c r="J129" i="3" s="1"/>
  <c r="K121" i="3"/>
  <c r="B128" i="4"/>
  <c r="K127" i="15"/>
  <c r="B122" i="7"/>
  <c r="K121" i="7"/>
  <c r="K127" i="7"/>
  <c r="K127" i="6"/>
  <c r="B122" i="15"/>
  <c r="K121" i="15"/>
  <c r="B122" i="6"/>
  <c r="B129" i="6" s="1"/>
  <c r="C129" i="6" s="1"/>
  <c r="D129" i="6" s="1"/>
  <c r="E129" i="6" s="1"/>
  <c r="F129" i="6" s="1"/>
  <c r="G129" i="6" s="1"/>
  <c r="H129" i="6" s="1"/>
  <c r="I129" i="6" s="1"/>
  <c r="J129" i="6" s="1"/>
  <c r="K121" i="6"/>
  <c r="B128" i="7"/>
  <c r="A75" i="19"/>
  <c r="H74" i="19"/>
  <c r="D74" i="19"/>
  <c r="J74" i="19"/>
  <c r="B123" i="9"/>
  <c r="C123" i="9" s="1"/>
  <c r="D123" i="9" s="1"/>
  <c r="E123" i="9" s="1"/>
  <c r="F123" i="9" s="1"/>
  <c r="G123" i="9" s="1"/>
  <c r="H123" i="9" s="1"/>
  <c r="I123" i="9" s="1"/>
  <c r="J123" i="9" s="1"/>
  <c r="B129" i="9"/>
  <c r="C129" i="9" s="1"/>
  <c r="D129" i="9" s="1"/>
  <c r="E129" i="9" s="1"/>
  <c r="F129" i="9" s="1"/>
  <c r="G129" i="9" s="1"/>
  <c r="H129" i="9" s="1"/>
  <c r="I129" i="9" s="1"/>
  <c r="J129" i="9" s="1"/>
  <c r="B44" i="4"/>
  <c r="K43" i="4"/>
  <c r="K127" i="19"/>
  <c r="B128" i="19"/>
  <c r="B122" i="20"/>
  <c r="K121" i="20"/>
  <c r="B44" i="3"/>
  <c r="K43" i="3"/>
  <c r="B50" i="3"/>
  <c r="K49" i="3"/>
  <c r="B50" i="4"/>
  <c r="K49" i="4"/>
  <c r="B128" i="20"/>
  <c r="K127" i="20"/>
  <c r="B122" i="19"/>
  <c r="K121" i="19"/>
  <c r="B44" i="14"/>
  <c r="K43" i="14"/>
  <c r="B50" i="14"/>
  <c r="K49" i="14"/>
  <c r="AK38" i="13"/>
  <c r="AL38" i="13"/>
  <c r="AM38" i="13"/>
  <c r="K103" i="4"/>
  <c r="K102" i="4" s="1"/>
  <c r="O26" i="4" s="1"/>
  <c r="B97" i="6"/>
  <c r="C97" i="6" s="1"/>
  <c r="D97" i="6" s="1"/>
  <c r="K110" i="4"/>
  <c r="K97" i="4"/>
  <c r="K96" i="4" s="1"/>
  <c r="O22" i="4" s="1"/>
  <c r="G18" i="13" s="1"/>
  <c r="K116" i="4"/>
  <c r="K115" i="4" s="1"/>
  <c r="K73" i="19"/>
  <c r="N47" i="13" l="1"/>
  <c r="N45" i="13"/>
  <c r="E16" i="13" s="1"/>
  <c r="N46" i="13"/>
  <c r="N52" i="13"/>
  <c r="N43" i="13"/>
  <c r="N38" i="13"/>
  <c r="N51" i="13"/>
  <c r="N50" i="13"/>
  <c r="N48" i="13"/>
  <c r="N49" i="13"/>
  <c r="E24" i="13" s="1"/>
  <c r="N44" i="13"/>
  <c r="N53" i="13"/>
  <c r="E32" i="13" s="1"/>
  <c r="N41" i="13"/>
  <c r="N39" i="13"/>
  <c r="N42" i="13"/>
  <c r="N40" i="13"/>
  <c r="J123" i="10"/>
  <c r="K142" i="4"/>
  <c r="K141" i="4" s="1"/>
  <c r="O36" i="4" s="1"/>
  <c r="G32" i="13" s="1"/>
  <c r="O30" i="20"/>
  <c r="B90" i="7"/>
  <c r="C90" i="7" s="1"/>
  <c r="D90" i="7" s="1"/>
  <c r="E90" i="7" s="1"/>
  <c r="F90" i="7" s="1"/>
  <c r="G90" i="7" s="1"/>
  <c r="H90" i="7" s="1"/>
  <c r="I90" i="7" s="1"/>
  <c r="J90" i="7" s="1"/>
  <c r="B84" i="7"/>
  <c r="C84" i="7" s="1"/>
  <c r="D84" i="7" s="1"/>
  <c r="E84" i="7" s="1"/>
  <c r="F84" i="7" s="1"/>
  <c r="G84" i="7" s="1"/>
  <c r="H84" i="7" s="1"/>
  <c r="I84" i="7" s="1"/>
  <c r="J84" i="7" s="1"/>
  <c r="K88" i="7"/>
  <c r="K82" i="7"/>
  <c r="K136" i="21"/>
  <c r="K135" i="21" s="1"/>
  <c r="O8" i="21" s="1"/>
  <c r="K142" i="21"/>
  <c r="K141" i="21" s="1"/>
  <c r="O18" i="21" s="1"/>
  <c r="K136" i="15"/>
  <c r="K135" i="15" s="1"/>
  <c r="O36" i="15" s="1"/>
  <c r="K136" i="14"/>
  <c r="K135" i="14" s="1"/>
  <c r="O32" i="14" s="1"/>
  <c r="B142" i="7"/>
  <c r="C142" i="7" s="1"/>
  <c r="D142" i="7" s="1"/>
  <c r="E142" i="7" s="1"/>
  <c r="F142" i="7" s="1"/>
  <c r="G142" i="7" s="1"/>
  <c r="H142" i="7" s="1"/>
  <c r="I142" i="7" s="1"/>
  <c r="J142" i="7" s="1"/>
  <c r="K142" i="7" s="1"/>
  <c r="K141" i="7" s="1"/>
  <c r="O20" i="7" s="1"/>
  <c r="J129" i="10"/>
  <c r="K123" i="10" s="1"/>
  <c r="K122" i="10" s="1"/>
  <c r="O6" i="10" s="1"/>
  <c r="K142" i="15"/>
  <c r="K141" i="15" s="1"/>
  <c r="O28" i="15" s="1"/>
  <c r="K136" i="10"/>
  <c r="K135" i="10" s="1"/>
  <c r="O34" i="10" s="1"/>
  <c r="E30" i="13"/>
  <c r="K136" i="4"/>
  <c r="K135" i="4" s="1"/>
  <c r="O32" i="4" s="1"/>
  <c r="K142" i="10"/>
  <c r="K141" i="10" s="1"/>
  <c r="O16" i="10" s="1"/>
  <c r="B136" i="8"/>
  <c r="C136" i="8" s="1"/>
  <c r="D136" i="8" s="1"/>
  <c r="E136" i="8" s="1"/>
  <c r="F136" i="8" s="1"/>
  <c r="G136" i="8" s="1"/>
  <c r="H136" i="8" s="1"/>
  <c r="I136" i="8" s="1"/>
  <c r="J136" i="8" s="1"/>
  <c r="B142" i="8"/>
  <c r="C142" i="8" s="1"/>
  <c r="D142" i="8" s="1"/>
  <c r="E142" i="8" s="1"/>
  <c r="F142" i="8" s="1"/>
  <c r="G142" i="8" s="1"/>
  <c r="H142" i="8" s="1"/>
  <c r="I142" i="8" s="1"/>
  <c r="J142" i="8" s="1"/>
  <c r="B142" i="6"/>
  <c r="C142" i="6" s="1"/>
  <c r="D142" i="6" s="1"/>
  <c r="E142" i="6" s="1"/>
  <c r="F142" i="6" s="1"/>
  <c r="G142" i="6" s="1"/>
  <c r="H142" i="6" s="1"/>
  <c r="I142" i="6" s="1"/>
  <c r="J142" i="6" s="1"/>
  <c r="B136" i="6"/>
  <c r="C136" i="6" s="1"/>
  <c r="D136" i="6" s="1"/>
  <c r="E136" i="6" s="1"/>
  <c r="F136" i="6" s="1"/>
  <c r="G136" i="6" s="1"/>
  <c r="H136" i="6" s="1"/>
  <c r="I136" i="6" s="1"/>
  <c r="J136" i="6" s="1"/>
  <c r="B136" i="19"/>
  <c r="C136" i="19" s="1"/>
  <c r="D136" i="19" s="1"/>
  <c r="E136" i="19" s="1"/>
  <c r="F136" i="19" s="1"/>
  <c r="G136" i="19" s="1"/>
  <c r="H136" i="19" s="1"/>
  <c r="I136" i="19" s="1"/>
  <c r="J136" i="19" s="1"/>
  <c r="K136" i="19" s="1"/>
  <c r="K135" i="19" s="1"/>
  <c r="O18" i="19" s="1"/>
  <c r="O28" i="4"/>
  <c r="G24" i="13" s="1"/>
  <c r="B142" i="9"/>
  <c r="C142" i="9" s="1"/>
  <c r="D142" i="9" s="1"/>
  <c r="E142" i="9" s="1"/>
  <c r="F142" i="9" s="1"/>
  <c r="G142" i="9" s="1"/>
  <c r="H142" i="9" s="1"/>
  <c r="I142" i="9" s="1"/>
  <c r="J142" i="9" s="1"/>
  <c r="K142" i="9" s="1"/>
  <c r="K141" i="9" s="1"/>
  <c r="O28" i="9" s="1"/>
  <c r="K90" i="3"/>
  <c r="K89" i="3" s="1"/>
  <c r="O20" i="3" s="1"/>
  <c r="F16" i="13" s="1"/>
  <c r="E26" i="13"/>
  <c r="E28" i="13"/>
  <c r="E20" i="13"/>
  <c r="K84" i="4"/>
  <c r="K83" i="4" s="1"/>
  <c r="K90" i="4"/>
  <c r="K89" i="4" s="1"/>
  <c r="O20" i="4" s="1"/>
  <c r="G16" i="13" s="1"/>
  <c r="K84" i="3"/>
  <c r="K83" i="3" s="1"/>
  <c r="O18" i="3" s="1"/>
  <c r="F14" i="13" s="1"/>
  <c r="B45" i="7"/>
  <c r="C45" i="7" s="1"/>
  <c r="D45" i="7" s="1"/>
  <c r="E45" i="7" s="1"/>
  <c r="F45" i="7" s="1"/>
  <c r="G45" i="7" s="1"/>
  <c r="H45" i="7" s="1"/>
  <c r="I45" i="7" s="1"/>
  <c r="J45" i="7" s="1"/>
  <c r="B51" i="7"/>
  <c r="C51" i="7" s="1"/>
  <c r="D51" i="7" s="1"/>
  <c r="E51" i="7" s="1"/>
  <c r="F51" i="7" s="1"/>
  <c r="G51" i="7" s="1"/>
  <c r="H51" i="7" s="1"/>
  <c r="I51" i="7" s="1"/>
  <c r="J51" i="7" s="1"/>
  <c r="G77" i="14"/>
  <c r="H77" i="14" s="1"/>
  <c r="I77" i="14" s="1"/>
  <c r="J77" i="14" s="1"/>
  <c r="G71" i="14"/>
  <c r="H71" i="14" s="1"/>
  <c r="I71" i="14" s="1"/>
  <c r="J71" i="14" s="1"/>
  <c r="K116" i="14"/>
  <c r="K115" i="14" s="1"/>
  <c r="O24" i="14" s="1"/>
  <c r="K71" i="4"/>
  <c r="K70" i="4" s="1"/>
  <c r="O14" i="4" s="1"/>
  <c r="G10" i="13" s="1"/>
  <c r="K49" i="7"/>
  <c r="K43" i="7"/>
  <c r="K110" i="3"/>
  <c r="K109" i="3" s="1"/>
  <c r="O26" i="3" s="1"/>
  <c r="F22" i="13" s="1"/>
  <c r="K116" i="3"/>
  <c r="K115" i="3" s="1"/>
  <c r="O28" i="3" s="1"/>
  <c r="F24" i="13" s="1"/>
  <c r="K121" i="21"/>
  <c r="K77" i="4"/>
  <c r="K76" i="4" s="1"/>
  <c r="O18" i="4" s="1"/>
  <c r="G14" i="13" s="1"/>
  <c r="K127" i="21"/>
  <c r="K110" i="14"/>
  <c r="K109" i="14" s="1"/>
  <c r="O26" i="14" s="1"/>
  <c r="H22" i="13" s="1"/>
  <c r="B109" i="21"/>
  <c r="I101" i="20"/>
  <c r="I102" i="20" s="1"/>
  <c r="D95" i="20"/>
  <c r="D96" i="20" s="1"/>
  <c r="K90" i="14"/>
  <c r="K89" i="14" s="1"/>
  <c r="O16" i="14" s="1"/>
  <c r="H12" i="13" s="1"/>
  <c r="E114" i="19"/>
  <c r="E115" i="19" s="1"/>
  <c r="E75" i="20"/>
  <c r="E76" i="20" s="1"/>
  <c r="J101" i="20"/>
  <c r="J102" i="20" s="1"/>
  <c r="C95" i="20"/>
  <c r="C96" i="20" s="1"/>
  <c r="E97" i="6"/>
  <c r="F97" i="6" s="1"/>
  <c r="G97" i="6" s="1"/>
  <c r="H97" i="6" s="1"/>
  <c r="I97" i="6" s="1"/>
  <c r="J97" i="6" s="1"/>
  <c r="B95" i="20"/>
  <c r="B96" i="20" s="1"/>
  <c r="D101" i="20"/>
  <c r="D102" i="20" s="1"/>
  <c r="B101" i="20"/>
  <c r="B102" i="20" s="1"/>
  <c r="J95" i="20"/>
  <c r="J96" i="20" s="1"/>
  <c r="G75" i="20"/>
  <c r="G76" i="20" s="1"/>
  <c r="F69" i="20"/>
  <c r="F70" i="20" s="1"/>
  <c r="B75" i="20"/>
  <c r="B76" i="20" s="1"/>
  <c r="F108" i="19"/>
  <c r="F109" i="19" s="1"/>
  <c r="I96" i="20"/>
  <c r="K84" i="14"/>
  <c r="K83" i="14" s="1"/>
  <c r="O18" i="14" s="1"/>
  <c r="H14" i="13" s="1"/>
  <c r="F75" i="20"/>
  <c r="F76" i="20" s="1"/>
  <c r="D69" i="20"/>
  <c r="D70" i="20" s="1"/>
  <c r="I75" i="20"/>
  <c r="I76" i="20" s="1"/>
  <c r="H75" i="20"/>
  <c r="H76" i="20" s="1"/>
  <c r="B71" i="8"/>
  <c r="C71" i="8" s="1"/>
  <c r="D71" i="8" s="1"/>
  <c r="E71" i="8" s="1"/>
  <c r="F71" i="8" s="1"/>
  <c r="G71" i="8" s="1"/>
  <c r="H71" i="8" s="1"/>
  <c r="I71" i="8" s="1"/>
  <c r="J71" i="8" s="1"/>
  <c r="D75" i="20"/>
  <c r="D76" i="20" s="1"/>
  <c r="J75" i="20"/>
  <c r="H69" i="20"/>
  <c r="H70" i="20" s="1"/>
  <c r="G69" i="20"/>
  <c r="G70" i="20" s="1"/>
  <c r="K103" i="14"/>
  <c r="K102" i="14" s="1"/>
  <c r="O28" i="14" s="1"/>
  <c r="D49" i="21"/>
  <c r="D50" i="21" s="1"/>
  <c r="I69" i="20"/>
  <c r="I70" i="20" s="1"/>
  <c r="C75" i="20"/>
  <c r="C76" i="20" s="1"/>
  <c r="B84" i="9"/>
  <c r="C84" i="9" s="1"/>
  <c r="D84" i="9" s="1"/>
  <c r="E84" i="9" s="1"/>
  <c r="B51" i="10"/>
  <c r="C51" i="10" s="1"/>
  <c r="D51" i="10" s="1"/>
  <c r="E51" i="10" s="1"/>
  <c r="F51" i="10" s="1"/>
  <c r="G51" i="10" s="1"/>
  <c r="H51" i="10" s="1"/>
  <c r="I51" i="10" s="1"/>
  <c r="J51" i="10" s="1"/>
  <c r="J69" i="20"/>
  <c r="J70" i="20" s="1"/>
  <c r="K71" i="15"/>
  <c r="K70" i="15" s="1"/>
  <c r="O24" i="15" s="1"/>
  <c r="E62" i="21"/>
  <c r="E63" i="21" s="1"/>
  <c r="E69" i="20"/>
  <c r="E70" i="20" s="1"/>
  <c r="B45" i="10"/>
  <c r="C45" i="10" s="1"/>
  <c r="D45" i="10" s="1"/>
  <c r="E45" i="10" s="1"/>
  <c r="F45" i="10" s="1"/>
  <c r="G45" i="10" s="1"/>
  <c r="H45" i="10" s="1"/>
  <c r="I45" i="10" s="1"/>
  <c r="J45" i="10" s="1"/>
  <c r="B69" i="20"/>
  <c r="B70" i="20" s="1"/>
  <c r="C69" i="20"/>
  <c r="I62" i="20"/>
  <c r="I63" i="20" s="1"/>
  <c r="K97" i="14"/>
  <c r="K96" i="14" s="1"/>
  <c r="O22" i="14" s="1"/>
  <c r="K43" i="10"/>
  <c r="K100" i="20"/>
  <c r="C101" i="21"/>
  <c r="C102" i="21" s="1"/>
  <c r="G43" i="21"/>
  <c r="G44" i="21" s="1"/>
  <c r="K123" i="8"/>
  <c r="K122" i="8" s="1"/>
  <c r="O6" i="8" s="1"/>
  <c r="K97" i="15"/>
  <c r="K96" i="15" s="1"/>
  <c r="O10" i="15" s="1"/>
  <c r="K110" i="6"/>
  <c r="K109" i="6" s="1"/>
  <c r="O34" i="6" s="1"/>
  <c r="J30" i="13" s="1"/>
  <c r="D84" i="6"/>
  <c r="E84" i="6" s="1"/>
  <c r="F84" i="6" s="1"/>
  <c r="G84" i="6" s="1"/>
  <c r="H84" i="6" s="1"/>
  <c r="I84" i="6" s="1"/>
  <c r="J84" i="6" s="1"/>
  <c r="K64" i="4"/>
  <c r="K63" i="4" s="1"/>
  <c r="O12" i="4" s="1"/>
  <c r="G8" i="13" s="1"/>
  <c r="K71" i="3"/>
  <c r="K70" i="3" s="1"/>
  <c r="O14" i="3" s="1"/>
  <c r="F10" i="13" s="1"/>
  <c r="K64" i="3"/>
  <c r="K63" i="3" s="1"/>
  <c r="O12" i="3" s="1"/>
  <c r="F8" i="13" s="1"/>
  <c r="K94" i="20"/>
  <c r="E95" i="20"/>
  <c r="E96" i="20" s="1"/>
  <c r="H95" i="20"/>
  <c r="H96" i="20" s="1"/>
  <c r="F101" i="20"/>
  <c r="F102" i="20" s="1"/>
  <c r="H101" i="20"/>
  <c r="H102" i="20" s="1"/>
  <c r="C101" i="20"/>
  <c r="C102" i="20" s="1"/>
  <c r="E101" i="20"/>
  <c r="E102" i="20" s="1"/>
  <c r="G101" i="20"/>
  <c r="G102" i="20" s="1"/>
  <c r="F95" i="20"/>
  <c r="F96" i="20" s="1"/>
  <c r="G95" i="20"/>
  <c r="G96" i="20" s="1"/>
  <c r="B43" i="21"/>
  <c r="B44" i="21" s="1"/>
  <c r="J43" i="21"/>
  <c r="J44" i="21" s="1"/>
  <c r="I43" i="21"/>
  <c r="I44" i="21" s="1"/>
  <c r="F43" i="21"/>
  <c r="F44" i="21" s="1"/>
  <c r="I43" i="19"/>
  <c r="I44" i="19" s="1"/>
  <c r="J95" i="19"/>
  <c r="J96" i="19" s="1"/>
  <c r="H95" i="19"/>
  <c r="H96" i="19" s="1"/>
  <c r="H75" i="21"/>
  <c r="H76" i="21" s="1"/>
  <c r="G101" i="19"/>
  <c r="G102" i="19" s="1"/>
  <c r="J101" i="19"/>
  <c r="J102" i="19" s="1"/>
  <c r="G95" i="19"/>
  <c r="G96" i="19" s="1"/>
  <c r="K58" i="3"/>
  <c r="K57" i="3" s="1"/>
  <c r="O10" i="3" s="1"/>
  <c r="F6" i="13" s="1"/>
  <c r="C43" i="20"/>
  <c r="C44" i="20" s="1"/>
  <c r="E103" i="6"/>
  <c r="F103" i="6" s="1"/>
  <c r="G103" i="6" s="1"/>
  <c r="H103" i="6" s="1"/>
  <c r="I103" i="6" s="1"/>
  <c r="J103" i="6" s="1"/>
  <c r="G43" i="19"/>
  <c r="G44" i="19" s="1"/>
  <c r="K116" i="6"/>
  <c r="K115" i="6" s="1"/>
  <c r="O18" i="6" s="1"/>
  <c r="D49" i="19"/>
  <c r="D50" i="19" s="1"/>
  <c r="J62" i="20"/>
  <c r="J63" i="20" s="1"/>
  <c r="F43" i="19"/>
  <c r="F44" i="19" s="1"/>
  <c r="K49" i="10"/>
  <c r="F49" i="20"/>
  <c r="F50" i="20" s="1"/>
  <c r="B49" i="20"/>
  <c r="B50" i="20" s="1"/>
  <c r="B43" i="20"/>
  <c r="B44" i="20" s="1"/>
  <c r="E49" i="19"/>
  <c r="E50" i="19" s="1"/>
  <c r="E88" i="20"/>
  <c r="E89" i="20" s="1"/>
  <c r="F49" i="19"/>
  <c r="F50" i="19" s="1"/>
  <c r="B49" i="19"/>
  <c r="B50" i="19" s="1"/>
  <c r="E43" i="19"/>
  <c r="E44" i="19" s="1"/>
  <c r="H43" i="19"/>
  <c r="H44" i="19" s="1"/>
  <c r="J43" i="19"/>
  <c r="J44" i="19" s="1"/>
  <c r="G49" i="19"/>
  <c r="G50" i="19" s="1"/>
  <c r="J49" i="19"/>
  <c r="J50" i="19" s="1"/>
  <c r="C43" i="19"/>
  <c r="C44" i="19" s="1"/>
  <c r="I49" i="19"/>
  <c r="I50" i="19" s="1"/>
  <c r="B43" i="19"/>
  <c r="B44" i="19" s="1"/>
  <c r="C49" i="19"/>
  <c r="C50" i="19" s="1"/>
  <c r="H49" i="19"/>
  <c r="H50" i="19" s="1"/>
  <c r="D43" i="19"/>
  <c r="D44" i="19" s="1"/>
  <c r="H62" i="20"/>
  <c r="H63" i="20" s="1"/>
  <c r="K64" i="7"/>
  <c r="K63" i="7" s="1"/>
  <c r="G75" i="21"/>
  <c r="G76" i="21" s="1"/>
  <c r="D88" i="19"/>
  <c r="D89" i="19" s="1"/>
  <c r="K77" i="6"/>
  <c r="K76" i="6" s="1"/>
  <c r="D108" i="19"/>
  <c r="D109" i="19" s="1"/>
  <c r="I114" i="19"/>
  <c r="I115" i="19" s="1"/>
  <c r="G114" i="19"/>
  <c r="G115" i="19" s="1"/>
  <c r="C114" i="19"/>
  <c r="C115" i="19" s="1"/>
  <c r="K88" i="9"/>
  <c r="B64" i="14"/>
  <c r="C64" i="14" s="1"/>
  <c r="D64" i="14" s="1"/>
  <c r="E64" i="14" s="1"/>
  <c r="F64" i="14" s="1"/>
  <c r="G64" i="14" s="1"/>
  <c r="H64" i="14" s="1"/>
  <c r="I64" i="14" s="1"/>
  <c r="J64" i="14" s="1"/>
  <c r="K64" i="14" s="1"/>
  <c r="K63" i="14" s="1"/>
  <c r="O8" i="14" s="1"/>
  <c r="H4" i="13" s="1"/>
  <c r="K75" i="8"/>
  <c r="K82" i="9"/>
  <c r="K107" i="19"/>
  <c r="B62" i="19"/>
  <c r="B63" i="19" s="1"/>
  <c r="G62" i="19"/>
  <c r="G63" i="19" s="1"/>
  <c r="H62" i="21"/>
  <c r="H63" i="21" s="1"/>
  <c r="C49" i="20"/>
  <c r="C50" i="20" s="1"/>
  <c r="G56" i="21"/>
  <c r="G57" i="21" s="1"/>
  <c r="G49" i="20"/>
  <c r="G50" i="20" s="1"/>
  <c r="H62" i="19"/>
  <c r="H63" i="19" s="1"/>
  <c r="D114" i="19"/>
  <c r="D115" i="19" s="1"/>
  <c r="H114" i="19"/>
  <c r="H115" i="19" s="1"/>
  <c r="E114" i="21"/>
  <c r="E115" i="21" s="1"/>
  <c r="I108" i="19"/>
  <c r="I109" i="19" s="1"/>
  <c r="H108" i="19"/>
  <c r="H109" i="19" s="1"/>
  <c r="C108" i="19"/>
  <c r="C109" i="19" s="1"/>
  <c r="J114" i="19"/>
  <c r="J115" i="19" s="1"/>
  <c r="B108" i="19"/>
  <c r="B109" i="19" s="1"/>
  <c r="J108" i="19"/>
  <c r="J109" i="19" s="1"/>
  <c r="E108" i="19"/>
  <c r="E109" i="19" s="1"/>
  <c r="C108" i="21"/>
  <c r="C109" i="21" s="1"/>
  <c r="G108" i="19"/>
  <c r="G109" i="19" s="1"/>
  <c r="B114" i="19"/>
  <c r="B115" i="19" s="1"/>
  <c r="F114" i="19"/>
  <c r="F115" i="19" s="1"/>
  <c r="F89" i="9"/>
  <c r="D69" i="21"/>
  <c r="D70" i="21" s="1"/>
  <c r="G108" i="21"/>
  <c r="G109" i="21" s="1"/>
  <c r="C114" i="21"/>
  <c r="C115" i="21" s="1"/>
  <c r="D108" i="21"/>
  <c r="D109" i="21" s="1"/>
  <c r="J49" i="20"/>
  <c r="J50" i="20" s="1"/>
  <c r="D49" i="20"/>
  <c r="D50" i="20" s="1"/>
  <c r="E49" i="20"/>
  <c r="E50" i="20" s="1"/>
  <c r="D43" i="20"/>
  <c r="D44" i="20" s="1"/>
  <c r="E43" i="20"/>
  <c r="E44" i="20" s="1"/>
  <c r="G43" i="20"/>
  <c r="G44" i="20" s="1"/>
  <c r="I43" i="20"/>
  <c r="I44" i="20" s="1"/>
  <c r="H43" i="20"/>
  <c r="H44" i="20" s="1"/>
  <c r="J43" i="20"/>
  <c r="J44" i="20" s="1"/>
  <c r="E62" i="19"/>
  <c r="E63" i="19" s="1"/>
  <c r="F43" i="20"/>
  <c r="F44" i="20" s="1"/>
  <c r="H49" i="20"/>
  <c r="H50" i="20" s="1"/>
  <c r="I49" i="20"/>
  <c r="I50" i="20" s="1"/>
  <c r="B64" i="10"/>
  <c r="C64" i="10" s="1"/>
  <c r="D64" i="10" s="1"/>
  <c r="E64" i="10" s="1"/>
  <c r="F64" i="10" s="1"/>
  <c r="G64" i="10" s="1"/>
  <c r="K56" i="10"/>
  <c r="F95" i="19"/>
  <c r="F96" i="19" s="1"/>
  <c r="G88" i="19"/>
  <c r="G89" i="19" s="1"/>
  <c r="D95" i="19"/>
  <c r="D96" i="19" s="1"/>
  <c r="I101" i="19"/>
  <c r="I102" i="19" s="1"/>
  <c r="D101" i="19"/>
  <c r="D102" i="19" s="1"/>
  <c r="B95" i="19"/>
  <c r="B96" i="19" s="1"/>
  <c r="H57" i="10"/>
  <c r="B101" i="19"/>
  <c r="B102" i="19" s="1"/>
  <c r="H101" i="19"/>
  <c r="H102" i="19" s="1"/>
  <c r="C101" i="19"/>
  <c r="C102" i="19" s="1"/>
  <c r="F101" i="19"/>
  <c r="F102" i="19" s="1"/>
  <c r="E95" i="19"/>
  <c r="E96" i="19" s="1"/>
  <c r="E101" i="19"/>
  <c r="E102" i="19" s="1"/>
  <c r="I95" i="19"/>
  <c r="I96" i="19" s="1"/>
  <c r="C95" i="19"/>
  <c r="C96" i="19" s="1"/>
  <c r="K62" i="10"/>
  <c r="B51" i="9"/>
  <c r="C51" i="9" s="1"/>
  <c r="D51" i="9" s="1"/>
  <c r="E51" i="9" s="1"/>
  <c r="F51" i="9" s="1"/>
  <c r="G51" i="9" s="1"/>
  <c r="H51" i="9" s="1"/>
  <c r="I51" i="9" s="1"/>
  <c r="J51" i="9" s="1"/>
  <c r="J62" i="19"/>
  <c r="J63" i="19" s="1"/>
  <c r="K51" i="6"/>
  <c r="K50" i="6" s="1"/>
  <c r="O6" i="6" s="1"/>
  <c r="E114" i="20"/>
  <c r="E115" i="20" s="1"/>
  <c r="K71" i="6"/>
  <c r="K70" i="6" s="1"/>
  <c r="O24" i="6" s="1"/>
  <c r="K75" i="9"/>
  <c r="K69" i="9"/>
  <c r="F88" i="19"/>
  <c r="F89" i="19" s="1"/>
  <c r="K68" i="20"/>
  <c r="K74" i="20"/>
  <c r="B51" i="8"/>
  <c r="C51" i="8" s="1"/>
  <c r="D51" i="8" s="1"/>
  <c r="E51" i="8" s="1"/>
  <c r="F51" i="8" s="1"/>
  <c r="G51" i="8" s="1"/>
  <c r="H51" i="8" s="1"/>
  <c r="I51" i="8" s="1"/>
  <c r="J51" i="8" s="1"/>
  <c r="B114" i="21"/>
  <c r="B115" i="21" s="1"/>
  <c r="D114" i="21"/>
  <c r="D115" i="21" s="1"/>
  <c r="B58" i="10"/>
  <c r="C58" i="10" s="1"/>
  <c r="D58" i="10" s="1"/>
  <c r="E58" i="10" s="1"/>
  <c r="F58" i="10" s="1"/>
  <c r="G58" i="10" s="1"/>
  <c r="G114" i="21"/>
  <c r="I114" i="21"/>
  <c r="I115" i="21" s="1"/>
  <c r="F108" i="21"/>
  <c r="F109" i="21" s="1"/>
  <c r="E108" i="21"/>
  <c r="E109" i="21" s="1"/>
  <c r="J108" i="21"/>
  <c r="J109" i="21" s="1"/>
  <c r="C108" i="20"/>
  <c r="C109" i="20" s="1"/>
  <c r="H114" i="21"/>
  <c r="H115" i="21" s="1"/>
  <c r="I108" i="21"/>
  <c r="F114" i="21"/>
  <c r="F115" i="21" s="1"/>
  <c r="J114" i="21"/>
  <c r="J115" i="21" s="1"/>
  <c r="H108" i="21"/>
  <c r="H109" i="21" s="1"/>
  <c r="K84" i="15"/>
  <c r="K83" i="15" s="1"/>
  <c r="O8" i="15" s="1"/>
  <c r="K113" i="21"/>
  <c r="K48" i="19"/>
  <c r="D101" i="21"/>
  <c r="D102" i="21" s="1"/>
  <c r="B77" i="8"/>
  <c r="C77" i="8" s="1"/>
  <c r="D77" i="8" s="1"/>
  <c r="E77" i="8" s="1"/>
  <c r="F77" i="8" s="1"/>
  <c r="G77" i="8" s="1"/>
  <c r="H77" i="8" s="1"/>
  <c r="I77" i="8" s="1"/>
  <c r="J77" i="8" s="1"/>
  <c r="F95" i="21"/>
  <c r="F96" i="21" s="1"/>
  <c r="B95" i="21"/>
  <c r="B96" i="21" s="1"/>
  <c r="K69" i="8"/>
  <c r="I95" i="21"/>
  <c r="I96" i="21" s="1"/>
  <c r="H95" i="21"/>
  <c r="H96" i="21" s="1"/>
  <c r="G95" i="21"/>
  <c r="G96" i="21" s="1"/>
  <c r="B56" i="19"/>
  <c r="B57" i="19" s="1"/>
  <c r="I56" i="19"/>
  <c r="I57" i="19" s="1"/>
  <c r="G56" i="19"/>
  <c r="G57" i="19" s="1"/>
  <c r="J56" i="19"/>
  <c r="J57" i="19" s="1"/>
  <c r="G62" i="20"/>
  <c r="G63" i="20" s="1"/>
  <c r="D56" i="19"/>
  <c r="D57" i="19" s="1"/>
  <c r="E43" i="21"/>
  <c r="E44" i="21" s="1"/>
  <c r="H43" i="21"/>
  <c r="H44" i="21" s="1"/>
  <c r="B49" i="21"/>
  <c r="B50" i="21" s="1"/>
  <c r="H49" i="21"/>
  <c r="H50" i="21" s="1"/>
  <c r="E56" i="20"/>
  <c r="E57" i="20" s="1"/>
  <c r="E56" i="19"/>
  <c r="E57" i="19" s="1"/>
  <c r="F56" i="19"/>
  <c r="F57" i="19" s="1"/>
  <c r="C56" i="19"/>
  <c r="C57" i="19" s="1"/>
  <c r="D62" i="19"/>
  <c r="D63" i="19" s="1"/>
  <c r="B56" i="20"/>
  <c r="B57" i="20" s="1"/>
  <c r="G56" i="20"/>
  <c r="G57" i="20" s="1"/>
  <c r="G49" i="21"/>
  <c r="G50" i="21" s="1"/>
  <c r="F49" i="21"/>
  <c r="F50" i="21" s="1"/>
  <c r="D43" i="21"/>
  <c r="D44" i="21" s="1"/>
  <c r="I49" i="21"/>
  <c r="I50" i="21" s="1"/>
  <c r="K77" i="15"/>
  <c r="K76" i="15" s="1"/>
  <c r="O32" i="15" s="1"/>
  <c r="I62" i="19"/>
  <c r="I63" i="19" s="1"/>
  <c r="C62" i="19"/>
  <c r="C63" i="19" s="1"/>
  <c r="F62" i="19"/>
  <c r="F63" i="19" s="1"/>
  <c r="H56" i="19"/>
  <c r="H57" i="19" s="1"/>
  <c r="J49" i="21"/>
  <c r="J50" i="21" s="1"/>
  <c r="C49" i="21"/>
  <c r="C50" i="21" s="1"/>
  <c r="E49" i="21"/>
  <c r="E50" i="21" s="1"/>
  <c r="C43" i="21"/>
  <c r="C44" i="21" s="1"/>
  <c r="K68" i="19"/>
  <c r="B103" i="9"/>
  <c r="C103" i="9" s="1"/>
  <c r="D103" i="9" s="1"/>
  <c r="E103" i="9" s="1"/>
  <c r="F103" i="9" s="1"/>
  <c r="G103" i="9" s="1"/>
  <c r="H103" i="9" s="1"/>
  <c r="I103" i="9" s="1"/>
  <c r="J103" i="9" s="1"/>
  <c r="B90" i="9"/>
  <c r="C90" i="9" s="1"/>
  <c r="D90" i="9" s="1"/>
  <c r="E90" i="9" s="1"/>
  <c r="B58" i="9"/>
  <c r="C58" i="9" s="1"/>
  <c r="D58" i="9" s="1"/>
  <c r="E58" i="9" s="1"/>
  <c r="F58" i="9" s="1"/>
  <c r="G58" i="9" s="1"/>
  <c r="H58" i="9" s="1"/>
  <c r="I58" i="9" s="1"/>
  <c r="J58" i="9" s="1"/>
  <c r="B116" i="9"/>
  <c r="C116" i="9" s="1"/>
  <c r="D116" i="9" s="1"/>
  <c r="E116" i="9" s="1"/>
  <c r="F116" i="9" s="1"/>
  <c r="G116" i="9" s="1"/>
  <c r="H116" i="9" s="1"/>
  <c r="I116" i="9" s="1"/>
  <c r="J116" i="9" s="1"/>
  <c r="B97" i="9"/>
  <c r="C97" i="9" s="1"/>
  <c r="D97" i="9" s="1"/>
  <c r="E97" i="9" s="1"/>
  <c r="F97" i="9" s="1"/>
  <c r="G97" i="9" s="1"/>
  <c r="H97" i="9" s="1"/>
  <c r="I97" i="9" s="1"/>
  <c r="J97" i="9" s="1"/>
  <c r="B110" i="10"/>
  <c r="C110" i="10" s="1"/>
  <c r="D110" i="10" s="1"/>
  <c r="E110" i="10" s="1"/>
  <c r="F110" i="10" s="1"/>
  <c r="G110" i="10" s="1"/>
  <c r="H110" i="10" s="1"/>
  <c r="I110" i="10" s="1"/>
  <c r="J110" i="10" s="1"/>
  <c r="K114" i="9"/>
  <c r="B77" i="9"/>
  <c r="C77" i="9" s="1"/>
  <c r="D77" i="9" s="1"/>
  <c r="E77" i="9" s="1"/>
  <c r="F77" i="9" s="1"/>
  <c r="G77" i="9" s="1"/>
  <c r="H77" i="9" s="1"/>
  <c r="I77" i="9" s="1"/>
  <c r="J77" i="9" s="1"/>
  <c r="B110" i="9"/>
  <c r="C110" i="9" s="1"/>
  <c r="D110" i="9" s="1"/>
  <c r="E110" i="9" s="1"/>
  <c r="F110" i="9" s="1"/>
  <c r="G110" i="9" s="1"/>
  <c r="H110" i="9" s="1"/>
  <c r="I110" i="9" s="1"/>
  <c r="J110" i="9" s="1"/>
  <c r="B71" i="9"/>
  <c r="C71" i="9" s="1"/>
  <c r="D71" i="9" s="1"/>
  <c r="E71" i="9" s="1"/>
  <c r="F71" i="9" s="1"/>
  <c r="G71" i="9" s="1"/>
  <c r="H71" i="9" s="1"/>
  <c r="I71" i="9" s="1"/>
  <c r="J71" i="9" s="1"/>
  <c r="B45" i="9"/>
  <c r="C45" i="9" s="1"/>
  <c r="D45" i="9" s="1"/>
  <c r="E45" i="9" s="1"/>
  <c r="F45" i="9" s="1"/>
  <c r="G45" i="9" s="1"/>
  <c r="H45" i="9" s="1"/>
  <c r="I45" i="9" s="1"/>
  <c r="J45" i="9" s="1"/>
  <c r="B64" i="9"/>
  <c r="C64" i="9" s="1"/>
  <c r="D64" i="9" s="1"/>
  <c r="E64" i="9" s="1"/>
  <c r="F64" i="9" s="1"/>
  <c r="G64" i="9" s="1"/>
  <c r="H64" i="9" s="1"/>
  <c r="I64" i="9" s="1"/>
  <c r="J64" i="9" s="1"/>
  <c r="K75" i="10"/>
  <c r="K69" i="10"/>
  <c r="K43" i="8"/>
  <c r="B58" i="8"/>
  <c r="C58" i="8" s="1"/>
  <c r="D58" i="8" s="1"/>
  <c r="E58" i="8" s="1"/>
  <c r="F58" i="8" s="1"/>
  <c r="G58" i="8" s="1"/>
  <c r="H58" i="8" s="1"/>
  <c r="I58" i="8" s="1"/>
  <c r="J58" i="8" s="1"/>
  <c r="B45" i="8"/>
  <c r="C45" i="8" s="1"/>
  <c r="D45" i="8" s="1"/>
  <c r="E45" i="8" s="1"/>
  <c r="F45" i="8" s="1"/>
  <c r="G45" i="8" s="1"/>
  <c r="H45" i="8" s="1"/>
  <c r="I45" i="8" s="1"/>
  <c r="J45" i="8" s="1"/>
  <c r="K108" i="10"/>
  <c r="K82" i="10"/>
  <c r="I88" i="19"/>
  <c r="I89" i="19" s="1"/>
  <c r="H88" i="20"/>
  <c r="H89" i="20" s="1"/>
  <c r="F82" i="19"/>
  <c r="F83" i="19" s="1"/>
  <c r="H82" i="20"/>
  <c r="H83" i="20" s="1"/>
  <c r="I88" i="20"/>
  <c r="I89" i="20" s="1"/>
  <c r="J88" i="20"/>
  <c r="J89" i="20" s="1"/>
  <c r="G89" i="20"/>
  <c r="E82" i="19"/>
  <c r="E83" i="19" s="1"/>
  <c r="B82" i="20"/>
  <c r="B83" i="20" s="1"/>
  <c r="K108" i="9"/>
  <c r="B88" i="19"/>
  <c r="B89" i="19" s="1"/>
  <c r="E88" i="19"/>
  <c r="E89" i="19" s="1"/>
  <c r="H88" i="19"/>
  <c r="H89" i="19" s="1"/>
  <c r="J82" i="20"/>
  <c r="J83" i="20" s="1"/>
  <c r="E82" i="20"/>
  <c r="E83" i="20" s="1"/>
  <c r="K90" i="15"/>
  <c r="K89" i="15" s="1"/>
  <c r="K56" i="9"/>
  <c r="K49" i="8"/>
  <c r="B103" i="8"/>
  <c r="C103" i="8" s="1"/>
  <c r="D103" i="8" s="1"/>
  <c r="E103" i="8" s="1"/>
  <c r="F103" i="8" s="1"/>
  <c r="G103" i="8" s="1"/>
  <c r="H103" i="8" s="1"/>
  <c r="I103" i="8" s="1"/>
  <c r="J103" i="8" s="1"/>
  <c r="B97" i="8"/>
  <c r="C97" i="8" s="1"/>
  <c r="D97" i="8" s="1"/>
  <c r="E97" i="8" s="1"/>
  <c r="F97" i="8" s="1"/>
  <c r="G97" i="8" s="1"/>
  <c r="H97" i="8" s="1"/>
  <c r="I97" i="8" s="1"/>
  <c r="J97" i="8" s="1"/>
  <c r="C62" i="20"/>
  <c r="C63" i="20" s="1"/>
  <c r="J56" i="20"/>
  <c r="J57" i="20" s="1"/>
  <c r="C56" i="20"/>
  <c r="C57" i="20" s="1"/>
  <c r="F62" i="20"/>
  <c r="F63" i="20" s="1"/>
  <c r="D56" i="21"/>
  <c r="D57" i="21" s="1"/>
  <c r="J62" i="21"/>
  <c r="J63" i="21" s="1"/>
  <c r="G62" i="21"/>
  <c r="G63" i="21" s="1"/>
  <c r="B62" i="20"/>
  <c r="B63" i="20" s="1"/>
  <c r="B116" i="10"/>
  <c r="C116" i="10" s="1"/>
  <c r="D116" i="10" s="1"/>
  <c r="E116" i="10" s="1"/>
  <c r="F116" i="10" s="1"/>
  <c r="G116" i="10" s="1"/>
  <c r="H116" i="10" s="1"/>
  <c r="I116" i="10" s="1"/>
  <c r="J116" i="10" s="1"/>
  <c r="F62" i="21"/>
  <c r="F63" i="21" s="1"/>
  <c r="E56" i="21"/>
  <c r="E57" i="21" s="1"/>
  <c r="I56" i="21"/>
  <c r="I57" i="21" s="1"/>
  <c r="E62" i="20"/>
  <c r="E63" i="20" s="1"/>
  <c r="H56" i="20"/>
  <c r="H57" i="20" s="1"/>
  <c r="D56" i="20"/>
  <c r="D57" i="20" s="1"/>
  <c r="F56" i="20"/>
  <c r="F57" i="20" s="1"/>
  <c r="I56" i="20"/>
  <c r="I57" i="20" s="1"/>
  <c r="D62" i="20"/>
  <c r="D63" i="20" s="1"/>
  <c r="I62" i="21"/>
  <c r="I63" i="21" s="1"/>
  <c r="B84" i="8"/>
  <c r="C84" i="8" s="1"/>
  <c r="D84" i="8" s="1"/>
  <c r="E84" i="8" s="1"/>
  <c r="F84" i="8" s="1"/>
  <c r="G84" i="8" s="1"/>
  <c r="H84" i="8" s="1"/>
  <c r="I84" i="8" s="1"/>
  <c r="J84" i="8" s="1"/>
  <c r="B90" i="10"/>
  <c r="C90" i="10" s="1"/>
  <c r="D90" i="10" s="1"/>
  <c r="E90" i="10" s="1"/>
  <c r="F90" i="10" s="1"/>
  <c r="G90" i="10" s="1"/>
  <c r="H90" i="10" s="1"/>
  <c r="I90" i="10" s="1"/>
  <c r="J90" i="10" s="1"/>
  <c r="B84" i="10"/>
  <c r="C84" i="10" s="1"/>
  <c r="D84" i="10" s="1"/>
  <c r="E84" i="10" s="1"/>
  <c r="F84" i="10" s="1"/>
  <c r="G84" i="10" s="1"/>
  <c r="H84" i="10" s="1"/>
  <c r="I84" i="10" s="1"/>
  <c r="J84" i="10" s="1"/>
  <c r="K94" i="21"/>
  <c r="K100" i="21"/>
  <c r="F69" i="21"/>
  <c r="F70" i="21" s="1"/>
  <c r="K81" i="20"/>
  <c r="K48" i="21"/>
  <c r="K113" i="19"/>
  <c r="K61" i="21"/>
  <c r="B71" i="10"/>
  <c r="C71" i="10" s="1"/>
  <c r="D71" i="10" s="1"/>
  <c r="E71" i="10" s="1"/>
  <c r="F71" i="10" s="1"/>
  <c r="G71" i="10" s="1"/>
  <c r="H71" i="10" s="1"/>
  <c r="I71" i="10" s="1"/>
  <c r="J71" i="10" s="1"/>
  <c r="B77" i="10"/>
  <c r="C77" i="10" s="1"/>
  <c r="D77" i="10" s="1"/>
  <c r="E77" i="10" s="1"/>
  <c r="F77" i="10" s="1"/>
  <c r="G77" i="10" s="1"/>
  <c r="H77" i="10" s="1"/>
  <c r="I77" i="10" s="1"/>
  <c r="J77" i="10" s="1"/>
  <c r="B90" i="8"/>
  <c r="C90" i="8" s="1"/>
  <c r="D90" i="8" s="1"/>
  <c r="E90" i="8" s="1"/>
  <c r="F90" i="8" s="1"/>
  <c r="G90" i="8" s="1"/>
  <c r="H90" i="8" s="1"/>
  <c r="I90" i="8" s="1"/>
  <c r="J90" i="8" s="1"/>
  <c r="J75" i="21"/>
  <c r="J76" i="21" s="1"/>
  <c r="G69" i="21"/>
  <c r="G70" i="21" s="1"/>
  <c r="I75" i="21"/>
  <c r="I76" i="21" s="1"/>
  <c r="J69" i="21"/>
  <c r="J70" i="21" s="1"/>
  <c r="H108" i="20"/>
  <c r="H109" i="20" s="1"/>
  <c r="K114" i="10"/>
  <c r="J95" i="21"/>
  <c r="J96" i="21" s="1"/>
  <c r="J101" i="21"/>
  <c r="J102" i="21" s="1"/>
  <c r="E95" i="21"/>
  <c r="E96" i="21" s="1"/>
  <c r="K49" i="9"/>
  <c r="K110" i="15"/>
  <c r="K109" i="15" s="1"/>
  <c r="O34" i="15" s="1"/>
  <c r="L30" i="13" s="1"/>
  <c r="K42" i="19"/>
  <c r="D90" i="6"/>
  <c r="E90" i="6" s="1"/>
  <c r="F90" i="6" s="1"/>
  <c r="G90" i="6" s="1"/>
  <c r="H90" i="6" s="1"/>
  <c r="I90" i="6" s="1"/>
  <c r="J90" i="6" s="1"/>
  <c r="K95" i="9"/>
  <c r="H69" i="21"/>
  <c r="H70" i="21" s="1"/>
  <c r="C75" i="21"/>
  <c r="C76" i="21" s="1"/>
  <c r="D75" i="21"/>
  <c r="D76" i="21" s="1"/>
  <c r="F75" i="21"/>
  <c r="F76" i="21" s="1"/>
  <c r="E75" i="21"/>
  <c r="E76" i="21" s="1"/>
  <c r="B75" i="21"/>
  <c r="B76" i="21" s="1"/>
  <c r="B108" i="20"/>
  <c r="B109" i="20" s="1"/>
  <c r="H101" i="21"/>
  <c r="H102" i="21" s="1"/>
  <c r="C95" i="21"/>
  <c r="C96" i="21" s="1"/>
  <c r="F101" i="21"/>
  <c r="F102" i="21" s="1"/>
  <c r="K56" i="8"/>
  <c r="B101" i="21"/>
  <c r="B102" i="21" s="1"/>
  <c r="D95" i="21"/>
  <c r="D96" i="21" s="1"/>
  <c r="K43" i="9"/>
  <c r="K42" i="21"/>
  <c r="E69" i="21"/>
  <c r="E70" i="21" s="1"/>
  <c r="C69" i="21"/>
  <c r="C70" i="21" s="1"/>
  <c r="B69" i="21"/>
  <c r="B70" i="21" s="1"/>
  <c r="K101" i="9"/>
  <c r="I69" i="21"/>
  <c r="I70" i="21" s="1"/>
  <c r="G101" i="21"/>
  <c r="G102" i="21" s="1"/>
  <c r="I101" i="21"/>
  <c r="I102" i="21" s="1"/>
  <c r="E101" i="21"/>
  <c r="E102" i="21" s="1"/>
  <c r="K87" i="20"/>
  <c r="K64" i="15"/>
  <c r="K63" i="15" s="1"/>
  <c r="O6" i="15" s="1"/>
  <c r="K58" i="15"/>
  <c r="K57" i="15" s="1"/>
  <c r="O22" i="15" s="1"/>
  <c r="K100" i="19"/>
  <c r="K107" i="21"/>
  <c r="D62" i="21"/>
  <c r="D63" i="21" s="1"/>
  <c r="B56" i="21"/>
  <c r="B57" i="21" s="1"/>
  <c r="J56" i="21"/>
  <c r="J57" i="21" s="1"/>
  <c r="C56" i="21"/>
  <c r="C57" i="21" s="1"/>
  <c r="C62" i="21"/>
  <c r="C63" i="21" s="1"/>
  <c r="H56" i="21"/>
  <c r="H57" i="21" s="1"/>
  <c r="F56" i="21"/>
  <c r="F57" i="21" s="1"/>
  <c r="B62" i="21"/>
  <c r="B63" i="21" s="1"/>
  <c r="B51" i="15"/>
  <c r="C51" i="15" s="1"/>
  <c r="D51" i="15" s="1"/>
  <c r="E51" i="15" s="1"/>
  <c r="F51" i="15" s="1"/>
  <c r="G51" i="15" s="1"/>
  <c r="H51" i="15" s="1"/>
  <c r="I51" i="15" s="1"/>
  <c r="J51" i="15" s="1"/>
  <c r="B45" i="15"/>
  <c r="C45" i="15" s="1"/>
  <c r="D45" i="15" s="1"/>
  <c r="E45" i="15" s="1"/>
  <c r="F45" i="15" s="1"/>
  <c r="G45" i="15" s="1"/>
  <c r="H45" i="15" s="1"/>
  <c r="I45" i="15" s="1"/>
  <c r="J45" i="15" s="1"/>
  <c r="F108" i="20"/>
  <c r="F109" i="20" s="1"/>
  <c r="K82" i="21"/>
  <c r="K116" i="15"/>
  <c r="K115" i="15" s="1"/>
  <c r="O26" i="15" s="1"/>
  <c r="F82" i="20"/>
  <c r="F83" i="20" s="1"/>
  <c r="G82" i="20"/>
  <c r="G83" i="20" s="1"/>
  <c r="C82" i="20"/>
  <c r="C83" i="20" s="1"/>
  <c r="D82" i="20"/>
  <c r="D83" i="20" s="1"/>
  <c r="D88" i="20"/>
  <c r="D89" i="20" s="1"/>
  <c r="I82" i="20"/>
  <c r="I83" i="20" s="1"/>
  <c r="C88" i="20"/>
  <c r="C89" i="20" s="1"/>
  <c r="F88" i="20"/>
  <c r="F89" i="20" s="1"/>
  <c r="B88" i="20"/>
  <c r="B89" i="20" s="1"/>
  <c r="K62" i="9"/>
  <c r="H114" i="20"/>
  <c r="H115" i="20" s="1"/>
  <c r="J108" i="20"/>
  <c r="J109" i="20" s="1"/>
  <c r="F114" i="20"/>
  <c r="F115" i="20" s="1"/>
  <c r="G114" i="20"/>
  <c r="G115" i="20" s="1"/>
  <c r="D114" i="20"/>
  <c r="D115" i="20" s="1"/>
  <c r="D108" i="20"/>
  <c r="D109" i="20" s="1"/>
  <c r="I71" i="7"/>
  <c r="J71" i="7" s="1"/>
  <c r="I108" i="20"/>
  <c r="I109" i="20" s="1"/>
  <c r="G108" i="20"/>
  <c r="G109" i="20" s="1"/>
  <c r="C114" i="20"/>
  <c r="C115" i="20" s="1"/>
  <c r="B114" i="20"/>
  <c r="B115" i="20" s="1"/>
  <c r="J114" i="20"/>
  <c r="J115" i="20" s="1"/>
  <c r="I114" i="20"/>
  <c r="I115" i="20" s="1"/>
  <c r="E108" i="20"/>
  <c r="E109" i="20" s="1"/>
  <c r="I77" i="7"/>
  <c r="J77" i="7" s="1"/>
  <c r="K103" i="7"/>
  <c r="K102" i="7" s="1"/>
  <c r="O34" i="7" s="1"/>
  <c r="K97" i="7"/>
  <c r="K96" i="7" s="1"/>
  <c r="O10" i="7" s="1"/>
  <c r="K129" i="8"/>
  <c r="K128" i="8" s="1"/>
  <c r="O34" i="8" s="1"/>
  <c r="K103" i="15"/>
  <c r="K102" i="15" s="1"/>
  <c r="O18" i="15" s="1"/>
  <c r="K77" i="3"/>
  <c r="K76" i="3" s="1"/>
  <c r="O16" i="3" s="1"/>
  <c r="F12" i="13" s="1"/>
  <c r="K48" i="20"/>
  <c r="K87" i="19"/>
  <c r="K68" i="21"/>
  <c r="B110" i="8"/>
  <c r="C110" i="8" s="1"/>
  <c r="D110" i="8" s="1"/>
  <c r="E110" i="8" s="1"/>
  <c r="F110" i="8" s="1"/>
  <c r="G110" i="8" s="1"/>
  <c r="H110" i="8" s="1"/>
  <c r="I110" i="8" s="1"/>
  <c r="J110" i="8" s="1"/>
  <c r="D82" i="19"/>
  <c r="D83" i="19" s="1"/>
  <c r="C88" i="19"/>
  <c r="C89" i="19" s="1"/>
  <c r="B82" i="19"/>
  <c r="B83" i="19" s="1"/>
  <c r="J82" i="19"/>
  <c r="J83" i="19" s="1"/>
  <c r="H82" i="19"/>
  <c r="H83" i="19" s="1"/>
  <c r="B116" i="8"/>
  <c r="C116" i="8" s="1"/>
  <c r="D116" i="8" s="1"/>
  <c r="E116" i="8" s="1"/>
  <c r="F116" i="8" s="1"/>
  <c r="G116" i="8" s="1"/>
  <c r="H116" i="8" s="1"/>
  <c r="I116" i="8" s="1"/>
  <c r="J116" i="8" s="1"/>
  <c r="J88" i="19"/>
  <c r="J89" i="19" s="1"/>
  <c r="G82" i="19"/>
  <c r="G83" i="19" s="1"/>
  <c r="I82" i="19"/>
  <c r="I83" i="19" s="1"/>
  <c r="C82" i="19"/>
  <c r="C83" i="19" s="1"/>
  <c r="K114" i="8"/>
  <c r="K74" i="21"/>
  <c r="K81" i="19"/>
  <c r="K113" i="20"/>
  <c r="K107" i="20"/>
  <c r="K58" i="4"/>
  <c r="K57" i="4" s="1"/>
  <c r="K108" i="8"/>
  <c r="K101" i="10"/>
  <c r="B103" i="10"/>
  <c r="C103" i="10" s="1"/>
  <c r="D103" i="10" s="1"/>
  <c r="E103" i="10" s="1"/>
  <c r="F103" i="10" s="1"/>
  <c r="G103" i="10" s="1"/>
  <c r="H103" i="10" s="1"/>
  <c r="I103" i="10" s="1"/>
  <c r="J103" i="10" s="1"/>
  <c r="K58" i="7"/>
  <c r="K57" i="7" s="1"/>
  <c r="O6" i="7" s="1"/>
  <c r="K82" i="8"/>
  <c r="K88" i="10"/>
  <c r="K88" i="8"/>
  <c r="K88" i="21"/>
  <c r="K64" i="6"/>
  <c r="K63" i="6" s="1"/>
  <c r="K58" i="6"/>
  <c r="K57" i="6" s="1"/>
  <c r="B123" i="20"/>
  <c r="C123" i="20" s="1"/>
  <c r="D123" i="20" s="1"/>
  <c r="E123" i="20" s="1"/>
  <c r="F123" i="20" s="1"/>
  <c r="G123" i="20" s="1"/>
  <c r="H123" i="20" s="1"/>
  <c r="I123" i="20" s="1"/>
  <c r="J123" i="20" s="1"/>
  <c r="B97" i="10"/>
  <c r="C97" i="10" s="1"/>
  <c r="D97" i="10" s="1"/>
  <c r="E97" i="10" s="1"/>
  <c r="F97" i="10" s="1"/>
  <c r="G97" i="10" s="1"/>
  <c r="H97" i="10" s="1"/>
  <c r="I97" i="10" s="1"/>
  <c r="J97" i="10" s="1"/>
  <c r="K101" i="8"/>
  <c r="K95" i="8"/>
  <c r="B64" i="8"/>
  <c r="C64" i="8" s="1"/>
  <c r="D64" i="8" s="1"/>
  <c r="E64" i="8" s="1"/>
  <c r="F64" i="8" s="1"/>
  <c r="G64" i="8" s="1"/>
  <c r="H64" i="8" s="1"/>
  <c r="I64" i="8" s="1"/>
  <c r="J64" i="8" s="1"/>
  <c r="K55" i="21"/>
  <c r="K55" i="20"/>
  <c r="K55" i="19"/>
  <c r="K61" i="20"/>
  <c r="K42" i="20"/>
  <c r="K94" i="19"/>
  <c r="K45" i="6"/>
  <c r="K44" i="6" s="1"/>
  <c r="K95" i="10"/>
  <c r="K129" i="14"/>
  <c r="K128" i="14" s="1"/>
  <c r="O36" i="14" s="1"/>
  <c r="H32" i="13" s="1"/>
  <c r="K62" i="8"/>
  <c r="B129" i="7"/>
  <c r="C129" i="7" s="1"/>
  <c r="D129" i="7" s="1"/>
  <c r="E129" i="7" s="1"/>
  <c r="F129" i="7" s="1"/>
  <c r="G129" i="7" s="1"/>
  <c r="H129" i="7" s="1"/>
  <c r="I129" i="7" s="1"/>
  <c r="J129" i="7" s="1"/>
  <c r="K74" i="19"/>
  <c r="K123" i="9"/>
  <c r="K122" i="9" s="1"/>
  <c r="O6" i="9" s="1"/>
  <c r="K61" i="19"/>
  <c r="K129" i="9"/>
  <c r="K128" i="9" s="1"/>
  <c r="O16" i="9" s="1"/>
  <c r="B123" i="3"/>
  <c r="C123" i="3" s="1"/>
  <c r="D123" i="3" s="1"/>
  <c r="E123" i="3" s="1"/>
  <c r="F123" i="3" s="1"/>
  <c r="G123" i="3" s="1"/>
  <c r="H123" i="3" s="1"/>
  <c r="I123" i="3" s="1"/>
  <c r="J123" i="3" s="1"/>
  <c r="K123" i="3" s="1"/>
  <c r="K122" i="3" s="1"/>
  <c r="O30" i="3" s="1"/>
  <c r="F26" i="13" s="1"/>
  <c r="K123" i="14"/>
  <c r="K122" i="14" s="1"/>
  <c r="O30" i="14" s="1"/>
  <c r="H26" i="13" s="1"/>
  <c r="B129" i="4"/>
  <c r="C129" i="4" s="1"/>
  <c r="D129" i="4" s="1"/>
  <c r="E129" i="4" s="1"/>
  <c r="F129" i="4" s="1"/>
  <c r="G129" i="4" s="1"/>
  <c r="H129" i="4" s="1"/>
  <c r="I129" i="4" s="1"/>
  <c r="J129" i="4" s="1"/>
  <c r="B123" i="4"/>
  <c r="C123" i="4" s="1"/>
  <c r="D123" i="4" s="1"/>
  <c r="E123" i="4" s="1"/>
  <c r="F123" i="4" s="1"/>
  <c r="G123" i="4" s="1"/>
  <c r="H123" i="4" s="1"/>
  <c r="I123" i="4" s="1"/>
  <c r="J123" i="4" s="1"/>
  <c r="B129" i="15"/>
  <c r="C129" i="15" s="1"/>
  <c r="D129" i="15" s="1"/>
  <c r="E129" i="15" s="1"/>
  <c r="F129" i="15" s="1"/>
  <c r="G129" i="15" s="1"/>
  <c r="H129" i="15" s="1"/>
  <c r="I129" i="15" s="1"/>
  <c r="J129" i="15" s="1"/>
  <c r="B123" i="15"/>
  <c r="C123" i="15" s="1"/>
  <c r="D123" i="15" s="1"/>
  <c r="E123" i="15" s="1"/>
  <c r="F123" i="15" s="1"/>
  <c r="G123" i="15" s="1"/>
  <c r="H123" i="15" s="1"/>
  <c r="I123" i="15" s="1"/>
  <c r="J123" i="15" s="1"/>
  <c r="B123" i="7"/>
  <c r="C123" i="7" s="1"/>
  <c r="D123" i="7" s="1"/>
  <c r="E123" i="7" s="1"/>
  <c r="F123" i="7" s="1"/>
  <c r="G123" i="7" s="1"/>
  <c r="H123" i="7" s="1"/>
  <c r="I123" i="7" s="1"/>
  <c r="J123" i="7" s="1"/>
  <c r="B75" i="19"/>
  <c r="F75" i="19"/>
  <c r="F76" i="19" s="1"/>
  <c r="G75" i="19"/>
  <c r="G76" i="19" s="1"/>
  <c r="D75" i="19"/>
  <c r="D76" i="19" s="1"/>
  <c r="C75" i="19"/>
  <c r="C76" i="19" s="1"/>
  <c r="J75" i="19"/>
  <c r="J76" i="19" s="1"/>
  <c r="I69" i="19"/>
  <c r="I70" i="19" s="1"/>
  <c r="F69" i="19"/>
  <c r="F70" i="19" s="1"/>
  <c r="B69" i="19"/>
  <c r="C69" i="19"/>
  <c r="C70" i="19" s="1"/>
  <c r="E75" i="19"/>
  <c r="E76" i="19" s="1"/>
  <c r="D69" i="19"/>
  <c r="D70" i="19" s="1"/>
  <c r="G69" i="19"/>
  <c r="G70" i="19" s="1"/>
  <c r="H69" i="19"/>
  <c r="H70" i="19" s="1"/>
  <c r="E69" i="19"/>
  <c r="E70" i="19" s="1"/>
  <c r="J69" i="19"/>
  <c r="J70" i="19" s="1"/>
  <c r="I75" i="19"/>
  <c r="I76" i="19" s="1"/>
  <c r="H75" i="19"/>
  <c r="H76" i="19" s="1"/>
  <c r="B123" i="6"/>
  <c r="C123" i="6" s="1"/>
  <c r="D123" i="6" s="1"/>
  <c r="E123" i="6" s="1"/>
  <c r="F123" i="6" s="1"/>
  <c r="G123" i="6" s="1"/>
  <c r="H123" i="6" s="1"/>
  <c r="I123" i="6" s="1"/>
  <c r="J123" i="6" s="1"/>
  <c r="K123" i="6" s="1"/>
  <c r="K122" i="6" s="1"/>
  <c r="B129" i="19"/>
  <c r="C129" i="19" s="1"/>
  <c r="D129" i="19" s="1"/>
  <c r="E129" i="19" s="1"/>
  <c r="F129" i="19" s="1"/>
  <c r="G129" i="19" s="1"/>
  <c r="H129" i="19" s="1"/>
  <c r="I129" i="19" s="1"/>
  <c r="J129" i="19" s="1"/>
  <c r="B123" i="19"/>
  <c r="C123" i="19" s="1"/>
  <c r="D123" i="19" s="1"/>
  <c r="E123" i="19" s="1"/>
  <c r="F123" i="19" s="1"/>
  <c r="G123" i="19" s="1"/>
  <c r="H123" i="19" s="1"/>
  <c r="I123" i="19" s="1"/>
  <c r="J123" i="19" s="1"/>
  <c r="B45" i="3"/>
  <c r="C45" i="3" s="1"/>
  <c r="D45" i="3" s="1"/>
  <c r="E45" i="3" s="1"/>
  <c r="F45" i="3" s="1"/>
  <c r="G45" i="3" s="1"/>
  <c r="H45" i="3" s="1"/>
  <c r="I45" i="3" s="1"/>
  <c r="J45" i="3" s="1"/>
  <c r="B51" i="3"/>
  <c r="C51" i="3" s="1"/>
  <c r="D51" i="3" s="1"/>
  <c r="E51" i="3" s="1"/>
  <c r="F51" i="3" s="1"/>
  <c r="G51" i="3" s="1"/>
  <c r="H51" i="3" s="1"/>
  <c r="I51" i="3" s="1"/>
  <c r="J51" i="3" s="1"/>
  <c r="B45" i="14"/>
  <c r="C45" i="14" s="1"/>
  <c r="D45" i="14" s="1"/>
  <c r="E45" i="14" s="1"/>
  <c r="F45" i="14" s="1"/>
  <c r="G45" i="14" s="1"/>
  <c r="H45" i="14" s="1"/>
  <c r="I45" i="14" s="1"/>
  <c r="J45" i="14" s="1"/>
  <c r="B51" i="14"/>
  <c r="C51" i="14" s="1"/>
  <c r="D51" i="14" s="1"/>
  <c r="E51" i="14" s="1"/>
  <c r="F51" i="14" s="1"/>
  <c r="G51" i="14" s="1"/>
  <c r="H51" i="14" s="1"/>
  <c r="I51" i="14" s="1"/>
  <c r="J51" i="14" s="1"/>
  <c r="B123" i="21"/>
  <c r="C123" i="21" s="1"/>
  <c r="D123" i="21" s="1"/>
  <c r="E123" i="21" s="1"/>
  <c r="F123" i="21" s="1"/>
  <c r="G123" i="21" s="1"/>
  <c r="H123" i="21" s="1"/>
  <c r="I123" i="21" s="1"/>
  <c r="J123" i="21" s="1"/>
  <c r="B129" i="21"/>
  <c r="C129" i="21" s="1"/>
  <c r="D129" i="21" s="1"/>
  <c r="E129" i="21" s="1"/>
  <c r="F129" i="21" s="1"/>
  <c r="G129" i="21" s="1"/>
  <c r="H129" i="21" s="1"/>
  <c r="I129" i="21" s="1"/>
  <c r="J129" i="21" s="1"/>
  <c r="B129" i="20"/>
  <c r="C129" i="20" s="1"/>
  <c r="D129" i="20" s="1"/>
  <c r="E129" i="20" s="1"/>
  <c r="F129" i="20" s="1"/>
  <c r="G129" i="20" s="1"/>
  <c r="H129" i="20" s="1"/>
  <c r="I129" i="20" s="1"/>
  <c r="J129" i="20" s="1"/>
  <c r="B51" i="4"/>
  <c r="C51" i="4" s="1"/>
  <c r="D51" i="4" s="1"/>
  <c r="E51" i="4" s="1"/>
  <c r="F51" i="4" s="1"/>
  <c r="G51" i="4" s="1"/>
  <c r="H51" i="4" s="1"/>
  <c r="I51" i="4" s="1"/>
  <c r="J51" i="4" s="1"/>
  <c r="B45" i="4"/>
  <c r="C45" i="4" s="1"/>
  <c r="D45" i="4" s="1"/>
  <c r="E45" i="4" s="1"/>
  <c r="F45" i="4" s="1"/>
  <c r="G45" i="4" s="1"/>
  <c r="H45" i="4" s="1"/>
  <c r="I45" i="4" s="1"/>
  <c r="J45" i="4" s="1"/>
  <c r="K109" i="4"/>
  <c r="O24" i="4" s="1"/>
  <c r="K116" i="7"/>
  <c r="K115" i="7" s="1"/>
  <c r="O18" i="7" s="1"/>
  <c r="K110" i="7"/>
  <c r="B84" i="21"/>
  <c r="C84" i="21" s="1"/>
  <c r="D84" i="21" s="1"/>
  <c r="E84" i="21" s="1"/>
  <c r="F84" i="21" s="1"/>
  <c r="G84" i="21" s="1"/>
  <c r="H84" i="21" s="1"/>
  <c r="I84" i="21" s="1"/>
  <c r="J84" i="21" s="1"/>
  <c r="B90" i="21"/>
  <c r="C90" i="21" s="1"/>
  <c r="D90" i="21" s="1"/>
  <c r="E90" i="21" s="1"/>
  <c r="F90" i="21" s="1"/>
  <c r="G90" i="21" s="1"/>
  <c r="H90" i="21" s="1"/>
  <c r="I90" i="21" s="1"/>
  <c r="J90" i="21" s="1"/>
  <c r="B32" i="13" l="1"/>
  <c r="B35" i="18" s="1"/>
  <c r="M35" i="18" s="1"/>
  <c r="K142" i="8"/>
  <c r="K141" i="8" s="1"/>
  <c r="O28" i="8" s="1"/>
  <c r="K90" i="7"/>
  <c r="K89" i="7" s="1"/>
  <c r="O32" i="7" s="1"/>
  <c r="O30" i="7"/>
  <c r="K26" i="13" s="1"/>
  <c r="O12" i="6"/>
  <c r="O22" i="6"/>
  <c r="O30" i="6"/>
  <c r="K84" i="7"/>
  <c r="K83" i="7" s="1"/>
  <c r="O16" i="7" s="1"/>
  <c r="K129" i="10"/>
  <c r="K128" i="10" s="1"/>
  <c r="O28" i="10" s="1"/>
  <c r="K136" i="7"/>
  <c r="K135" i="7" s="1"/>
  <c r="O36" i="7" s="1"/>
  <c r="K32" i="13" s="1"/>
  <c r="K30" i="13"/>
  <c r="L24" i="13"/>
  <c r="K136" i="6"/>
  <c r="K135" i="6" s="1"/>
  <c r="O28" i="6" s="1"/>
  <c r="K142" i="19"/>
  <c r="K141" i="19" s="1"/>
  <c r="K136" i="8"/>
  <c r="K135" i="8" s="1"/>
  <c r="O16" i="8" s="1"/>
  <c r="K142" i="6"/>
  <c r="K141" i="6" s="1"/>
  <c r="O20" i="6" s="1"/>
  <c r="J16" i="13" s="1"/>
  <c r="J2" i="13"/>
  <c r="O16" i="4"/>
  <c r="G12" i="13" s="1"/>
  <c r="B12" i="13" s="1"/>
  <c r="B15" i="18" s="1"/>
  <c r="M15" i="18" s="1"/>
  <c r="K136" i="9"/>
  <c r="K135" i="9" s="1"/>
  <c r="O34" i="9" s="1"/>
  <c r="K45" i="7"/>
  <c r="K44" i="7" s="1"/>
  <c r="O14" i="7" s="1"/>
  <c r="K10" i="13" s="1"/>
  <c r="K71" i="14"/>
  <c r="K70" i="14" s="1"/>
  <c r="O14" i="14" s="1"/>
  <c r="H10" i="13" s="1"/>
  <c r="B10" i="13" s="1"/>
  <c r="B13" i="18" s="1"/>
  <c r="M13" i="18" s="1"/>
  <c r="K77" i="14"/>
  <c r="K76" i="14" s="1"/>
  <c r="K51" i="7"/>
  <c r="K50" i="7" s="1"/>
  <c r="O22" i="7" s="1"/>
  <c r="J8" i="13"/>
  <c r="L2" i="13"/>
  <c r="O16" i="6"/>
  <c r="L4" i="13"/>
  <c r="L28" i="13"/>
  <c r="O16" i="15"/>
  <c r="L12" i="13" s="1"/>
  <c r="O14" i="6"/>
  <c r="L22" i="13"/>
  <c r="K16" i="13"/>
  <c r="L6" i="13"/>
  <c r="H24" i="13"/>
  <c r="B24" i="13" s="1"/>
  <c r="B27" i="18" s="1"/>
  <c r="M27" i="18" s="1"/>
  <c r="K103" i="6"/>
  <c r="K102" i="6" s="1"/>
  <c r="H20" i="13"/>
  <c r="O8" i="4"/>
  <c r="G4" i="13" s="1"/>
  <c r="B14" i="13"/>
  <c r="B17" i="18" s="1"/>
  <c r="M17" i="18" s="1"/>
  <c r="G20" i="13"/>
  <c r="B116" i="21"/>
  <c r="C116" i="21" s="1"/>
  <c r="D116" i="21" s="1"/>
  <c r="E116" i="21" s="1"/>
  <c r="F116" i="21" s="1"/>
  <c r="B97" i="20"/>
  <c r="C97" i="20" s="1"/>
  <c r="D97" i="20" s="1"/>
  <c r="E97" i="20" s="1"/>
  <c r="F97" i="20" s="1"/>
  <c r="G97" i="20" s="1"/>
  <c r="H97" i="20" s="1"/>
  <c r="I97" i="20" s="1"/>
  <c r="J97" i="20" s="1"/>
  <c r="K75" i="20"/>
  <c r="F90" i="9"/>
  <c r="G90" i="9" s="1"/>
  <c r="H90" i="9" s="1"/>
  <c r="I90" i="9" s="1"/>
  <c r="J90" i="9" s="1"/>
  <c r="K90" i="6"/>
  <c r="K89" i="6" s="1"/>
  <c r="O32" i="6" s="1"/>
  <c r="J76" i="20"/>
  <c r="B103" i="20"/>
  <c r="C103" i="20" s="1"/>
  <c r="D103" i="20" s="1"/>
  <c r="E103" i="20" s="1"/>
  <c r="F103" i="20" s="1"/>
  <c r="G103" i="20" s="1"/>
  <c r="H103" i="20" s="1"/>
  <c r="I103" i="20" s="1"/>
  <c r="J103" i="20" s="1"/>
  <c r="K69" i="20"/>
  <c r="C70" i="20"/>
  <c r="F84" i="9"/>
  <c r="G84" i="9" s="1"/>
  <c r="H84" i="9" s="1"/>
  <c r="I84" i="9" s="1"/>
  <c r="J84" i="9" s="1"/>
  <c r="B71" i="20"/>
  <c r="B103" i="21"/>
  <c r="C103" i="21" s="1"/>
  <c r="D103" i="21" s="1"/>
  <c r="E103" i="21" s="1"/>
  <c r="F103" i="21" s="1"/>
  <c r="G103" i="21" s="1"/>
  <c r="H103" i="21" s="1"/>
  <c r="I103" i="21" s="1"/>
  <c r="J103" i="21" s="1"/>
  <c r="K101" i="20"/>
  <c r="K58" i="9"/>
  <c r="K57" i="9" s="1"/>
  <c r="O14" i="9" s="1"/>
  <c r="K97" i="6"/>
  <c r="K96" i="6" s="1"/>
  <c r="O10" i="6" s="1"/>
  <c r="K84" i="6"/>
  <c r="K83" i="6" s="1"/>
  <c r="B77" i="20"/>
  <c r="K95" i="20"/>
  <c r="B51" i="21"/>
  <c r="C51" i="21" s="1"/>
  <c r="D51" i="21" s="1"/>
  <c r="E51" i="21" s="1"/>
  <c r="F51" i="21" s="1"/>
  <c r="G51" i="21" s="1"/>
  <c r="H51" i="21" s="1"/>
  <c r="I51" i="21" s="1"/>
  <c r="J51" i="21" s="1"/>
  <c r="K110" i="9"/>
  <c r="K109" i="9" s="1"/>
  <c r="O18" i="9" s="1"/>
  <c r="B110" i="19"/>
  <c r="C110" i="19" s="1"/>
  <c r="D110" i="19" s="1"/>
  <c r="E110" i="19" s="1"/>
  <c r="F110" i="19" s="1"/>
  <c r="G110" i="19" s="1"/>
  <c r="H110" i="19" s="1"/>
  <c r="I110" i="19" s="1"/>
  <c r="J110" i="19" s="1"/>
  <c r="B116" i="19"/>
  <c r="C116" i="19" s="1"/>
  <c r="D116" i="19" s="1"/>
  <c r="E116" i="19" s="1"/>
  <c r="F116" i="19" s="1"/>
  <c r="G116" i="19" s="1"/>
  <c r="H116" i="19" s="1"/>
  <c r="I116" i="19" s="1"/>
  <c r="J116" i="19" s="1"/>
  <c r="K58" i="14"/>
  <c r="K57" i="14" s="1"/>
  <c r="O10" i="14" s="1"/>
  <c r="H6" i="13" s="1"/>
  <c r="B45" i="21"/>
  <c r="C45" i="21" s="1"/>
  <c r="D45" i="21" s="1"/>
  <c r="E45" i="21" s="1"/>
  <c r="F45" i="21" s="1"/>
  <c r="G45" i="21" s="1"/>
  <c r="H45" i="21" s="1"/>
  <c r="I45" i="21" s="1"/>
  <c r="J45" i="21" s="1"/>
  <c r="K43" i="21"/>
  <c r="K43" i="19"/>
  <c r="K49" i="19"/>
  <c r="B58" i="20"/>
  <c r="C58" i="20" s="1"/>
  <c r="D58" i="20" s="1"/>
  <c r="E58" i="20" s="1"/>
  <c r="F58" i="20" s="1"/>
  <c r="G58" i="20" s="1"/>
  <c r="H58" i="20" s="1"/>
  <c r="I58" i="20" s="1"/>
  <c r="J58" i="20" s="1"/>
  <c r="B64" i="20"/>
  <c r="C64" i="20" s="1"/>
  <c r="D64" i="20" s="1"/>
  <c r="E64" i="20" s="1"/>
  <c r="F64" i="20" s="1"/>
  <c r="G64" i="20" s="1"/>
  <c r="H64" i="20" s="1"/>
  <c r="I64" i="20" s="1"/>
  <c r="J64" i="20" s="1"/>
  <c r="K77" i="9"/>
  <c r="K76" i="9" s="1"/>
  <c r="O10" i="9" s="1"/>
  <c r="K84" i="10"/>
  <c r="K83" i="10" s="1"/>
  <c r="O10" i="10" s="1"/>
  <c r="K84" i="8"/>
  <c r="K83" i="8" s="1"/>
  <c r="O10" i="8" s="1"/>
  <c r="K129" i="20"/>
  <c r="K128" i="20" s="1"/>
  <c r="O18" i="20" s="1"/>
  <c r="K77" i="7"/>
  <c r="K76" i="7" s="1"/>
  <c r="O8" i="7" s="1"/>
  <c r="B110" i="21"/>
  <c r="C110" i="21" s="1"/>
  <c r="D110" i="21" s="1"/>
  <c r="E110" i="21" s="1"/>
  <c r="F110" i="21" s="1"/>
  <c r="K51" i="15"/>
  <c r="K50" i="15" s="1"/>
  <c r="K108" i="19"/>
  <c r="K114" i="19"/>
  <c r="H58" i="10"/>
  <c r="I58" i="10" s="1"/>
  <c r="J58" i="10" s="1"/>
  <c r="K43" i="20"/>
  <c r="H64" i="10"/>
  <c r="I64" i="10" s="1"/>
  <c r="J64" i="10" s="1"/>
  <c r="K49" i="20"/>
  <c r="K95" i="19"/>
  <c r="K108" i="21"/>
  <c r="K114" i="21"/>
  <c r="K101" i="19"/>
  <c r="I109" i="21"/>
  <c r="G115" i="21"/>
  <c r="K62" i="19"/>
  <c r="K56" i="19"/>
  <c r="B58" i="19"/>
  <c r="C58" i="19" s="1"/>
  <c r="D58" i="19" s="1"/>
  <c r="E58" i="19" s="1"/>
  <c r="F58" i="19" s="1"/>
  <c r="G58" i="19" s="1"/>
  <c r="H58" i="19" s="1"/>
  <c r="I58" i="19" s="1"/>
  <c r="J58" i="19" s="1"/>
  <c r="B45" i="19"/>
  <c r="C45" i="19" s="1"/>
  <c r="D45" i="19" s="1"/>
  <c r="E45" i="19" s="1"/>
  <c r="F45" i="19" s="1"/>
  <c r="G45" i="19" s="1"/>
  <c r="H45" i="19" s="1"/>
  <c r="I45" i="19" s="1"/>
  <c r="J45" i="19" s="1"/>
  <c r="K77" i="8"/>
  <c r="K76" i="8" s="1"/>
  <c r="O24" i="8" s="1"/>
  <c r="K49" i="21"/>
  <c r="B90" i="20"/>
  <c r="C90" i="20" s="1"/>
  <c r="D90" i="20" s="1"/>
  <c r="E90" i="20" s="1"/>
  <c r="F90" i="20" s="1"/>
  <c r="G90" i="20" s="1"/>
  <c r="H90" i="20" s="1"/>
  <c r="I90" i="20" s="1"/>
  <c r="J90" i="20" s="1"/>
  <c r="B97" i="21"/>
  <c r="C97" i="21" s="1"/>
  <c r="D97" i="21" s="1"/>
  <c r="E97" i="21" s="1"/>
  <c r="F97" i="21" s="1"/>
  <c r="G97" i="21" s="1"/>
  <c r="H97" i="21" s="1"/>
  <c r="I97" i="21" s="1"/>
  <c r="J97" i="21" s="1"/>
  <c r="K51" i="14"/>
  <c r="K50" i="14" s="1"/>
  <c r="O12" i="14" s="1"/>
  <c r="H8" i="13" s="1"/>
  <c r="B8" i="13" s="1"/>
  <c r="B11" i="18" s="1"/>
  <c r="M11" i="18" s="1"/>
  <c r="B90" i="19"/>
  <c r="C90" i="19" s="1"/>
  <c r="D90" i="19" s="1"/>
  <c r="E90" i="19" s="1"/>
  <c r="F90" i="19" s="1"/>
  <c r="G90" i="19" s="1"/>
  <c r="H90" i="19" s="1"/>
  <c r="I90" i="19" s="1"/>
  <c r="J90" i="19" s="1"/>
  <c r="B64" i="21"/>
  <c r="C64" i="21" s="1"/>
  <c r="D64" i="21" s="1"/>
  <c r="E64" i="21" s="1"/>
  <c r="F64" i="21" s="1"/>
  <c r="G64" i="21" s="1"/>
  <c r="H64" i="21" s="1"/>
  <c r="I64" i="21" s="1"/>
  <c r="J64" i="21" s="1"/>
  <c r="B84" i="20"/>
  <c r="C84" i="20" s="1"/>
  <c r="D84" i="20" s="1"/>
  <c r="E84" i="20" s="1"/>
  <c r="F84" i="20" s="1"/>
  <c r="G84" i="20" s="1"/>
  <c r="H84" i="20" s="1"/>
  <c r="I84" i="20" s="1"/>
  <c r="J84" i="20" s="1"/>
  <c r="K108" i="20"/>
  <c r="K69" i="21"/>
  <c r="B58" i="21"/>
  <c r="C58" i="21" s="1"/>
  <c r="D58" i="21" s="1"/>
  <c r="E58" i="21" s="1"/>
  <c r="F58" i="21" s="1"/>
  <c r="G58" i="21" s="1"/>
  <c r="H58" i="21" s="1"/>
  <c r="I58" i="21" s="1"/>
  <c r="J58" i="21" s="1"/>
  <c r="K75" i="21"/>
  <c r="K101" i="21"/>
  <c r="K95" i="21"/>
  <c r="B51" i="19"/>
  <c r="C51" i="19" s="1"/>
  <c r="D51" i="19" s="1"/>
  <c r="E51" i="19" s="1"/>
  <c r="F51" i="19" s="1"/>
  <c r="G51" i="19" s="1"/>
  <c r="H51" i="19" s="1"/>
  <c r="I51" i="19" s="1"/>
  <c r="J51" i="19" s="1"/>
  <c r="B84" i="19"/>
  <c r="C84" i="19" s="1"/>
  <c r="D84" i="19" s="1"/>
  <c r="E84" i="19" s="1"/>
  <c r="F84" i="19" s="1"/>
  <c r="G84" i="19" s="1"/>
  <c r="H84" i="19" s="1"/>
  <c r="I84" i="19" s="1"/>
  <c r="J84" i="19" s="1"/>
  <c r="K51" i="10"/>
  <c r="K50" i="10" s="1"/>
  <c r="K45" i="10"/>
  <c r="K44" i="10" s="1"/>
  <c r="K51" i="9"/>
  <c r="K50" i="9" s="1"/>
  <c r="O26" i="9" s="1"/>
  <c r="K71" i="9"/>
  <c r="K70" i="9" s="1"/>
  <c r="O30" i="9" s="1"/>
  <c r="K103" i="9"/>
  <c r="K102" i="9" s="1"/>
  <c r="O22" i="9" s="1"/>
  <c r="K116" i="9"/>
  <c r="K115" i="9" s="1"/>
  <c r="K45" i="9"/>
  <c r="K44" i="9" s="1"/>
  <c r="K110" i="10"/>
  <c r="K109" i="10" s="1"/>
  <c r="O22" i="10" s="1"/>
  <c r="K90" i="10"/>
  <c r="K89" i="10" s="1"/>
  <c r="O24" i="10" s="1"/>
  <c r="K71" i="8"/>
  <c r="K70" i="8" s="1"/>
  <c r="O30" i="8" s="1"/>
  <c r="K90" i="8"/>
  <c r="K89" i="8" s="1"/>
  <c r="O20" i="8" s="1"/>
  <c r="K58" i="8"/>
  <c r="K57" i="8" s="1"/>
  <c r="O26" i="8" s="1"/>
  <c r="K64" i="8"/>
  <c r="K63" i="8" s="1"/>
  <c r="K45" i="8"/>
  <c r="K44" i="8" s="1"/>
  <c r="K51" i="8"/>
  <c r="K50" i="8" s="1"/>
  <c r="O14" i="8" s="1"/>
  <c r="B71" i="21"/>
  <c r="C71" i="21" s="1"/>
  <c r="D71" i="21" s="1"/>
  <c r="E71" i="21" s="1"/>
  <c r="F71" i="21" s="1"/>
  <c r="G71" i="21" s="1"/>
  <c r="H71" i="21" s="1"/>
  <c r="I71" i="21" s="1"/>
  <c r="J71" i="21" s="1"/>
  <c r="B77" i="21"/>
  <c r="C77" i="21" s="1"/>
  <c r="D77" i="21" s="1"/>
  <c r="E77" i="21" s="1"/>
  <c r="F77" i="21" s="1"/>
  <c r="G77" i="21" s="1"/>
  <c r="H77" i="21" s="1"/>
  <c r="I77" i="21" s="1"/>
  <c r="J77" i="21" s="1"/>
  <c r="B103" i="19"/>
  <c r="C103" i="19" s="1"/>
  <c r="D103" i="19" s="1"/>
  <c r="E103" i="19" s="1"/>
  <c r="F103" i="19" s="1"/>
  <c r="G103" i="19" s="1"/>
  <c r="H103" i="19" s="1"/>
  <c r="I103" i="19" s="1"/>
  <c r="J103" i="19" s="1"/>
  <c r="K116" i="10"/>
  <c r="K115" i="10" s="1"/>
  <c r="O18" i="10" s="1"/>
  <c r="K62" i="21"/>
  <c r="K56" i="20"/>
  <c r="K62" i="20"/>
  <c r="K56" i="21"/>
  <c r="K45" i="15"/>
  <c r="K44" i="15" s="1"/>
  <c r="K71" i="10"/>
  <c r="K70" i="10" s="1"/>
  <c r="O30" i="10" s="1"/>
  <c r="K77" i="10"/>
  <c r="K76" i="10" s="1"/>
  <c r="O20" i="10" s="1"/>
  <c r="K103" i="8"/>
  <c r="K102" i="8" s="1"/>
  <c r="O18" i="8" s="1"/>
  <c r="K97" i="8"/>
  <c r="K96" i="8" s="1"/>
  <c r="O12" i="8" s="1"/>
  <c r="K88" i="20"/>
  <c r="K82" i="20"/>
  <c r="B110" i="20"/>
  <c r="C110" i="20" s="1"/>
  <c r="D110" i="20" s="1"/>
  <c r="E110" i="20" s="1"/>
  <c r="F110" i="20" s="1"/>
  <c r="G110" i="20" s="1"/>
  <c r="H110" i="20" s="1"/>
  <c r="I110" i="20" s="1"/>
  <c r="J110" i="20" s="1"/>
  <c r="B116" i="20"/>
  <c r="C116" i="20" s="1"/>
  <c r="D116" i="20" s="1"/>
  <c r="E116" i="20" s="1"/>
  <c r="F116" i="20" s="1"/>
  <c r="G116" i="20" s="1"/>
  <c r="H116" i="20" s="1"/>
  <c r="I116" i="20" s="1"/>
  <c r="J116" i="20" s="1"/>
  <c r="K114" i="20"/>
  <c r="K71" i="7"/>
  <c r="K70" i="7" s="1"/>
  <c r="O24" i="7" s="1"/>
  <c r="K64" i="9"/>
  <c r="K63" i="9" s="1"/>
  <c r="K97" i="9"/>
  <c r="K96" i="9" s="1"/>
  <c r="O12" i="9" s="1"/>
  <c r="K110" i="8"/>
  <c r="K109" i="8" s="1"/>
  <c r="O22" i="8" s="1"/>
  <c r="K116" i="8"/>
  <c r="K115" i="8" s="1"/>
  <c r="K82" i="19"/>
  <c r="K88" i="19"/>
  <c r="K129" i="21"/>
  <c r="K128" i="21" s="1"/>
  <c r="K97" i="10"/>
  <c r="K96" i="10" s="1"/>
  <c r="O12" i="10" s="1"/>
  <c r="K103" i="10"/>
  <c r="K102" i="10" s="1"/>
  <c r="O32" i="10" s="1"/>
  <c r="H28" i="13"/>
  <c r="K129" i="4"/>
  <c r="K128" i="4" s="1"/>
  <c r="O34" i="4" s="1"/>
  <c r="G30" i="13" s="1"/>
  <c r="B30" i="13" s="1"/>
  <c r="K123" i="7"/>
  <c r="K122" i="7" s="1"/>
  <c r="O12" i="7" s="1"/>
  <c r="K8" i="13" s="1"/>
  <c r="K129" i="15"/>
  <c r="K128" i="15" s="1"/>
  <c r="O20" i="15" s="1"/>
  <c r="K45" i="4"/>
  <c r="K44" i="4" s="1"/>
  <c r="O6" i="4" s="1"/>
  <c r="G2" i="13" s="1"/>
  <c r="K129" i="7"/>
  <c r="K128" i="7" s="1"/>
  <c r="O28" i="7" s="1"/>
  <c r="K24" i="13" s="1"/>
  <c r="K129" i="6"/>
  <c r="K128" i="6" s="1"/>
  <c r="O36" i="6" s="1"/>
  <c r="J32" i="13" s="1"/>
  <c r="K123" i="19"/>
  <c r="K122" i="19" s="1"/>
  <c r="O28" i="19" s="1"/>
  <c r="K51" i="3"/>
  <c r="K50" i="3" s="1"/>
  <c r="O8" i="3" s="1"/>
  <c r="F4" i="13" s="1"/>
  <c r="G28" i="13"/>
  <c r="K123" i="15"/>
  <c r="K122" i="15" s="1"/>
  <c r="O12" i="15" s="1"/>
  <c r="K45" i="14"/>
  <c r="K44" i="14" s="1"/>
  <c r="O6" i="14" s="1"/>
  <c r="H2" i="13" s="1"/>
  <c r="K123" i="21"/>
  <c r="K122" i="21" s="1"/>
  <c r="O28" i="21" s="1"/>
  <c r="K129" i="3"/>
  <c r="K128" i="3" s="1"/>
  <c r="O32" i="3" s="1"/>
  <c r="F28" i="13" s="1"/>
  <c r="K51" i="4"/>
  <c r="K50" i="4" s="1"/>
  <c r="K45" i="3"/>
  <c r="K44" i="3" s="1"/>
  <c r="O6" i="3" s="1"/>
  <c r="F2" i="13" s="1"/>
  <c r="K123" i="4"/>
  <c r="K122" i="4" s="1"/>
  <c r="K129" i="19"/>
  <c r="K128" i="19" s="1"/>
  <c r="O8" i="19" s="1"/>
  <c r="B70" i="19"/>
  <c r="K69" i="19"/>
  <c r="K75" i="19"/>
  <c r="B76" i="19"/>
  <c r="K123" i="20"/>
  <c r="K122" i="20" s="1"/>
  <c r="O28" i="20" s="1"/>
  <c r="E22" i="13"/>
  <c r="E18" i="13"/>
  <c r="E2" i="13"/>
  <c r="E8" i="13"/>
  <c r="E12" i="13"/>
  <c r="E14" i="13"/>
  <c r="E6" i="13"/>
  <c r="E10" i="13"/>
  <c r="E4" i="13"/>
  <c r="K109" i="7"/>
  <c r="O26" i="7" s="1"/>
  <c r="K6" i="13"/>
  <c r="K90" i="21"/>
  <c r="K89" i="21" s="1"/>
  <c r="O26" i="21" s="1"/>
  <c r="B64" i="19"/>
  <c r="C64" i="19" s="1"/>
  <c r="D64" i="19" s="1"/>
  <c r="E64" i="19" s="1"/>
  <c r="F64" i="19" s="1"/>
  <c r="G64" i="19" s="1"/>
  <c r="H64" i="19" s="1"/>
  <c r="I64" i="19" s="1"/>
  <c r="J64" i="19" s="1"/>
  <c r="B51" i="20"/>
  <c r="C51" i="20" s="1"/>
  <c r="D51" i="20" s="1"/>
  <c r="E51" i="20" s="1"/>
  <c r="F51" i="20" s="1"/>
  <c r="G51" i="20" s="1"/>
  <c r="H51" i="20" s="1"/>
  <c r="I51" i="20" s="1"/>
  <c r="J51" i="20" s="1"/>
  <c r="B45" i="20"/>
  <c r="C45" i="20" s="1"/>
  <c r="D45" i="20" s="1"/>
  <c r="E45" i="20" s="1"/>
  <c r="F45" i="20" s="1"/>
  <c r="G45" i="20" s="1"/>
  <c r="H45" i="20" s="1"/>
  <c r="I45" i="20" s="1"/>
  <c r="J45" i="20" s="1"/>
  <c r="K84" i="21"/>
  <c r="K83" i="21" s="1"/>
  <c r="O32" i="21" s="1"/>
  <c r="B97" i="19"/>
  <c r="C97" i="19" s="1"/>
  <c r="D97" i="19" s="1"/>
  <c r="E97" i="19" s="1"/>
  <c r="F97" i="19" s="1"/>
  <c r="G97" i="19" s="1"/>
  <c r="H97" i="19" s="1"/>
  <c r="I97" i="19" s="1"/>
  <c r="J97" i="19" s="1"/>
  <c r="O30" i="21" l="1"/>
  <c r="F34" i="13"/>
  <c r="N30" i="13"/>
  <c r="O36" i="9"/>
  <c r="N32" i="13" s="1"/>
  <c r="O30" i="19"/>
  <c r="O32" i="8"/>
  <c r="M28" i="13" s="1"/>
  <c r="O32" i="9"/>
  <c r="E34" i="13"/>
  <c r="M30" i="13"/>
  <c r="O36" i="8"/>
  <c r="M32" i="13" s="1"/>
  <c r="O30" i="13"/>
  <c r="O36" i="10"/>
  <c r="O32" i="13" s="1"/>
  <c r="L32" i="13"/>
  <c r="O30" i="15"/>
  <c r="L26" i="13" s="1"/>
  <c r="J20" i="13"/>
  <c r="O26" i="6"/>
  <c r="J22" i="13" s="1"/>
  <c r="O8" i="6"/>
  <c r="J4" i="13" s="1"/>
  <c r="M20" i="13"/>
  <c r="H18" i="13"/>
  <c r="B18" i="13" s="1"/>
  <c r="B21" i="18" s="1"/>
  <c r="M21" i="18" s="1"/>
  <c r="O20" i="14"/>
  <c r="H16" i="13" s="1"/>
  <c r="B16" i="13" s="1"/>
  <c r="B19" i="18" s="1"/>
  <c r="M19" i="18" s="1"/>
  <c r="O30" i="4"/>
  <c r="G26" i="13" s="1"/>
  <c r="B26" i="13" s="1"/>
  <c r="B33" i="18"/>
  <c r="M33" i="18" s="1"/>
  <c r="B20" i="13"/>
  <c r="B23" i="18" s="1"/>
  <c r="M23" i="18" s="1"/>
  <c r="M22" i="13"/>
  <c r="M2" i="13"/>
  <c r="N22" i="13"/>
  <c r="N18" i="13"/>
  <c r="K12" i="13"/>
  <c r="K18" i="13"/>
  <c r="J14" i="13"/>
  <c r="J28" i="13"/>
  <c r="N2" i="13"/>
  <c r="N8" i="13"/>
  <c r="M8" i="13"/>
  <c r="M16" i="13"/>
  <c r="N26" i="13"/>
  <c r="N10" i="13"/>
  <c r="K2" i="13"/>
  <c r="K4" i="13"/>
  <c r="O24" i="13"/>
  <c r="O8" i="13"/>
  <c r="M26" i="13"/>
  <c r="M10" i="13"/>
  <c r="O8" i="10"/>
  <c r="O4" i="13" s="1"/>
  <c r="J12" i="13"/>
  <c r="J18" i="13"/>
  <c r="M24" i="13"/>
  <c r="M18" i="13"/>
  <c r="J24" i="13"/>
  <c r="O26" i="13"/>
  <c r="O20" i="13"/>
  <c r="N6" i="13"/>
  <c r="J10" i="13"/>
  <c r="J26" i="13"/>
  <c r="M6" i="13"/>
  <c r="L18" i="13"/>
  <c r="L20" i="13"/>
  <c r="O14" i="15"/>
  <c r="L10" i="13" s="1"/>
  <c r="O2" i="13"/>
  <c r="N14" i="13"/>
  <c r="O28" i="13"/>
  <c r="L14" i="13"/>
  <c r="K20" i="13"/>
  <c r="M14" i="13"/>
  <c r="O8" i="9"/>
  <c r="L16" i="13"/>
  <c r="L8" i="13"/>
  <c r="J6" i="13"/>
  <c r="M12" i="13"/>
  <c r="O8" i="8"/>
  <c r="M4" i="13" s="1"/>
  <c r="B4" i="13"/>
  <c r="B7" i="18" s="1"/>
  <c r="M7" i="18" s="1"/>
  <c r="O10" i="4"/>
  <c r="G6" i="13" s="1"/>
  <c r="B6" i="13" s="1"/>
  <c r="B9" i="18" s="1"/>
  <c r="M9" i="18" s="1"/>
  <c r="G22" i="13"/>
  <c r="B22" i="13" s="1"/>
  <c r="B25" i="18" s="1"/>
  <c r="M25" i="18" s="1"/>
  <c r="K103" i="20"/>
  <c r="K102" i="20" s="1"/>
  <c r="O10" i="20" s="1"/>
  <c r="K90" i="9"/>
  <c r="K89" i="9" s="1"/>
  <c r="O20" i="9" s="1"/>
  <c r="N16" i="13" s="1"/>
  <c r="C77" i="20"/>
  <c r="D77" i="20" s="1"/>
  <c r="E77" i="20" s="1"/>
  <c r="F77" i="20" s="1"/>
  <c r="G77" i="20" s="1"/>
  <c r="H77" i="20" s="1"/>
  <c r="I77" i="20" s="1"/>
  <c r="J77" i="20" s="1"/>
  <c r="K84" i="9"/>
  <c r="K83" i="9" s="1"/>
  <c r="C71" i="20"/>
  <c r="D71" i="20" s="1"/>
  <c r="E71" i="20" s="1"/>
  <c r="F71" i="20" s="1"/>
  <c r="G71" i="20" s="1"/>
  <c r="H71" i="20" s="1"/>
  <c r="I71" i="20" s="1"/>
  <c r="J71" i="20" s="1"/>
  <c r="K45" i="21"/>
  <c r="K44" i="21" s="1"/>
  <c r="O24" i="21" s="1"/>
  <c r="R20" i="13" s="1"/>
  <c r="K97" i="20"/>
  <c r="K96" i="20" s="1"/>
  <c r="O16" i="20" s="1"/>
  <c r="K58" i="10"/>
  <c r="K57" i="10" s="1"/>
  <c r="O26" i="10" s="1"/>
  <c r="O22" i="13" s="1"/>
  <c r="G116" i="21"/>
  <c r="H116" i="21" s="1"/>
  <c r="I116" i="21" s="1"/>
  <c r="J116" i="21" s="1"/>
  <c r="K64" i="10"/>
  <c r="K63" i="10" s="1"/>
  <c r="G110" i="21"/>
  <c r="H110" i="21" s="1"/>
  <c r="I110" i="21" s="1"/>
  <c r="J110" i="21" s="1"/>
  <c r="K77" i="21"/>
  <c r="K76" i="21" s="1"/>
  <c r="O20" i="21" s="1"/>
  <c r="K90" i="20"/>
  <c r="K89" i="20" s="1"/>
  <c r="O20" i="20" s="1"/>
  <c r="K45" i="19"/>
  <c r="K44" i="19" s="1"/>
  <c r="O24" i="19" s="1"/>
  <c r="K51" i="19"/>
  <c r="K50" i="19" s="1"/>
  <c r="O14" i="19" s="1"/>
  <c r="K97" i="19"/>
  <c r="K96" i="19" s="1"/>
  <c r="O16" i="19" s="1"/>
  <c r="K103" i="21"/>
  <c r="K102" i="21" s="1"/>
  <c r="O22" i="21" s="1"/>
  <c r="K116" i="20"/>
  <c r="K115" i="20" s="1"/>
  <c r="O22" i="20" s="1"/>
  <c r="K116" i="19"/>
  <c r="K115" i="19" s="1"/>
  <c r="O22" i="19" s="1"/>
  <c r="K84" i="20"/>
  <c r="K83" i="20" s="1"/>
  <c r="O26" i="20" s="1"/>
  <c r="K58" i="20"/>
  <c r="K57" i="20" s="1"/>
  <c r="O14" i="20" s="1"/>
  <c r="K64" i="20"/>
  <c r="K63" i="20" s="1"/>
  <c r="O12" i="20" s="1"/>
  <c r="K51" i="21"/>
  <c r="K50" i="21" s="1"/>
  <c r="O12" i="21" s="1"/>
  <c r="K97" i="21"/>
  <c r="K96" i="21" s="1"/>
  <c r="O16" i="21" s="1"/>
  <c r="K110" i="19"/>
  <c r="K109" i="19" s="1"/>
  <c r="O10" i="19" s="1"/>
  <c r="K110" i="20"/>
  <c r="K109" i="20" s="1"/>
  <c r="O36" i="20" s="1"/>
  <c r="Q32" i="13" s="1"/>
  <c r="K84" i="19"/>
  <c r="K83" i="19" s="1"/>
  <c r="O32" i="19" s="1"/>
  <c r="K90" i="19"/>
  <c r="K89" i="19" s="1"/>
  <c r="O20" i="19" s="1"/>
  <c r="K71" i="21"/>
  <c r="K70" i="21" s="1"/>
  <c r="O6" i="21" s="1"/>
  <c r="K58" i="19"/>
  <c r="K57" i="19" s="1"/>
  <c r="O34" i="19" s="1"/>
  <c r="P30" i="13" s="1"/>
  <c r="B28" i="13"/>
  <c r="B2" i="13"/>
  <c r="B77" i="19"/>
  <c r="C77" i="19" s="1"/>
  <c r="D77" i="19" s="1"/>
  <c r="E77" i="19" s="1"/>
  <c r="F77" i="19" s="1"/>
  <c r="G77" i="19" s="1"/>
  <c r="H77" i="19" s="1"/>
  <c r="I77" i="19" s="1"/>
  <c r="J77" i="19" s="1"/>
  <c r="B71" i="19"/>
  <c r="C71" i="19" s="1"/>
  <c r="D71" i="19" s="1"/>
  <c r="E71" i="19" s="1"/>
  <c r="F71" i="19" s="1"/>
  <c r="G71" i="19" s="1"/>
  <c r="H71" i="19" s="1"/>
  <c r="I71" i="19" s="1"/>
  <c r="J71" i="19" s="1"/>
  <c r="K22" i="13"/>
  <c r="K14" i="13"/>
  <c r="K28" i="13"/>
  <c r="K45" i="20"/>
  <c r="K44" i="20" s="1"/>
  <c r="O24" i="20" s="1"/>
  <c r="K58" i="21"/>
  <c r="K57" i="21" s="1"/>
  <c r="O34" i="21" s="1"/>
  <c r="R30" i="13" s="1"/>
  <c r="K64" i="21"/>
  <c r="K63" i="21" s="1"/>
  <c r="O14" i="21" s="1"/>
  <c r="K64" i="19"/>
  <c r="K63" i="19" s="1"/>
  <c r="O12" i="19" s="1"/>
  <c r="K51" i="20"/>
  <c r="K50" i="20" s="1"/>
  <c r="O34" i="20" s="1"/>
  <c r="Q30" i="13" s="1"/>
  <c r="K103" i="19"/>
  <c r="K102" i="19" s="1"/>
  <c r="O36" i="19" s="1"/>
  <c r="P32" i="13" s="1"/>
  <c r="L34" i="13" l="1"/>
  <c r="C30" i="13"/>
  <c r="D33" i="18" s="1"/>
  <c r="J34" i="13"/>
  <c r="O18" i="13"/>
  <c r="C18" i="13" s="1"/>
  <c r="D21" i="18" s="1"/>
  <c r="O14" i="10"/>
  <c r="O10" i="13" s="1"/>
  <c r="C10" i="13" s="1"/>
  <c r="D13" i="18" s="1"/>
  <c r="K34" i="13"/>
  <c r="H34" i="13"/>
  <c r="N12" i="13"/>
  <c r="O24" i="9"/>
  <c r="N20" i="13" s="1"/>
  <c r="C20" i="13" s="1"/>
  <c r="D23" i="18" s="1"/>
  <c r="C32" i="13"/>
  <c r="D35" i="18" s="1"/>
  <c r="G34" i="13"/>
  <c r="M34" i="13"/>
  <c r="B5" i="18"/>
  <c r="M5" i="18" s="1"/>
  <c r="B34" i="13"/>
  <c r="D30" i="13"/>
  <c r="C22" i="13"/>
  <c r="C2" i="13"/>
  <c r="C26" i="13"/>
  <c r="D29" i="18" s="1"/>
  <c r="C8" i="13"/>
  <c r="D11" i="18" s="1"/>
  <c r="Q26" i="13"/>
  <c r="R18" i="13"/>
  <c r="R4" i="13"/>
  <c r="Q16" i="13"/>
  <c r="Q14" i="13"/>
  <c r="R10" i="13"/>
  <c r="R2" i="13"/>
  <c r="P16" i="13"/>
  <c r="P8" i="13"/>
  <c r="Q20" i="13"/>
  <c r="R16" i="13"/>
  <c r="N4" i="13"/>
  <c r="P28" i="13"/>
  <c r="P24" i="13"/>
  <c r="R24" i="13"/>
  <c r="R26" i="13"/>
  <c r="Q8" i="13"/>
  <c r="Q12" i="13"/>
  <c r="O12" i="13"/>
  <c r="O14" i="13"/>
  <c r="C14" i="13" s="1"/>
  <c r="D17" i="18" s="1"/>
  <c r="N24" i="13"/>
  <c r="C24" i="13" s="1"/>
  <c r="D27" i="18" s="1"/>
  <c r="N28" i="13"/>
  <c r="C28" i="13" s="1"/>
  <c r="D31" i="18" s="1"/>
  <c r="P6" i="13"/>
  <c r="R14" i="13"/>
  <c r="Q22" i="13"/>
  <c r="P10" i="13"/>
  <c r="P26" i="13"/>
  <c r="R8" i="13"/>
  <c r="O6" i="13"/>
  <c r="C6" i="13" s="1"/>
  <c r="D9" i="18" s="1"/>
  <c r="O16" i="13"/>
  <c r="C16" i="13" s="1"/>
  <c r="D19" i="18" s="1"/>
  <c r="K71" i="20"/>
  <c r="K70" i="20" s="1"/>
  <c r="O6" i="20" s="1"/>
  <c r="Q2" i="13" s="1"/>
  <c r="K77" i="20"/>
  <c r="K76" i="20" s="1"/>
  <c r="O32" i="20" s="1"/>
  <c r="K116" i="21"/>
  <c r="K115" i="21" s="1"/>
  <c r="O36" i="21" s="1"/>
  <c r="R32" i="13" s="1"/>
  <c r="D32" i="13" s="1"/>
  <c r="K110" i="21"/>
  <c r="K109" i="21" s="1"/>
  <c r="O10" i="21" s="1"/>
  <c r="B31" i="18"/>
  <c r="M31" i="18" s="1"/>
  <c r="K71" i="19"/>
  <c r="K70" i="19" s="1"/>
  <c r="O6" i="19" s="1"/>
  <c r="P2" i="13" s="1"/>
  <c r="B29" i="18"/>
  <c r="M29" i="18" s="1"/>
  <c r="K77" i="19"/>
  <c r="K76" i="19" s="1"/>
  <c r="O26" i="19" s="1"/>
  <c r="P22" i="13" s="1"/>
  <c r="Q10" i="13"/>
  <c r="P12" i="13"/>
  <c r="P14" i="13"/>
  <c r="Q6" i="13"/>
  <c r="H35" i="18" l="1"/>
  <c r="F35" i="18"/>
  <c r="O34" i="13"/>
  <c r="C12" i="13"/>
  <c r="D15" i="18" s="1"/>
  <c r="N34" i="13"/>
  <c r="D5" i="18"/>
  <c r="D26" i="13"/>
  <c r="H29" i="18" s="1"/>
  <c r="D14" i="13"/>
  <c r="D10" i="13"/>
  <c r="H13" i="18" s="1"/>
  <c r="D16" i="13"/>
  <c r="H19" i="18" s="1"/>
  <c r="D2" i="13"/>
  <c r="D8" i="13"/>
  <c r="H11" i="18" s="1"/>
  <c r="H33" i="18"/>
  <c r="F33" i="18"/>
  <c r="C35" i="18"/>
  <c r="C33" i="18"/>
  <c r="C4" i="13"/>
  <c r="D7" i="18" s="1"/>
  <c r="P18" i="13"/>
  <c r="P4" i="13"/>
  <c r="Q18" i="13"/>
  <c r="Q4" i="13"/>
  <c r="R22" i="13"/>
  <c r="D22" i="13" s="1"/>
  <c r="R6" i="13"/>
  <c r="D6" i="13" s="1"/>
  <c r="R12" i="13"/>
  <c r="R28" i="13"/>
  <c r="P20" i="13"/>
  <c r="Q28" i="13"/>
  <c r="Q24" i="13"/>
  <c r="D24" i="13" s="1"/>
  <c r="C27" i="18"/>
  <c r="C7" i="18"/>
  <c r="C11" i="18"/>
  <c r="C17" i="18"/>
  <c r="C29" i="18"/>
  <c r="C5" i="18"/>
  <c r="C21" i="18"/>
  <c r="C19" i="18"/>
  <c r="C25" i="18"/>
  <c r="C13" i="18"/>
  <c r="C31" i="18"/>
  <c r="C23" i="18"/>
  <c r="C9" i="18"/>
  <c r="C15" i="18"/>
  <c r="B37" i="18"/>
  <c r="D25" i="18"/>
  <c r="P34" i="13" l="1"/>
  <c r="R34" i="13"/>
  <c r="Q34" i="13"/>
  <c r="C34" i="13"/>
  <c r="D4" i="13"/>
  <c r="D28" i="13"/>
  <c r="H27" i="18"/>
  <c r="D20" i="13"/>
  <c r="H23" i="18" s="1"/>
  <c r="D18" i="13"/>
  <c r="H21" i="18" s="1"/>
  <c r="D12" i="13"/>
  <c r="F15" i="18" s="1"/>
  <c r="E35" i="18"/>
  <c r="E33" i="18"/>
  <c r="F19" i="18"/>
  <c r="F13" i="18"/>
  <c r="F29" i="18"/>
  <c r="F11" i="18"/>
  <c r="F27" i="18"/>
  <c r="H9" i="18"/>
  <c r="E27" i="18"/>
  <c r="F25" i="18"/>
  <c r="H17" i="18"/>
  <c r="F17" i="18"/>
  <c r="H25" i="18"/>
  <c r="D37" i="18"/>
  <c r="H5" i="18"/>
  <c r="F5" i="18"/>
  <c r="E25" i="18"/>
  <c r="E19" i="18"/>
  <c r="E21" i="18"/>
  <c r="E7" i="18"/>
  <c r="E13" i="18"/>
  <c r="E9" i="18"/>
  <c r="E29" i="18"/>
  <c r="E15" i="18"/>
  <c r="E11" i="18"/>
  <c r="E23" i="18"/>
  <c r="E5" i="18"/>
  <c r="E31" i="18"/>
  <c r="E17" i="18"/>
  <c r="D34" i="13" l="1"/>
  <c r="F23" i="18"/>
  <c r="H15" i="18"/>
  <c r="N35" i="18"/>
  <c r="N33" i="18"/>
  <c r="F9" i="18"/>
  <c r="F21" i="18"/>
  <c r="F7" i="18"/>
  <c r="H7" i="18"/>
  <c r="H31" i="18"/>
  <c r="F31" i="18"/>
  <c r="N5" i="18"/>
  <c r="N19" i="18"/>
  <c r="N17" i="18"/>
  <c r="N31" i="18"/>
  <c r="N15" i="18"/>
  <c r="N11" i="18"/>
  <c r="N23" i="18"/>
  <c r="N29" i="18"/>
  <c r="N13" i="18"/>
  <c r="N7" i="18"/>
  <c r="N27" i="18"/>
  <c r="N25" i="18"/>
  <c r="N9" i="18"/>
  <c r="N21" i="18"/>
  <c r="I33" i="18" l="1"/>
  <c r="I35" i="18"/>
  <c r="G35" i="18"/>
  <c r="G33" i="18"/>
  <c r="I19" i="18"/>
  <c r="G13" i="18"/>
  <c r="G31" i="18"/>
  <c r="I21" i="18"/>
  <c r="I13" i="18"/>
  <c r="I5" i="18"/>
  <c r="I11" i="18"/>
  <c r="I25" i="18"/>
  <c r="I17" i="18"/>
  <c r="G15" i="18"/>
  <c r="I7" i="18"/>
  <c r="G25" i="18"/>
  <c r="G5" i="18"/>
  <c r="I27" i="18"/>
  <c r="G7" i="18"/>
  <c r="G23" i="18"/>
  <c r="I29" i="18"/>
  <c r="I9" i="18"/>
  <c r="H37" i="18"/>
  <c r="G17" i="18"/>
  <c r="I23" i="18"/>
  <c r="G19" i="18"/>
  <c r="G29" i="18"/>
  <c r="F37" i="18"/>
  <c r="G11" i="18"/>
  <c r="I31" i="18"/>
  <c r="I15" i="18"/>
  <c r="G21" i="18"/>
  <c r="G9" i="18"/>
  <c r="G27" i="18"/>
  <c r="O23" i="18" l="1"/>
  <c r="P23" i="18" s="1"/>
  <c r="Q23" i="18" s="1"/>
  <c r="K13" i="29" s="1"/>
  <c r="O35" i="18"/>
  <c r="P35" i="18" s="1"/>
  <c r="Q35" i="18" s="1"/>
  <c r="O33" i="18"/>
  <c r="P33" i="18" s="1"/>
  <c r="Q33" i="18" s="1"/>
  <c r="O29" i="18"/>
  <c r="P29" i="18" s="1"/>
  <c r="Q29" i="18" s="1"/>
  <c r="J16" i="29" s="1"/>
  <c r="O31" i="18"/>
  <c r="P31" i="18" s="1"/>
  <c r="Q31" i="18" s="1"/>
  <c r="J17" i="29" s="1"/>
  <c r="O17" i="18"/>
  <c r="P17" i="18" s="1"/>
  <c r="Q17" i="18" s="1"/>
  <c r="K10" i="29" s="1"/>
  <c r="O11" i="18"/>
  <c r="P11" i="18" s="1"/>
  <c r="Q11" i="18" s="1"/>
  <c r="K7" i="29" s="1"/>
  <c r="O5" i="18"/>
  <c r="P5" i="18" s="1"/>
  <c r="Q5" i="18" s="1"/>
  <c r="O27" i="18"/>
  <c r="P27" i="18" s="1"/>
  <c r="Q27" i="18" s="1"/>
  <c r="J15" i="29" s="1"/>
  <c r="O19" i="18"/>
  <c r="P19" i="18" s="1"/>
  <c r="Q19" i="18" s="1"/>
  <c r="K11" i="29" s="1"/>
  <c r="O21" i="18"/>
  <c r="P21" i="18" s="1"/>
  <c r="Q21" i="18" s="1"/>
  <c r="K12" i="29" s="1"/>
  <c r="O25" i="18"/>
  <c r="P25" i="18" s="1"/>
  <c r="Q25" i="18" s="1"/>
  <c r="K14" i="29" s="1"/>
  <c r="O13" i="18"/>
  <c r="P13" i="18" s="1"/>
  <c r="Q13" i="18" s="1"/>
  <c r="K8" i="29" s="1"/>
  <c r="O15" i="18"/>
  <c r="P15" i="18" s="1"/>
  <c r="Q15" i="18" s="1"/>
  <c r="J9" i="29" s="1"/>
  <c r="O9" i="18"/>
  <c r="P9" i="18" s="1"/>
  <c r="Q9" i="18" s="1"/>
  <c r="K6" i="29" s="1"/>
  <c r="O7" i="18"/>
  <c r="P7" i="18" s="1"/>
  <c r="Q7" i="18" s="1"/>
  <c r="J5" i="29" s="1"/>
  <c r="R35" i="18" l="1"/>
  <c r="R33" i="18"/>
  <c r="K19" i="29"/>
  <c r="J19" i="29"/>
  <c r="K18" i="29"/>
  <c r="J18" i="29"/>
  <c r="J7" i="29"/>
  <c r="K17" i="29"/>
  <c r="K16" i="29"/>
  <c r="J14" i="29"/>
  <c r="J6" i="29"/>
  <c r="J11" i="29"/>
  <c r="J13" i="29"/>
  <c r="J12" i="29"/>
  <c r="K5" i="29"/>
  <c r="K9" i="29"/>
  <c r="K15" i="29"/>
  <c r="J10" i="29"/>
  <c r="J8" i="29"/>
  <c r="J4" i="29"/>
  <c r="K4" i="29"/>
  <c r="R13" i="18"/>
  <c r="R5" i="18"/>
  <c r="R23" i="18"/>
  <c r="R25" i="18"/>
  <c r="R27" i="18"/>
  <c r="R17" i="18"/>
  <c r="R7" i="18"/>
  <c r="R31" i="18"/>
  <c r="R9" i="18"/>
  <c r="R11" i="18"/>
  <c r="R15" i="18"/>
  <c r="R29" i="18"/>
  <c r="R19" i="18"/>
  <c r="R21" i="18"/>
  <c r="AV14" i="13" l="1"/>
  <c r="AV28" i="13"/>
  <c r="AV24" i="13"/>
  <c r="AV8" i="13"/>
  <c r="AV6" i="13"/>
  <c r="W17" i="18"/>
  <c r="W19" i="18"/>
  <c r="W27" i="18"/>
  <c r="W7" i="18"/>
  <c r="W21" i="18"/>
  <c r="W29" i="18"/>
  <c r="W25" i="18"/>
  <c r="W23" i="18"/>
  <c r="W11" i="18"/>
  <c r="W13" i="18"/>
  <c r="W15" i="18"/>
  <c r="W9" i="18"/>
  <c r="W31" i="18"/>
  <c r="BA32" i="13"/>
  <c r="AZ32" i="13"/>
  <c r="AY32" i="13"/>
  <c r="BB32" i="13"/>
  <c r="BB30" i="13"/>
  <c r="BA30" i="13"/>
  <c r="AY30" i="13"/>
  <c r="AZ30" i="13"/>
  <c r="W35" i="18"/>
  <c r="W33" i="18"/>
  <c r="BD4" i="18"/>
  <c r="BC4" i="18"/>
  <c r="BB4" i="18"/>
  <c r="BB5" i="18" s="1"/>
  <c r="BE4" i="18"/>
  <c r="V5" i="18"/>
  <c r="W5" i="18"/>
  <c r="T21" i="18"/>
  <c r="V21" i="18"/>
  <c r="T33" i="18"/>
  <c r="V33" i="18"/>
  <c r="T27" i="18"/>
  <c r="V27" i="18"/>
  <c r="T7" i="18"/>
  <c r="V7" i="18"/>
  <c r="T19" i="18"/>
  <c r="V19" i="18"/>
  <c r="T29" i="18"/>
  <c r="V29" i="18"/>
  <c r="T25" i="18"/>
  <c r="V25" i="18"/>
  <c r="T15" i="18"/>
  <c r="V15" i="18"/>
  <c r="T23" i="18"/>
  <c r="V23" i="18"/>
  <c r="T35" i="18"/>
  <c r="V35" i="18"/>
  <c r="T17" i="18"/>
  <c r="V17" i="18"/>
  <c r="T9" i="18"/>
  <c r="V9" i="18"/>
  <c r="T11" i="18"/>
  <c r="V11" i="18"/>
  <c r="T13" i="18"/>
  <c r="V13" i="18"/>
  <c r="T31" i="18"/>
  <c r="V31" i="18"/>
  <c r="U5" i="18"/>
  <c r="T5" i="18"/>
  <c r="U11" i="18"/>
  <c r="AW11" i="18" s="1"/>
  <c r="U9" i="18"/>
  <c r="AW9" i="18" s="1"/>
  <c r="U21" i="18"/>
  <c r="U33" i="18"/>
  <c r="U13" i="18"/>
  <c r="U7" i="18"/>
  <c r="U17" i="18"/>
  <c r="AW17" i="18" s="1"/>
  <c r="U19" i="18"/>
  <c r="U27" i="18"/>
  <c r="AW27" i="18" s="1"/>
  <c r="U31" i="18"/>
  <c r="AW31" i="18" s="1"/>
  <c r="U29" i="18"/>
  <c r="U25" i="18"/>
  <c r="U15" i="18"/>
  <c r="U23" i="18"/>
  <c r="U35" i="18"/>
  <c r="AN4" i="18"/>
  <c r="AS4" i="18"/>
  <c r="AR4" i="18"/>
  <c r="AQ4" i="18"/>
  <c r="AP4" i="18"/>
  <c r="G16" i="29"/>
  <c r="H13" i="29"/>
  <c r="H4" i="29"/>
  <c r="H19" i="29"/>
  <c r="H18" i="29"/>
  <c r="H12" i="29"/>
  <c r="H14" i="29"/>
  <c r="H8" i="29"/>
  <c r="H11" i="29"/>
  <c r="H15" i="29"/>
  <c r="H16" i="29"/>
  <c r="H10" i="29"/>
  <c r="H9" i="29"/>
  <c r="H17" i="29"/>
  <c r="H7" i="29"/>
  <c r="H5" i="29"/>
  <c r="G7" i="29"/>
  <c r="H6" i="29"/>
  <c r="G12" i="29"/>
  <c r="G9" i="29"/>
  <c r="G13" i="29"/>
  <c r="G4" i="29"/>
  <c r="G19" i="29"/>
  <c r="G18" i="29"/>
  <c r="G11" i="29"/>
  <c r="G17" i="29"/>
  <c r="G8" i="29"/>
  <c r="G6" i="29"/>
  <c r="G5" i="29"/>
  <c r="G10" i="29"/>
  <c r="G14" i="29"/>
  <c r="G15" i="29"/>
  <c r="AO32" i="13"/>
  <c r="AO30" i="13"/>
  <c r="AO2" i="13"/>
  <c r="AO28" i="13"/>
  <c r="AO12" i="13"/>
  <c r="AO8" i="13"/>
  <c r="AO22" i="13"/>
  <c r="AO14" i="13"/>
  <c r="AO26" i="13"/>
  <c r="AO10" i="13"/>
  <c r="AO24" i="13"/>
  <c r="AO6" i="13"/>
  <c r="AO20" i="13"/>
  <c r="AO4" i="13"/>
  <c r="AO18" i="13"/>
  <c r="AO16" i="13"/>
  <c r="BA26" i="13"/>
  <c r="BB26" i="13"/>
  <c r="BA12" i="13"/>
  <c r="BB12" i="13"/>
  <c r="BA20" i="13"/>
  <c r="BB20" i="13"/>
  <c r="BA8" i="13"/>
  <c r="BB8" i="13"/>
  <c r="BA2" i="13"/>
  <c r="BB2" i="13"/>
  <c r="BA14" i="13"/>
  <c r="BB14" i="13"/>
  <c r="BA6" i="13"/>
  <c r="BB6" i="13"/>
  <c r="BA10" i="13"/>
  <c r="BB10" i="13"/>
  <c r="BA24" i="13"/>
  <c r="BB24" i="13"/>
  <c r="BA18" i="13"/>
  <c r="BB18" i="13"/>
  <c r="BA28" i="13"/>
  <c r="BB28" i="13"/>
  <c r="BA22" i="13"/>
  <c r="BB22" i="13"/>
  <c r="BA16" i="13"/>
  <c r="BB16" i="13"/>
  <c r="BA4" i="13"/>
  <c r="BB4" i="13"/>
  <c r="AY12" i="13"/>
  <c r="AZ12" i="13"/>
  <c r="AY2" i="13"/>
  <c r="AZ2" i="13"/>
  <c r="AY10" i="13"/>
  <c r="AZ10" i="13"/>
  <c r="AY18" i="13"/>
  <c r="AZ18" i="13"/>
  <c r="AY28" i="13"/>
  <c r="AZ28" i="13"/>
  <c r="AY16" i="13"/>
  <c r="AZ16" i="13"/>
  <c r="AY4" i="13"/>
  <c r="AZ4" i="13"/>
  <c r="AY6" i="13"/>
  <c r="AZ6" i="13"/>
  <c r="AY14" i="13"/>
  <c r="AZ14" i="13"/>
  <c r="AY22" i="13"/>
  <c r="AZ22" i="13"/>
  <c r="AY20" i="13"/>
  <c r="AZ20" i="13"/>
  <c r="AY8" i="13"/>
  <c r="AZ8" i="13"/>
  <c r="AY26" i="13"/>
  <c r="AZ26" i="13"/>
  <c r="AY24" i="13"/>
  <c r="AZ24" i="13"/>
  <c r="B15" i="29" l="1"/>
  <c r="B7" i="29"/>
  <c r="B14" i="29"/>
  <c r="B6" i="29"/>
  <c r="B13" i="29"/>
  <c r="B5" i="29"/>
  <c r="B12" i="29"/>
  <c r="B4" i="29"/>
  <c r="B19" i="29"/>
  <c r="B11" i="29"/>
  <c r="B18" i="29"/>
  <c r="B10" i="29"/>
  <c r="B8" i="29"/>
  <c r="B17" i="29"/>
  <c r="B9" i="29"/>
  <c r="B16" i="29"/>
  <c r="J33" i="18"/>
  <c r="N18" i="29" s="1"/>
  <c r="J35" i="18"/>
  <c r="N19" i="29" s="1"/>
  <c r="BE27" i="18"/>
  <c r="BE25" i="18"/>
  <c r="BE23" i="18"/>
  <c r="BE21" i="18"/>
  <c r="BE19" i="18"/>
  <c r="BE17" i="18"/>
  <c r="BD27" i="18"/>
  <c r="BD25" i="18"/>
  <c r="BD23" i="18"/>
  <c r="BD21" i="18"/>
  <c r="BD19" i="18"/>
  <c r="BD17" i="18"/>
  <c r="BC27" i="18"/>
  <c r="BC25" i="18"/>
  <c r="BC23" i="18"/>
  <c r="BC21" i="18"/>
  <c r="BC19" i="18"/>
  <c r="BC17" i="18"/>
  <c r="BB9" i="18"/>
  <c r="BB27" i="18"/>
  <c r="BB25" i="18"/>
  <c r="BB23" i="18"/>
  <c r="BB21" i="18"/>
  <c r="BB19" i="18"/>
  <c r="BB17" i="18"/>
  <c r="BE13" i="18"/>
  <c r="BE15" i="18"/>
  <c r="BE11" i="18"/>
  <c r="BD11" i="18"/>
  <c r="BD15" i="18"/>
  <c r="BD13" i="18"/>
  <c r="BD9" i="18"/>
  <c r="BC11" i="18"/>
  <c r="BC15" i="18"/>
  <c r="BC13" i="18"/>
  <c r="BC9" i="18"/>
  <c r="BB15" i="18"/>
  <c r="BB13" i="18"/>
  <c r="BB11" i="18"/>
  <c r="BB7" i="18"/>
  <c r="BC7" i="18"/>
  <c r="J23" i="18"/>
  <c r="N13" i="29" s="1"/>
  <c r="J7" i="18"/>
  <c r="N5" i="29" s="1"/>
  <c r="J27" i="18"/>
  <c r="J21" i="18"/>
  <c r="J29" i="18"/>
  <c r="J25" i="18"/>
  <c r="J19" i="18"/>
  <c r="J13" i="18"/>
  <c r="J17" i="18"/>
  <c r="J31" i="18"/>
  <c r="J5" i="18"/>
  <c r="J11" i="18"/>
  <c r="J9" i="18"/>
  <c r="J15" i="18"/>
  <c r="AX9" i="18" l="1"/>
  <c r="AW6" i="13" s="1"/>
  <c r="AW19" i="18"/>
  <c r="AV16" i="13" s="1"/>
  <c r="AY23" i="18"/>
  <c r="AX20" i="13" s="1"/>
  <c r="AX21" i="18"/>
  <c r="AW18" i="13" s="1"/>
  <c r="AX29" i="18"/>
  <c r="AW26" i="13" s="1"/>
  <c r="AW7" i="18"/>
  <c r="AV4" i="13" s="1"/>
  <c r="AY21" i="18"/>
  <c r="AX18" i="13" s="1"/>
  <c r="AX27" i="18"/>
  <c r="AW24" i="13" s="1"/>
  <c r="AX15" i="18"/>
  <c r="AW12" i="13" s="1"/>
  <c r="AY31" i="18"/>
  <c r="AX28" i="13" s="1"/>
  <c r="AY19" i="18"/>
  <c r="AX16" i="13" s="1"/>
  <c r="AX17" i="18"/>
  <c r="AW14" i="13" s="1"/>
  <c r="AX5" i="18"/>
  <c r="AW2" i="13" s="1"/>
  <c r="AV27" i="18"/>
  <c r="AU24" i="13" s="1"/>
  <c r="AX25" i="18"/>
  <c r="AW22" i="13" s="1"/>
  <c r="AX19" i="18"/>
  <c r="AW16" i="13" s="1"/>
  <c r="AX11" i="18"/>
  <c r="AW8" i="13" s="1"/>
  <c r="AX33" i="18"/>
  <c r="AW30" i="13" s="1"/>
  <c r="AW33" i="18"/>
  <c r="AV30" i="13" s="1"/>
  <c r="AX31" i="18"/>
  <c r="AW28" i="13" s="1"/>
  <c r="AY29" i="18"/>
  <c r="AX26" i="13" s="1"/>
  <c r="AX7" i="18"/>
  <c r="AW4" i="13" s="1"/>
  <c r="AY15" i="18"/>
  <c r="AX12" i="13" s="1"/>
  <c r="AY17" i="18"/>
  <c r="AX14" i="13" s="1"/>
  <c r="AY7" i="18"/>
  <c r="AX4" i="13" s="1"/>
  <c r="AY9" i="18"/>
  <c r="AX6" i="13" s="1"/>
  <c r="AW23" i="18"/>
  <c r="AV20" i="13" s="1"/>
  <c r="AY5" i="18"/>
  <c r="AX2" i="13" s="1"/>
  <c r="AX23" i="18"/>
  <c r="AW20" i="13" s="1"/>
  <c r="AW5" i="18"/>
  <c r="AV2" i="13" s="1"/>
  <c r="AY27" i="18"/>
  <c r="AX24" i="13" s="1"/>
  <c r="AY25" i="18"/>
  <c r="AX22" i="13" s="1"/>
  <c r="AY35" i="18"/>
  <c r="AX32" i="13" s="1"/>
  <c r="AY33" i="18"/>
  <c r="AX30" i="13" s="1"/>
  <c r="AY11" i="18"/>
  <c r="AX8" i="13" s="1"/>
  <c r="AY13" i="18"/>
  <c r="AX10" i="13" s="1"/>
  <c r="AX35" i="18"/>
  <c r="AW32" i="13" s="1"/>
  <c r="AX13" i="18"/>
  <c r="AW10" i="13" s="1"/>
  <c r="AW15" i="18"/>
  <c r="AV12" i="13" s="1"/>
  <c r="AW21" i="18"/>
  <c r="AV18" i="13" s="1"/>
  <c r="AW29" i="18"/>
  <c r="AV26" i="13" s="1"/>
  <c r="AW13" i="18"/>
  <c r="AV10" i="13" s="1"/>
  <c r="AW25" i="18"/>
  <c r="AV22" i="13" s="1"/>
  <c r="AV17" i="18"/>
  <c r="AU14" i="13" s="1"/>
  <c r="AV31" i="18"/>
  <c r="AU28" i="13" s="1"/>
  <c r="AV9" i="18"/>
  <c r="AU6" i="13" s="1"/>
  <c r="AV25" i="18"/>
  <c r="AU22" i="13" s="1"/>
  <c r="AV33" i="18"/>
  <c r="AU30" i="13" s="1"/>
  <c r="AV29" i="18"/>
  <c r="AU26" i="13" s="1"/>
  <c r="AV13" i="18"/>
  <c r="AU10" i="13" s="1"/>
  <c r="AV21" i="18"/>
  <c r="AU18" i="13" s="1"/>
  <c r="AV35" i="18"/>
  <c r="AU32" i="13" s="1"/>
  <c r="AV5" i="18"/>
  <c r="AU2" i="13" s="1"/>
  <c r="AV19" i="18"/>
  <c r="AU16" i="13" s="1"/>
  <c r="AV11" i="18"/>
  <c r="AU8" i="13" s="1"/>
  <c r="AV15" i="18"/>
  <c r="AU12" i="13" s="1"/>
  <c r="AV7" i="18"/>
  <c r="AU4" i="13" s="1"/>
  <c r="AV23" i="18"/>
  <c r="AU20" i="13" s="1"/>
  <c r="AW35" i="18"/>
  <c r="AV32" i="13" s="1"/>
  <c r="BD20" i="13"/>
  <c r="BD4" i="13"/>
  <c r="N16" i="29"/>
  <c r="BD26" i="13"/>
  <c r="N10" i="29"/>
  <c r="BD14" i="13"/>
  <c r="N7" i="29"/>
  <c r="BD8" i="13"/>
  <c r="N17" i="29"/>
  <c r="BD28" i="13"/>
  <c r="N9" i="29"/>
  <c r="BD12" i="13"/>
  <c r="N8" i="29"/>
  <c r="BD10" i="13"/>
  <c r="N11" i="29"/>
  <c r="BD16" i="13"/>
  <c r="N6" i="29"/>
  <c r="BD6" i="13"/>
  <c r="N14" i="29"/>
  <c r="BD22" i="13"/>
  <c r="N12" i="29"/>
  <c r="BD18" i="13"/>
  <c r="N4" i="29"/>
  <c r="BD2" i="13"/>
  <c r="N15" i="29"/>
  <c r="BD24" i="13"/>
  <c r="AO4" i="18"/>
  <c r="AH4" i="18"/>
  <c r="AB4" i="18"/>
  <c r="AE4" i="18"/>
  <c r="AC4" i="18"/>
  <c r="Z4" i="18"/>
  <c r="AK4" i="18"/>
  <c r="AD4" i="18"/>
  <c r="AD29" i="18" s="1"/>
  <c r="AA4" i="18"/>
  <c r="AF4" i="18"/>
  <c r="AG4" i="18"/>
  <c r="AJ4" i="18"/>
  <c r="AM4" i="18"/>
  <c r="AL4" i="18"/>
  <c r="AL29" i="18" s="1"/>
  <c r="AI4" i="18"/>
  <c r="H63" i="18" l="1"/>
  <c r="H55" i="18"/>
  <c r="H67" i="18"/>
  <c r="H53" i="18"/>
  <c r="H43" i="18"/>
  <c r="H45" i="18"/>
  <c r="D6" i="29"/>
  <c r="H69" i="18"/>
  <c r="B69" i="18" s="1"/>
  <c r="K33" i="18" s="1"/>
  <c r="O18" i="29" s="1"/>
  <c r="H59" i="18"/>
  <c r="D12" i="29"/>
  <c r="H41" i="18"/>
  <c r="D4" i="29"/>
  <c r="D5" i="29"/>
  <c r="H47" i="18"/>
  <c r="D13" i="29"/>
  <c r="H65" i="18"/>
  <c r="D15" i="29"/>
  <c r="D10" i="29"/>
  <c r="H57" i="18"/>
  <c r="D14" i="29"/>
  <c r="H51" i="18"/>
  <c r="H49" i="18"/>
  <c r="D11" i="29"/>
  <c r="H61" i="18"/>
  <c r="D9" i="29"/>
  <c r="H71" i="18"/>
  <c r="B71" i="18" s="1"/>
  <c r="K35" i="18" s="1"/>
  <c r="O19" i="29" s="1"/>
  <c r="D8" i="29"/>
  <c r="D7" i="29"/>
  <c r="D18" i="29"/>
  <c r="D16" i="29"/>
  <c r="D19" i="29"/>
  <c r="D17" i="29"/>
  <c r="AA7" i="18"/>
  <c r="Z5" i="18"/>
  <c r="AO35" i="18"/>
  <c r="AN35" i="18"/>
  <c r="AN33" i="18"/>
  <c r="AM33" i="18"/>
  <c r="AM35" i="18"/>
  <c r="AC35" i="18"/>
  <c r="AC33" i="18"/>
  <c r="AE35" i="18"/>
  <c r="AE33" i="18"/>
  <c r="AF35" i="18"/>
  <c r="AF33" i="18"/>
  <c r="AB35" i="18"/>
  <c r="AB33" i="18"/>
  <c r="AJ35" i="18"/>
  <c r="AJ33" i="18"/>
  <c r="AH33" i="18"/>
  <c r="AH35" i="18"/>
  <c r="AD35" i="18"/>
  <c r="AD33" i="18"/>
  <c r="AI33" i="18"/>
  <c r="AI35" i="18"/>
  <c r="AG33" i="18"/>
  <c r="AG35" i="18"/>
  <c r="AL35" i="18"/>
  <c r="AL33" i="18"/>
  <c r="AK35" i="18"/>
  <c r="AK33" i="18"/>
  <c r="AA35" i="18"/>
  <c r="AA33" i="18"/>
  <c r="Z35" i="18"/>
  <c r="Z33" i="18"/>
  <c r="AM31" i="18"/>
  <c r="AL31" i="18"/>
  <c r="AK31" i="18"/>
  <c r="AK29" i="18"/>
  <c r="AK27" i="18"/>
  <c r="Z31" i="18"/>
  <c r="Z23" i="18"/>
  <c r="Z25" i="18"/>
  <c r="Z11" i="18"/>
  <c r="Z29" i="18"/>
  <c r="Z27" i="18"/>
  <c r="Z19" i="18"/>
  <c r="Z21" i="18"/>
  <c r="Z15" i="18"/>
  <c r="Z9" i="18"/>
  <c r="Z13" i="18"/>
  <c r="Z7" i="18"/>
  <c r="Z17" i="18"/>
  <c r="AG31" i="18"/>
  <c r="AG27" i="18"/>
  <c r="AG23" i="18"/>
  <c r="AG25" i="18"/>
  <c r="AG21" i="18"/>
  <c r="AG29" i="18"/>
  <c r="AG19" i="18"/>
  <c r="AC15" i="18"/>
  <c r="AC29" i="18"/>
  <c r="AC31" i="18"/>
  <c r="AC27" i="18"/>
  <c r="AC21" i="18"/>
  <c r="AC19" i="18"/>
  <c r="AC13" i="18"/>
  <c r="AC11" i="18"/>
  <c r="AC23" i="18"/>
  <c r="AC17" i="18"/>
  <c r="AC25" i="18"/>
  <c r="AE29" i="18"/>
  <c r="AE19" i="18"/>
  <c r="AE25" i="18"/>
  <c r="AE31" i="18"/>
  <c r="AE27" i="18"/>
  <c r="AE17" i="18"/>
  <c r="AE23" i="18"/>
  <c r="AE21" i="18"/>
  <c r="AE15" i="18"/>
  <c r="AJ31" i="18"/>
  <c r="AJ27" i="18"/>
  <c r="AJ29" i="18"/>
  <c r="AJ25" i="18"/>
  <c r="AI29" i="18"/>
  <c r="AI31" i="18"/>
  <c r="AI27" i="18"/>
  <c r="AI25" i="18"/>
  <c r="AI23" i="18"/>
  <c r="AB13" i="18"/>
  <c r="AB19" i="18"/>
  <c r="AB29" i="18"/>
  <c r="AB21" i="18"/>
  <c r="AB23" i="18"/>
  <c r="AB9" i="18"/>
  <c r="AB27" i="18"/>
  <c r="AB31" i="18"/>
  <c r="AB11" i="18"/>
  <c r="AB17" i="18"/>
  <c r="AB25" i="18"/>
  <c r="AB15" i="18"/>
  <c r="AD21" i="18"/>
  <c r="AD17" i="18"/>
  <c r="AD25" i="18"/>
  <c r="AD15" i="18"/>
  <c r="AD31" i="18"/>
  <c r="AD19" i="18"/>
  <c r="AD27" i="18"/>
  <c r="AD13" i="18"/>
  <c r="AD23" i="18"/>
  <c r="AF25" i="18"/>
  <c r="AF17" i="18"/>
  <c r="AF31" i="18"/>
  <c r="AF29" i="18"/>
  <c r="AF21" i="18"/>
  <c r="AF27" i="18"/>
  <c r="AF19" i="18"/>
  <c r="AF23" i="18"/>
  <c r="AA23" i="18"/>
  <c r="AA21" i="18"/>
  <c r="AA15" i="18"/>
  <c r="AA9" i="18"/>
  <c r="AA29" i="18"/>
  <c r="AA13" i="18"/>
  <c r="AA19" i="18"/>
  <c r="AA25" i="18"/>
  <c r="AA31" i="18"/>
  <c r="AA11" i="18"/>
  <c r="AA27" i="18"/>
  <c r="AA17" i="18"/>
  <c r="AH23" i="18"/>
  <c r="AH21" i="18"/>
  <c r="AH27" i="18"/>
  <c r="AH29" i="18"/>
  <c r="AH31" i="18"/>
  <c r="AH25" i="18"/>
  <c r="AT5" i="18" l="1"/>
  <c r="S5" i="18"/>
  <c r="AT27" i="18"/>
  <c r="AT19" i="18"/>
  <c r="AT17" i="18"/>
  <c r="AT29" i="18"/>
  <c r="AT7" i="18"/>
  <c r="AT11" i="18"/>
  <c r="AT13" i="18"/>
  <c r="AT33" i="18"/>
  <c r="AT9" i="18"/>
  <c r="AT25" i="18"/>
  <c r="AT35" i="18"/>
  <c r="AT15" i="18"/>
  <c r="AT23" i="18"/>
  <c r="AT21" i="18"/>
  <c r="AT31" i="18"/>
  <c r="S27" i="18"/>
  <c r="L15" i="29" s="1"/>
  <c r="A15" i="29" s="1"/>
  <c r="C15" i="29" s="1"/>
  <c r="S7" i="18"/>
  <c r="L5" i="29" s="1"/>
  <c r="A5" i="29" s="1"/>
  <c r="C5" i="29" s="1"/>
  <c r="S11" i="18"/>
  <c r="L7" i="29" s="1"/>
  <c r="A7" i="29" s="1"/>
  <c r="C7" i="29" s="1"/>
  <c r="S13" i="18"/>
  <c r="L8" i="29" s="1"/>
  <c r="A8" i="29" s="1"/>
  <c r="C8" i="29" s="1"/>
  <c r="S33" i="18"/>
  <c r="L18" i="29" s="1"/>
  <c r="A18" i="29" s="1"/>
  <c r="C18" i="29" s="1"/>
  <c r="S29" i="18"/>
  <c r="L16" i="29" s="1"/>
  <c r="A16" i="29" s="1"/>
  <c r="C16" i="29" s="1"/>
  <c r="S9" i="18"/>
  <c r="L6" i="29" s="1"/>
  <c r="A6" i="29" s="1"/>
  <c r="C6" i="29" s="1"/>
  <c r="S25" i="18"/>
  <c r="L14" i="29" s="1"/>
  <c r="A14" i="29" s="1"/>
  <c r="C14" i="29" s="1"/>
  <c r="S35" i="18"/>
  <c r="L19" i="29" s="1"/>
  <c r="A19" i="29" s="1"/>
  <c r="C19" i="29" s="1"/>
  <c r="S19" i="18"/>
  <c r="L11" i="29" s="1"/>
  <c r="A11" i="29" s="1"/>
  <c r="C11" i="29" s="1"/>
  <c r="S17" i="18"/>
  <c r="L10" i="29" s="1"/>
  <c r="A10" i="29" s="1"/>
  <c r="C10" i="29" s="1"/>
  <c r="S15" i="18"/>
  <c r="L9" i="29" s="1"/>
  <c r="A9" i="29" s="1"/>
  <c r="C9" i="29" s="1"/>
  <c r="S23" i="18"/>
  <c r="L13" i="29" s="1"/>
  <c r="A13" i="29" s="1"/>
  <c r="C13" i="29" s="1"/>
  <c r="S21" i="18"/>
  <c r="L12" i="29" s="1"/>
  <c r="A12" i="29" s="1"/>
  <c r="C12" i="29" s="1"/>
  <c r="S31" i="18"/>
  <c r="L17" i="29" s="1"/>
  <c r="A17" i="29" s="1"/>
  <c r="C17" i="29" s="1"/>
  <c r="L4" i="29" l="1"/>
  <c r="A4" i="29" s="1"/>
  <c r="C4" i="29" s="1"/>
  <c r="BJ5" i="18"/>
  <c r="BI31" i="18" l="1"/>
  <c r="BI7" i="18"/>
  <c r="BI11" i="18"/>
  <c r="BI15" i="18"/>
  <c r="BI17" i="18"/>
  <c r="BI21" i="18"/>
  <c r="BI23" i="18"/>
  <c r="BI25" i="18"/>
  <c r="BI19" i="18"/>
  <c r="BI27" i="18"/>
  <c r="BI29" i="18"/>
  <c r="BI9" i="18"/>
  <c r="BI13" i="18"/>
  <c r="B61" i="18"/>
  <c r="K25" i="18" s="1"/>
  <c r="O14" i="29" s="1"/>
  <c r="B47" i="18"/>
  <c r="K11" i="18" s="1"/>
  <c r="O7" i="29" s="1"/>
  <c r="B51" i="18"/>
  <c r="K15" i="18" s="1"/>
  <c r="O9" i="29" s="1"/>
  <c r="B43" i="18"/>
  <c r="K7" i="18" s="1"/>
  <c r="O5" i="29" s="1"/>
  <c r="B53" i="18"/>
  <c r="K17" i="18" s="1"/>
  <c r="O10" i="29" s="1"/>
  <c r="B59" i="18"/>
  <c r="K23" i="18" s="1"/>
  <c r="O13" i="29" s="1"/>
  <c r="B63" i="18"/>
  <c r="K27" i="18" s="1"/>
  <c r="O15" i="29" s="1"/>
  <c r="B57" i="18"/>
  <c r="K21" i="18" s="1"/>
  <c r="O12" i="29" s="1"/>
  <c r="B45" i="18"/>
  <c r="K9" i="18" s="1"/>
  <c r="O6" i="29" s="1"/>
  <c r="B55" i="18"/>
  <c r="K19" i="18" s="1"/>
  <c r="O11" i="29" s="1"/>
  <c r="B49" i="18"/>
  <c r="K13" i="18" s="1"/>
  <c r="O8" i="29" s="1"/>
  <c r="B67" i="18"/>
  <c r="K31" i="18" s="1"/>
  <c r="O17" i="29" s="1"/>
  <c r="B41" i="18"/>
  <c r="B65" i="18"/>
  <c r="K29" i="18" s="1"/>
  <c r="O16" i="29" s="1"/>
  <c r="E6" i="29" l="1"/>
  <c r="B73" i="18"/>
  <c r="H73" i="18"/>
  <c r="K5" i="18"/>
  <c r="K37" i="18" l="1"/>
  <c r="O4" i="29"/>
  <c r="E9" i="29" l="1"/>
  <c r="E10" i="29"/>
  <c r="E18" i="29"/>
  <c r="E19" i="29"/>
  <c r="E15" i="29"/>
  <c r="E13" i="29"/>
  <c r="E17" i="29"/>
  <c r="E11" i="29"/>
  <c r="E14" i="29"/>
  <c r="E16" i="29"/>
  <c r="E8" i="29"/>
  <c r="E12" i="29"/>
  <c r="E5" i="29"/>
  <c r="E7" i="29"/>
  <c r="E4" i="29"/>
  <c r="AU11" i="30" l="1"/>
  <c r="AU9" i="30"/>
  <c r="AU7" i="30"/>
</calcChain>
</file>

<file path=xl/sharedStrings.xml><?xml version="1.0" encoding="utf-8"?>
<sst xmlns="http://schemas.openxmlformats.org/spreadsheetml/2006/main" count="541" uniqueCount="176">
  <si>
    <t>Adjustment</t>
  </si>
  <si>
    <t>Hole</t>
  </si>
  <si>
    <t>Par</t>
  </si>
  <si>
    <t>Handicap</t>
  </si>
  <si>
    <t>Day 1 Match 1</t>
  </si>
  <si>
    <t>Day 1 Match 2</t>
  </si>
  <si>
    <t>Day 1 Match 3</t>
  </si>
  <si>
    <t>Total</t>
  </si>
  <si>
    <t>Match 1</t>
  </si>
  <si>
    <t>Match 2</t>
  </si>
  <si>
    <t>Match 3</t>
  </si>
  <si>
    <t>Match 4</t>
  </si>
  <si>
    <t>Match 5</t>
  </si>
  <si>
    <t>Match 6</t>
  </si>
  <si>
    <t>Totals</t>
  </si>
  <si>
    <t>Rank</t>
  </si>
  <si>
    <t>Player</t>
  </si>
  <si>
    <t>Score</t>
  </si>
  <si>
    <t>Net</t>
  </si>
  <si>
    <t>Points</t>
  </si>
  <si>
    <t>2nd Place</t>
  </si>
  <si>
    <t>3rd Place</t>
  </si>
  <si>
    <t>4th Place</t>
  </si>
  <si>
    <t>#</t>
  </si>
  <si>
    <t>Paid</t>
  </si>
  <si>
    <t>Long Drive</t>
  </si>
  <si>
    <t>Closest to Pin</t>
  </si>
  <si>
    <t>Long Putt</t>
  </si>
  <si>
    <t>Front 9</t>
  </si>
  <si>
    <t>Back 9</t>
  </si>
  <si>
    <t>Winner</t>
  </si>
  <si>
    <t>Secret Snowman</t>
  </si>
  <si>
    <t>**For winners put in a "1"</t>
  </si>
  <si>
    <t>#18</t>
  </si>
  <si>
    <t>#10</t>
  </si>
  <si>
    <t>#4</t>
  </si>
  <si>
    <t>Match Play</t>
  </si>
  <si>
    <t>Penalty</t>
  </si>
  <si>
    <t>Rookie</t>
  </si>
  <si>
    <t>Champ</t>
  </si>
  <si>
    <t>Lifetime</t>
  </si>
  <si>
    <t>Double Deuce</t>
  </si>
  <si>
    <t>Stroke Play Calculations</t>
  </si>
  <si>
    <t>Payouts</t>
  </si>
  <si>
    <t>TC</t>
  </si>
  <si>
    <t>Day 1</t>
  </si>
  <si>
    <t>Day 3</t>
  </si>
  <si>
    <t>Day 4</t>
  </si>
  <si>
    <t>Day 3 Match 10</t>
  </si>
  <si>
    <t>Day 3 Match 11</t>
  </si>
  <si>
    <t>Day 3 Match 12</t>
  </si>
  <si>
    <t>Day 1 Stroke Play</t>
  </si>
  <si>
    <t>Day 4 Points</t>
  </si>
  <si>
    <t>Final Results</t>
  </si>
  <si>
    <t>Day 1 - Points</t>
  </si>
  <si>
    <t>Day 2 - Points</t>
  </si>
  <si>
    <t>Day 1
Total Points</t>
  </si>
  <si>
    <t>Day 2
Total Points</t>
  </si>
  <si>
    <t>Day 3
Total Points</t>
  </si>
  <si>
    <t>Payout</t>
  </si>
  <si>
    <t>Mil</t>
  </si>
  <si>
    <t>Bob</t>
  </si>
  <si>
    <t>Rick</t>
  </si>
  <si>
    <t>Stroke Play Points</t>
  </si>
  <si>
    <t>1st Place</t>
  </si>
  <si>
    <t>5th Place</t>
  </si>
  <si>
    <t>6th Place</t>
  </si>
  <si>
    <t>7th Place</t>
  </si>
  <si>
    <t>8th Place</t>
  </si>
  <si>
    <t>9th Place</t>
  </si>
  <si>
    <t>10th Place</t>
  </si>
  <si>
    <t>11th Place</t>
  </si>
  <si>
    <t>12th Place</t>
  </si>
  <si>
    <t>9-Hole HC</t>
  </si>
  <si>
    <t>18-Hole HC</t>
  </si>
  <si>
    <t>HC</t>
  </si>
  <si>
    <t>Day 3 -Points</t>
  </si>
  <si>
    <t>Day 2</t>
  </si>
  <si>
    <t>13th Place</t>
  </si>
  <si>
    <t>14th Place</t>
  </si>
  <si>
    <t>15th Place</t>
  </si>
  <si>
    <t>16th Place</t>
  </si>
  <si>
    <t>Match 7</t>
  </si>
  <si>
    <t>TPC</t>
  </si>
  <si>
    <t>Day 4 -Points</t>
  </si>
  <si>
    <t>Day 2B Match 7</t>
  </si>
  <si>
    <t>Day 2A Match 4</t>
  </si>
  <si>
    <t>Day 2A Match 5</t>
  </si>
  <si>
    <t>Day 2A Match 6</t>
  </si>
  <si>
    <t>Day 2B Match 8</t>
  </si>
  <si>
    <t>Day 2B Match 9</t>
  </si>
  <si>
    <t>Day 3 Stroke Play</t>
  </si>
  <si>
    <t>HC Source</t>
  </si>
  <si>
    <t>Longest Putt</t>
  </si>
  <si>
    <t>Course</t>
  </si>
  <si>
    <t>Leaderboard</t>
  </si>
  <si>
    <t>Rank2</t>
  </si>
  <si>
    <t>Points2</t>
  </si>
  <si>
    <t>Index</t>
  </si>
  <si>
    <t>Max Handicap</t>
  </si>
  <si>
    <t>Tommy</t>
  </si>
  <si>
    <t>Day 2A</t>
  </si>
  <si>
    <t>Day 2B</t>
  </si>
  <si>
    <t>Adjustment1</t>
  </si>
  <si>
    <t>2X Champ</t>
  </si>
  <si>
    <t>3X Champ</t>
  </si>
  <si>
    <t>1st
Place</t>
  </si>
  <si>
    <t>2nd
Place</t>
  </si>
  <si>
    <t>3rd
Place</t>
  </si>
  <si>
    <t>1st</t>
  </si>
  <si>
    <t>2nd</t>
  </si>
  <si>
    <t>Par 3</t>
  </si>
  <si>
    <t>Avg Course Slope</t>
  </si>
  <si>
    <t>Par 3 HC</t>
  </si>
  <si>
    <t>GROUP 1</t>
  </si>
  <si>
    <t>GROUP 2</t>
  </si>
  <si>
    <t>GROUP 3</t>
  </si>
  <si>
    <t>GROUP 4</t>
  </si>
  <si>
    <t>Opponents</t>
  </si>
  <si>
    <t>Avg Slope</t>
  </si>
  <si>
    <t>Tees</t>
  </si>
  <si>
    <t>White</t>
  </si>
  <si>
    <t>Slope</t>
  </si>
  <si>
    <t>Yardage</t>
  </si>
  <si>
    <t>Index to HC Conversion</t>
  </si>
  <si>
    <t>Winnings</t>
  </si>
  <si>
    <t>#6</t>
  </si>
  <si>
    <t>#16</t>
  </si>
  <si>
    <t>#8</t>
  </si>
  <si>
    <t>#11</t>
  </si>
  <si>
    <t>#9</t>
  </si>
  <si>
    <t>#15</t>
  </si>
  <si>
    <t>Stroke Play HC</t>
  </si>
  <si>
    <t>Match 8</t>
  </si>
  <si>
    <t>4th
Place</t>
  </si>
  <si>
    <t>3rd</t>
  </si>
  <si>
    <t>4th</t>
  </si>
  <si>
    <t>Hunter</t>
  </si>
  <si>
    <t>PD Fazio - Replay</t>
  </si>
  <si>
    <t>Team 1</t>
  </si>
  <si>
    <t>Team 2</t>
  </si>
  <si>
    <t>Team 3</t>
  </si>
  <si>
    <t>Team 4</t>
  </si>
  <si>
    <t>Day 3
Scramble</t>
  </si>
  <si>
    <t>Scramble Points</t>
  </si>
  <si>
    <t/>
  </si>
  <si>
    <t>Team Rank</t>
  </si>
  <si>
    <t>Tie Breaker</t>
  </si>
  <si>
    <t>AVG Score</t>
  </si>
  <si>
    <t>HCP</t>
  </si>
  <si>
    <t>Net Score</t>
  </si>
  <si>
    <t>Eagle Mountain</t>
  </si>
  <si>
    <t>Wekopa Cholla</t>
  </si>
  <si>
    <t>Wekopa Saguaro</t>
  </si>
  <si>
    <t>Kierland</t>
  </si>
  <si>
    <t>Silver</t>
  </si>
  <si>
    <t>Scramble</t>
  </si>
  <si>
    <t>HC Rank</t>
  </si>
  <si>
    <t>Troon N MNMT</t>
  </si>
  <si>
    <t>Brian P</t>
  </si>
  <si>
    <t>Patrick</t>
  </si>
  <si>
    <t>Dave</t>
  </si>
  <si>
    <t>John</t>
  </si>
  <si>
    <t xml:space="preserve">Pat </t>
  </si>
  <si>
    <t>Keith</t>
  </si>
  <si>
    <t>Manny</t>
  </si>
  <si>
    <t>Chris</t>
  </si>
  <si>
    <t>Brian S</t>
  </si>
  <si>
    <t>Tony W</t>
  </si>
  <si>
    <t>Kierland A/M</t>
  </si>
  <si>
    <t>Copper</t>
  </si>
  <si>
    <t>Gerald C</t>
  </si>
  <si>
    <t>Green</t>
  </si>
  <si>
    <t>Avg</t>
  </si>
  <si>
    <t>Day 1 &amp; 2</t>
  </si>
  <si>
    <t>Day 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</si>
</sst>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0_);[Red]\(0\)"/>
    <numFmt numFmtId="167" formatCode="0.00_);[Red]\(0.00\)"/>
    <numFmt numFmtId="168" formatCode="[$-409]h:mm\ AM/PM;@"/>
    <numFmt numFmtId="169" formatCode="0.00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333333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333333"/>
      <name val="Calibri"/>
      <family val="2"/>
    </font>
    <font>
      <b/>
      <sz val="11"/>
      <color theme="1"/>
      <name val="Calibri"/>
      <family val="2"/>
      <scheme val="minor"/>
    </font>
    <font>
      <b/>
      <sz val="8"/>
      <color rgb="FF333333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8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3" borderId="15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left"/>
    </xf>
    <xf numFmtId="0" fontId="1" fillId="3" borderId="19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0" borderId="36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8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Fill="1" applyBorder="1"/>
    <xf numFmtId="0" fontId="5" fillId="0" borderId="18" xfId="0" applyFont="1" applyFill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49" xfId="0" applyFont="1" applyBorder="1"/>
    <xf numFmtId="0" fontId="5" fillId="0" borderId="48" xfId="0" applyFont="1" applyBorder="1"/>
    <xf numFmtId="0" fontId="5" fillId="2" borderId="8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0" borderId="51" xfId="0" applyFont="1" applyBorder="1"/>
    <xf numFmtId="0" fontId="5" fillId="0" borderId="1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3" xfId="0" applyFont="1" applyBorder="1" applyAlignment="1">
      <alignment horizontal="left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0" borderId="36" xfId="0" applyFont="1" applyBorder="1" applyAlignment="1">
      <alignment horizontal="right"/>
    </xf>
    <xf numFmtId="0" fontId="1" fillId="0" borderId="37" xfId="0" applyFont="1" applyBorder="1" applyAlignment="1">
      <alignment horizontal="right"/>
    </xf>
    <xf numFmtId="0" fontId="1" fillId="0" borderId="55" xfId="0" applyFont="1" applyBorder="1" applyAlignment="1">
      <alignment horizontal="right"/>
    </xf>
    <xf numFmtId="0" fontId="8" fillId="0" borderId="10" xfId="0" applyFont="1" applyBorder="1" applyAlignment="1" applyProtection="1">
      <alignment horizontal="center"/>
    </xf>
    <xf numFmtId="0" fontId="8" fillId="0" borderId="4" xfId="0" applyFont="1" applyBorder="1" applyAlignment="1" applyProtection="1">
      <alignment horizontal="center"/>
    </xf>
    <xf numFmtId="0" fontId="8" fillId="0" borderId="11" xfId="0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/>
    </xf>
    <xf numFmtId="0" fontId="8" fillId="0" borderId="6" xfId="0" applyFont="1" applyBorder="1" applyAlignment="1" applyProtection="1">
      <alignment horizontal="center"/>
    </xf>
    <xf numFmtId="0" fontId="8" fillId="0" borderId="21" xfId="0" applyFont="1" applyBorder="1" applyAlignment="1" applyProtection="1">
      <alignment horizontal="center"/>
    </xf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28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1" fillId="0" borderId="27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" fontId="1" fillId="0" borderId="8" xfId="0" applyNumberFormat="1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27" xfId="0" applyNumberFormat="1" applyFont="1" applyBorder="1" applyAlignment="1">
      <alignment horizontal="center" wrapText="1"/>
    </xf>
    <xf numFmtId="1" fontId="1" fillId="0" borderId="28" xfId="0" applyNumberFormat="1" applyFont="1" applyBorder="1" applyAlignment="1">
      <alignment horizontal="center" wrapText="1"/>
    </xf>
    <xf numFmtId="1" fontId="1" fillId="0" borderId="29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1" fontId="1" fillId="0" borderId="24" xfId="0" applyNumberFormat="1" applyFont="1" applyBorder="1" applyAlignment="1">
      <alignment horizontal="center" wrapText="1"/>
    </xf>
    <xf numFmtId="165" fontId="2" fillId="0" borderId="0" xfId="1" applyNumberFormat="1" applyFont="1" applyAlignment="1">
      <alignment horizontal="center" wrapText="1"/>
    </xf>
    <xf numFmtId="0" fontId="1" fillId="0" borderId="29" xfId="0" applyFont="1" applyBorder="1" applyAlignment="1">
      <alignment wrapText="1"/>
    </xf>
    <xf numFmtId="0" fontId="1" fillId="0" borderId="57" xfId="0" applyFont="1" applyBorder="1" applyAlignment="1">
      <alignment wrapText="1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2" fillId="0" borderId="29" xfId="0" applyFont="1" applyBorder="1" applyAlignment="1">
      <alignment horizontal="center" wrapText="1"/>
    </xf>
    <xf numFmtId="0" fontId="1" fillId="0" borderId="27" xfId="0" applyFont="1" applyBorder="1"/>
    <xf numFmtId="0" fontId="1" fillId="0" borderId="10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49" xfId="0" applyFont="1" applyBorder="1"/>
    <xf numFmtId="0" fontId="1" fillId="0" borderId="32" xfId="0" applyFont="1" applyBorder="1" applyAlignment="1">
      <alignment horizontal="right"/>
    </xf>
    <xf numFmtId="6" fontId="1" fillId="0" borderId="29" xfId="0" applyNumberFormat="1" applyFont="1" applyBorder="1" applyAlignment="1">
      <alignment horizontal="center"/>
    </xf>
    <xf numFmtId="0" fontId="1" fillId="0" borderId="48" xfId="0" applyFont="1" applyBorder="1"/>
    <xf numFmtId="0" fontId="1" fillId="2" borderId="23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6" fontId="1" fillId="0" borderId="0" xfId="0" applyNumberFormat="1" applyFont="1" applyAlignment="1">
      <alignment horizontal="center"/>
    </xf>
    <xf numFmtId="6" fontId="10" fillId="0" borderId="4" xfId="0" applyNumberFormat="1" applyFont="1" applyBorder="1" applyAlignment="1">
      <alignment horizontal="center" wrapText="1"/>
    </xf>
    <xf numFmtId="6" fontId="10" fillId="0" borderId="8" xfId="0" applyNumberFormat="1" applyFont="1" applyBorder="1" applyAlignment="1">
      <alignment horizontal="center" wrapText="1"/>
    </xf>
    <xf numFmtId="0" fontId="1" fillId="0" borderId="24" xfId="0" applyFont="1" applyBorder="1" applyAlignment="1">
      <alignment horizontal="left"/>
    </xf>
    <xf numFmtId="6" fontId="2" fillId="0" borderId="24" xfId="0" applyNumberFormat="1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6" fontId="1" fillId="2" borderId="9" xfId="0" applyNumberFormat="1" applyFont="1" applyFill="1" applyBorder="1" applyAlignment="1">
      <alignment horizontal="center"/>
    </xf>
    <xf numFmtId="6" fontId="1" fillId="2" borderId="11" xfId="0" applyNumberFormat="1" applyFont="1" applyFill="1" applyBorder="1" applyAlignment="1">
      <alignment horizontal="center"/>
    </xf>
    <xf numFmtId="6" fontId="1" fillId="2" borderId="33" xfId="0" applyNumberFormat="1" applyFont="1" applyFill="1" applyBorder="1" applyAlignment="1">
      <alignment horizontal="center"/>
    </xf>
    <xf numFmtId="6" fontId="1" fillId="2" borderId="14" xfId="0" applyNumberFormat="1" applyFont="1" applyFill="1" applyBorder="1" applyAlignment="1">
      <alignment horizontal="center"/>
    </xf>
    <xf numFmtId="6" fontId="1" fillId="2" borderId="15" xfId="0" applyNumberFormat="1" applyFont="1" applyFill="1" applyBorder="1" applyAlignment="1">
      <alignment horizontal="center"/>
    </xf>
    <xf numFmtId="6" fontId="1" fillId="2" borderId="16" xfId="0" applyNumberFormat="1" applyFont="1" applyFill="1" applyBorder="1" applyAlignment="1">
      <alignment horizontal="center"/>
    </xf>
    <xf numFmtId="6" fontId="1" fillId="2" borderId="49" xfId="0" applyNumberFormat="1" applyFont="1" applyFill="1" applyBorder="1" applyAlignment="1">
      <alignment horizontal="center"/>
    </xf>
    <xf numFmtId="6" fontId="1" fillId="2" borderId="17" xfId="0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6" fontId="5" fillId="0" borderId="0" xfId="0" applyNumberFormat="1" applyFont="1" applyAlignment="1">
      <alignment horizontal="center"/>
    </xf>
    <xf numFmtId="0" fontId="5" fillId="0" borderId="56" xfId="0" applyFont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1" fillId="0" borderId="24" xfId="0" applyFont="1" applyBorder="1"/>
    <xf numFmtId="6" fontId="10" fillId="0" borderId="7" xfId="0" applyNumberFormat="1" applyFont="1" applyBorder="1" applyAlignment="1">
      <alignment horizontal="center" wrapText="1"/>
    </xf>
    <xf numFmtId="6" fontId="10" fillId="0" borderId="10" xfId="0" applyNumberFormat="1" applyFont="1" applyBorder="1" applyAlignment="1">
      <alignment horizontal="center" wrapText="1"/>
    </xf>
    <xf numFmtId="6" fontId="9" fillId="0" borderId="36" xfId="0" applyNumberFormat="1" applyFont="1" applyBorder="1" applyAlignment="1">
      <alignment horizontal="center"/>
    </xf>
    <xf numFmtId="6" fontId="9" fillId="0" borderId="37" xfId="0" applyNumberFormat="1" applyFont="1" applyBorder="1" applyAlignment="1">
      <alignment horizontal="center"/>
    </xf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2" borderId="51" xfId="0" applyFont="1" applyFill="1" applyBorder="1"/>
    <xf numFmtId="0" fontId="5" fillId="2" borderId="30" xfId="0" applyFont="1" applyFill="1" applyBorder="1"/>
    <xf numFmtId="0" fontId="5" fillId="0" borderId="53" xfId="0" applyFont="1" applyBorder="1"/>
    <xf numFmtId="0" fontId="5" fillId="0" borderId="54" xfId="0" applyFont="1" applyBorder="1"/>
    <xf numFmtId="0" fontId="5" fillId="0" borderId="1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0" borderId="58" xfId="0" applyFont="1" applyBorder="1"/>
    <xf numFmtId="0" fontId="5" fillId="0" borderId="59" xfId="0" applyFont="1" applyBorder="1"/>
    <xf numFmtId="0" fontId="5" fillId="0" borderId="7" xfId="0" applyFont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0" borderId="54" xfId="0" applyFont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1" fillId="0" borderId="31" xfId="0" applyFont="1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1" fontId="1" fillId="0" borderId="7" xfId="0" applyNumberFormat="1" applyFont="1" applyBorder="1" applyAlignment="1">
      <alignment horizontal="center" wrapText="1"/>
    </xf>
    <xf numFmtId="1" fontId="1" fillId="0" borderId="10" xfId="0" applyNumberFormat="1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3" xfId="0" applyFont="1" applyBorder="1" applyAlignment="1">
      <alignment horizontal="center" wrapText="1"/>
    </xf>
    <xf numFmtId="0" fontId="5" fillId="0" borderId="4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wrapText="1"/>
    </xf>
    <xf numFmtId="1" fontId="1" fillId="0" borderId="11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/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2" fillId="0" borderId="24" xfId="0" applyFont="1" applyFill="1" applyBorder="1" applyAlignment="1">
      <alignment horizontal="left"/>
    </xf>
    <xf numFmtId="0" fontId="1" fillId="0" borderId="65" xfId="0" applyFont="1" applyBorder="1" applyAlignment="1">
      <alignment horizontal="center" wrapText="1"/>
    </xf>
    <xf numFmtId="1" fontId="1" fillId="0" borderId="66" xfId="0" applyNumberFormat="1" applyFont="1" applyBorder="1" applyAlignment="1">
      <alignment horizontal="center" wrapText="1"/>
    </xf>
    <xf numFmtId="1" fontId="1" fillId="0" borderId="60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6" xfId="0" applyFont="1" applyBorder="1" applyAlignment="1">
      <alignment horizontal="center" wrapText="1"/>
    </xf>
    <xf numFmtId="0" fontId="1" fillId="0" borderId="36" xfId="0" applyFont="1" applyBorder="1"/>
    <xf numFmtId="0" fontId="1" fillId="0" borderId="37" xfId="0" applyFont="1" applyBorder="1"/>
    <xf numFmtId="0" fontId="1" fillId="0" borderId="55" xfId="0" applyFont="1" applyBorder="1"/>
    <xf numFmtId="0" fontId="1" fillId="0" borderId="67" xfId="0" applyFont="1" applyBorder="1" applyAlignment="1">
      <alignment horizontal="center"/>
    </xf>
    <xf numFmtId="0" fontId="1" fillId="0" borderId="57" xfId="0" applyFont="1" applyBorder="1"/>
    <xf numFmtId="0" fontId="1" fillId="0" borderId="6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2" fontId="1" fillId="0" borderId="11" xfId="0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55" xfId="0" applyFont="1" applyBorder="1" applyAlignment="1">
      <alignment horizontal="left"/>
    </xf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wrapText="1"/>
    </xf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12" fillId="0" borderId="1" xfId="0" applyFont="1" applyFill="1" applyBorder="1" applyAlignment="1">
      <alignment horizontal="left"/>
    </xf>
    <xf numFmtId="0" fontId="5" fillId="0" borderId="1" xfId="0" applyFont="1" applyBorder="1"/>
    <xf numFmtId="0" fontId="1" fillId="0" borderId="52" xfId="0" applyFont="1" applyBorder="1"/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2" borderId="54" xfId="0" applyFont="1" applyFill="1" applyBorder="1"/>
    <xf numFmtId="0" fontId="1" fillId="3" borderId="18" xfId="0" applyFont="1" applyFill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61" xfId="0" applyFont="1" applyBorder="1" applyAlignment="1">
      <alignment wrapText="1"/>
    </xf>
    <xf numFmtId="0" fontId="1" fillId="0" borderId="46" xfId="0" applyFont="1" applyFill="1" applyBorder="1" applyAlignment="1">
      <alignment horizontal="center"/>
    </xf>
    <xf numFmtId="0" fontId="1" fillId="0" borderId="44" xfId="0" applyFont="1" applyFill="1" applyBorder="1" applyAlignment="1">
      <alignment horizontal="center"/>
    </xf>
    <xf numFmtId="0" fontId="1" fillId="0" borderId="47" xfId="0" applyFont="1" applyFill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1" fontId="1" fillId="0" borderId="0" xfId="0" applyNumberFormat="1" applyFont="1" applyBorder="1" applyAlignment="1">
      <alignment horizontal="center" wrapText="1"/>
    </xf>
    <xf numFmtId="0" fontId="0" fillId="0" borderId="0" xfId="0" applyBorder="1"/>
    <xf numFmtId="14" fontId="0" fillId="0" borderId="0" xfId="0" applyNumberFormat="1"/>
    <xf numFmtId="0" fontId="0" fillId="0" borderId="16" xfId="0" applyBorder="1"/>
    <xf numFmtId="0" fontId="0" fillId="0" borderId="48" xfId="0" applyBorder="1"/>
    <xf numFmtId="0" fontId="0" fillId="0" borderId="24" xfId="0" applyBorder="1"/>
    <xf numFmtId="165" fontId="2" fillId="0" borderId="27" xfId="1" applyNumberFormat="1" applyFont="1" applyBorder="1" applyAlignment="1">
      <alignment horizontal="center" wrapText="1"/>
    </xf>
    <xf numFmtId="1" fontId="2" fillId="0" borderId="25" xfId="1" applyNumberFormat="1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1" fontId="2" fillId="0" borderId="10" xfId="1" applyNumberFormat="1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1" fontId="2" fillId="0" borderId="27" xfId="1" applyNumberFormat="1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2" fontId="1" fillId="0" borderId="9" xfId="0" applyNumberFormat="1" applyFont="1" applyBorder="1" applyAlignment="1">
      <alignment horizontal="center" wrapText="1"/>
    </xf>
    <xf numFmtId="0" fontId="2" fillId="0" borderId="61" xfId="0" applyFont="1" applyBorder="1" applyAlignment="1">
      <alignment horizontal="center" wrapText="1"/>
    </xf>
    <xf numFmtId="0" fontId="9" fillId="0" borderId="69" xfId="0" applyFont="1" applyBorder="1" applyAlignment="1">
      <alignment horizontal="center" wrapText="1"/>
    </xf>
    <xf numFmtId="0" fontId="9" fillId="0" borderId="40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6" fontId="9" fillId="0" borderId="15" xfId="0" applyNumberFormat="1" applyFont="1" applyBorder="1" applyAlignment="1">
      <alignment horizontal="center" wrapText="1"/>
    </xf>
    <xf numFmtId="6" fontId="9" fillId="0" borderId="16" xfId="0" applyNumberFormat="1" applyFont="1" applyBorder="1" applyAlignment="1">
      <alignment horizontal="center" wrapText="1"/>
    </xf>
    <xf numFmtId="0" fontId="2" fillId="0" borderId="68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5" fillId="2" borderId="7" xfId="0" applyFont="1" applyFill="1" applyBorder="1" applyAlignment="1">
      <alignment horizontal="center"/>
    </xf>
    <xf numFmtId="0" fontId="1" fillId="0" borderId="0" xfId="0" applyFont="1" applyFill="1" applyAlignment="1">
      <alignment horizontal="center" wrapText="1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6" fontId="2" fillId="0" borderId="27" xfId="0" applyNumberFormat="1" applyFont="1" applyBorder="1" applyAlignment="1">
      <alignment horizontal="center"/>
    </xf>
    <xf numFmtId="6" fontId="2" fillId="0" borderId="28" xfId="0" applyNumberFormat="1" applyFont="1" applyBorder="1" applyAlignment="1">
      <alignment horizontal="center"/>
    </xf>
    <xf numFmtId="6" fontId="2" fillId="0" borderId="29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/>
    <xf numFmtId="0" fontId="0" fillId="0" borderId="17" xfId="0" applyBorder="1"/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wrapText="1"/>
    </xf>
    <xf numFmtId="0" fontId="7" fillId="0" borderId="23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2" fontId="5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left"/>
    </xf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68" xfId="0" applyFont="1" applyBorder="1"/>
    <xf numFmtId="0" fontId="6" fillId="0" borderId="24" xfId="0" applyFont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5" fillId="0" borderId="0" xfId="0" applyFont="1" applyFill="1" applyBorder="1" applyAlignment="1">
      <alignment horizontal="left"/>
    </xf>
    <xf numFmtId="164" fontId="5" fillId="0" borderId="0" xfId="0" applyNumberFormat="1" applyFont="1" applyFill="1" applyBorder="1" applyAlignment="1">
      <alignment horizontal="center"/>
    </xf>
    <xf numFmtId="166" fontId="5" fillId="0" borderId="0" xfId="0" applyNumberFormat="1" applyFont="1" applyFill="1" applyBorder="1" applyAlignment="1">
      <alignment horizontal="center"/>
    </xf>
    <xf numFmtId="167" fontId="5" fillId="0" borderId="0" xfId="0" applyNumberFormat="1" applyFont="1" applyBorder="1" applyAlignment="1">
      <alignment horizontal="center"/>
    </xf>
    <xf numFmtId="167" fontId="5" fillId="0" borderId="0" xfId="0" applyNumberFormat="1" applyFont="1" applyBorder="1"/>
    <xf numFmtId="0" fontId="5" fillId="0" borderId="64" xfId="0" applyFont="1" applyFill="1" applyBorder="1" applyAlignment="1">
      <alignment horizontal="left"/>
    </xf>
    <xf numFmtId="6" fontId="5" fillId="0" borderId="0" xfId="0" applyNumberFormat="1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1" fillId="0" borderId="53" xfId="0" applyFont="1" applyBorder="1"/>
    <xf numFmtId="0" fontId="1" fillId="0" borderId="64" xfId="0" applyFont="1" applyBorder="1"/>
    <xf numFmtId="0" fontId="1" fillId="0" borderId="51" xfId="0" applyFont="1" applyBorder="1"/>
    <xf numFmtId="0" fontId="1" fillId="0" borderId="63" xfId="0" applyFont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1" fillId="0" borderId="33" xfId="0" applyNumberFormat="1" applyFont="1" applyBorder="1" applyAlignment="1">
      <alignment horizontal="center"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2" fontId="1" fillId="0" borderId="21" xfId="0" applyNumberFormat="1" applyFont="1" applyBorder="1" applyAlignment="1">
      <alignment horizontal="center" wrapText="1"/>
    </xf>
    <xf numFmtId="0" fontId="2" fillId="0" borderId="60" xfId="0" applyFont="1" applyBorder="1" applyAlignment="1">
      <alignment horizontal="center" wrapText="1"/>
    </xf>
    <xf numFmtId="1" fontId="2" fillId="0" borderId="24" xfId="1" applyNumberFormat="1" applyFont="1" applyBorder="1" applyAlignment="1">
      <alignment horizontal="center" wrapText="1"/>
    </xf>
    <xf numFmtId="165" fontId="2" fillId="0" borderId="63" xfId="1" applyNumberFormat="1" applyFont="1" applyBorder="1" applyAlignment="1">
      <alignment horizontal="center" wrapText="1"/>
    </xf>
    <xf numFmtId="2" fontId="2" fillId="0" borderId="15" xfId="0" applyNumberFormat="1" applyFont="1" applyBorder="1" applyAlignment="1">
      <alignment horizontal="center" wrapText="1"/>
    </xf>
    <xf numFmtId="2" fontId="2" fillId="0" borderId="16" xfId="0" applyNumberFormat="1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2" fontId="1" fillId="0" borderId="20" xfId="0" applyNumberFormat="1" applyFont="1" applyBorder="1" applyAlignment="1">
      <alignment horizontal="center" wrapText="1"/>
    </xf>
    <xf numFmtId="0" fontId="5" fillId="0" borderId="55" xfId="0" applyFont="1" applyFill="1" applyBorder="1" applyAlignment="1">
      <alignment horizontal="left"/>
    </xf>
    <xf numFmtId="9" fontId="5" fillId="2" borderId="11" xfId="0" applyNumberFormat="1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6" fillId="0" borderId="56" xfId="0" applyFont="1" applyBorder="1" applyAlignment="1">
      <alignment horizontal="center" wrapText="1"/>
    </xf>
    <xf numFmtId="0" fontId="5" fillId="0" borderId="42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wrapText="1"/>
    </xf>
    <xf numFmtId="0" fontId="14" fillId="0" borderId="4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5" fillId="0" borderId="36" xfId="0" applyFont="1" applyFill="1" applyBorder="1" applyAlignment="1">
      <alignment horizontal="left"/>
    </xf>
    <xf numFmtId="0" fontId="5" fillId="0" borderId="52" xfId="0" applyFont="1" applyFill="1" applyBorder="1" applyAlignment="1">
      <alignment horizontal="left"/>
    </xf>
    <xf numFmtId="0" fontId="5" fillId="0" borderId="37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0" borderId="24" xfId="0" applyBorder="1" applyAlignment="1">
      <alignment wrapText="1"/>
    </xf>
    <xf numFmtId="0" fontId="0" fillId="0" borderId="4" xfId="0" applyBorder="1"/>
    <xf numFmtId="1" fontId="0" fillId="0" borderId="10" xfId="0" applyNumberFormat="1" applyBorder="1" applyAlignment="1">
      <alignment horizontal="left"/>
    </xf>
    <xf numFmtId="0" fontId="13" fillId="0" borderId="27" xfId="0" applyFont="1" applyBorder="1"/>
    <xf numFmtId="0" fontId="13" fillId="0" borderId="28" xfId="0" applyFont="1" applyBorder="1"/>
    <xf numFmtId="0" fontId="13" fillId="0" borderId="28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5" fillId="0" borderId="15" xfId="0" applyFont="1" applyFill="1" applyBorder="1"/>
    <xf numFmtId="0" fontId="5" fillId="0" borderId="60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6" fontId="9" fillId="0" borderId="37" xfId="0" applyNumberFormat="1" applyFont="1" applyFill="1" applyBorder="1" applyAlignment="1">
      <alignment horizontal="center"/>
    </xf>
    <xf numFmtId="0" fontId="5" fillId="0" borderId="63" xfId="0" applyFont="1" applyBorder="1" applyAlignment="1">
      <alignment horizontal="center"/>
    </xf>
    <xf numFmtId="0" fontId="5" fillId="0" borderId="62" xfId="0" applyFont="1" applyBorder="1" applyAlignment="1">
      <alignment horizontal="center"/>
    </xf>
    <xf numFmtId="1" fontId="5" fillId="2" borderId="11" xfId="0" applyNumberFormat="1" applyFont="1" applyFill="1" applyBorder="1" applyAlignment="1">
      <alignment horizontal="center"/>
    </xf>
    <xf numFmtId="0" fontId="6" fillId="0" borderId="0" xfId="0" applyFont="1" applyFill="1" applyBorder="1"/>
    <xf numFmtId="0" fontId="5" fillId="2" borderId="49" xfId="0" applyFont="1" applyFill="1" applyBorder="1" applyAlignment="1">
      <alignment horizontal="center"/>
    </xf>
    <xf numFmtId="0" fontId="5" fillId="2" borderId="46" xfId="0" applyFont="1" applyFill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2" borderId="3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0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5" fillId="2" borderId="47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49" xfId="0" applyFont="1" applyBorder="1" applyAlignment="1">
      <alignment horizontal="left"/>
    </xf>
    <xf numFmtId="0" fontId="1" fillId="0" borderId="50" xfId="0" applyFont="1" applyBorder="1" applyAlignment="1">
      <alignment horizontal="center"/>
    </xf>
    <xf numFmtId="0" fontId="1" fillId="0" borderId="64" xfId="0" applyFont="1" applyBorder="1" applyAlignment="1">
      <alignment horizontal="left"/>
    </xf>
    <xf numFmtId="0" fontId="5" fillId="0" borderId="67" xfId="0" applyFont="1" applyBorder="1"/>
    <xf numFmtId="0" fontId="6" fillId="0" borderId="1" xfId="0" applyFont="1" applyBorder="1" applyAlignment="1">
      <alignment horizontal="center"/>
    </xf>
    <xf numFmtId="0" fontId="6" fillId="0" borderId="30" xfId="0" applyFont="1" applyBorder="1"/>
    <xf numFmtId="0" fontId="6" fillId="0" borderId="30" xfId="0" applyFont="1" applyBorder="1" applyAlignment="1">
      <alignment horizontal="left"/>
    </xf>
    <xf numFmtId="0" fontId="5" fillId="0" borderId="52" xfId="0" applyFont="1" applyBorder="1" applyAlignment="1">
      <alignment horizontal="center"/>
    </xf>
    <xf numFmtId="0" fontId="5" fillId="0" borderId="37" xfId="0" applyFont="1" applyBorder="1"/>
    <xf numFmtId="0" fontId="7" fillId="0" borderId="54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0" fillId="0" borderId="2" xfId="0" applyBorder="1"/>
    <xf numFmtId="0" fontId="1" fillId="0" borderId="13" xfId="0" applyFont="1" applyBorder="1" applyAlignment="1">
      <alignment horizontal="center" wrapText="1"/>
    </xf>
    <xf numFmtId="2" fontId="1" fillId="0" borderId="14" xfId="0" applyNumberFormat="1" applyFont="1" applyBorder="1" applyAlignment="1">
      <alignment horizontal="center" wrapText="1"/>
    </xf>
    <xf numFmtId="0" fontId="1" fillId="0" borderId="2" xfId="0" applyFont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16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wrapText="1"/>
    </xf>
    <xf numFmtId="1" fontId="1" fillId="0" borderId="6" xfId="0" applyNumberFormat="1" applyFont="1" applyBorder="1" applyAlignment="1">
      <alignment horizontal="center" wrapText="1"/>
    </xf>
    <xf numFmtId="0" fontId="1" fillId="0" borderId="51" xfId="0" applyFont="1" applyBorder="1" applyAlignment="1">
      <alignment wrapText="1"/>
    </xf>
    <xf numFmtId="6" fontId="0" fillId="0" borderId="0" xfId="0" applyNumberFormat="1" applyAlignment="1">
      <alignment horizontal="center"/>
    </xf>
    <xf numFmtId="0" fontId="11" fillId="0" borderId="0" xfId="0" applyFont="1" applyFill="1" applyBorder="1"/>
    <xf numFmtId="0" fontId="5" fillId="0" borderId="30" xfId="0" applyFont="1" applyBorder="1"/>
    <xf numFmtId="0" fontId="0" fillId="0" borderId="38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55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51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4" fillId="0" borderId="24" xfId="0" applyFont="1" applyFill="1" applyBorder="1" applyAlignment="1">
      <alignment horizontal="center" vertical="center"/>
    </xf>
    <xf numFmtId="0" fontId="7" fillId="0" borderId="54" xfId="0" applyFont="1" applyFill="1" applyBorder="1" applyAlignment="1">
      <alignment horizontal="center" vertical="center"/>
    </xf>
    <xf numFmtId="1" fontId="7" fillId="0" borderId="16" xfId="0" applyNumberFormat="1" applyFont="1" applyFill="1" applyBorder="1" applyAlignment="1">
      <alignment horizontal="center" vertical="center"/>
    </xf>
    <xf numFmtId="1" fontId="5" fillId="0" borderId="15" xfId="0" applyNumberFormat="1" applyFont="1" applyFill="1" applyBorder="1" applyAlignment="1">
      <alignment horizontal="center"/>
    </xf>
    <xf numFmtId="1" fontId="5" fillId="0" borderId="16" xfId="0" applyNumberFormat="1" applyFont="1" applyFill="1" applyBorder="1" applyAlignment="1">
      <alignment horizontal="center"/>
    </xf>
    <xf numFmtId="1" fontId="5" fillId="0" borderId="49" xfId="0" applyNumberFormat="1" applyFont="1" applyFill="1" applyBorder="1" applyAlignment="1">
      <alignment horizontal="center"/>
    </xf>
    <xf numFmtId="1" fontId="5" fillId="0" borderId="17" xfId="0" applyNumberFormat="1" applyFont="1" applyFill="1" applyBorder="1" applyAlignment="1">
      <alignment horizontal="center"/>
    </xf>
    <xf numFmtId="1" fontId="5" fillId="0" borderId="48" xfId="0" applyNumberFormat="1" applyFont="1" applyFill="1" applyBorder="1" applyAlignment="1">
      <alignment horizontal="center"/>
    </xf>
    <xf numFmtId="0" fontId="5" fillId="2" borderId="53" xfId="0" applyFont="1" applyFill="1" applyBorder="1"/>
    <xf numFmtId="3" fontId="5" fillId="2" borderId="53" xfId="0" applyNumberFormat="1" applyFont="1" applyFill="1" applyBorder="1"/>
    <xf numFmtId="0" fontId="1" fillId="0" borderId="17" xfId="0" applyFont="1" applyFill="1" applyBorder="1"/>
    <xf numFmtId="1" fontId="1" fillId="0" borderId="15" xfId="0" applyNumberFormat="1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43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51" xfId="0" applyFont="1" applyBorder="1" applyAlignment="1">
      <alignment horizontal="center" wrapText="1"/>
    </xf>
    <xf numFmtId="1" fontId="1" fillId="0" borderId="16" xfId="0" applyNumberFormat="1" applyFont="1" applyBorder="1" applyAlignment="1">
      <alignment horizontal="center" wrapText="1"/>
    </xf>
    <xf numFmtId="1" fontId="1" fillId="0" borderId="17" xfId="0" applyNumberFormat="1" applyFont="1" applyBorder="1" applyAlignment="1">
      <alignment horizontal="center" wrapText="1"/>
    </xf>
    <xf numFmtId="0" fontId="5" fillId="0" borderId="30" xfId="0" applyFont="1" applyBorder="1" applyAlignment="1">
      <alignment horizontal="center"/>
    </xf>
    <xf numFmtId="166" fontId="5" fillId="0" borderId="39" xfId="0" applyNumberFormat="1" applyFont="1" applyFill="1" applyBorder="1" applyAlignment="1">
      <alignment horizontal="center"/>
    </xf>
    <xf numFmtId="166" fontId="5" fillId="0" borderId="40" xfId="0" applyNumberFormat="1" applyFont="1" applyFill="1" applyBorder="1" applyAlignment="1">
      <alignment horizontal="center"/>
    </xf>
    <xf numFmtId="166" fontId="5" fillId="0" borderId="41" xfId="0" applyNumberFormat="1" applyFont="1" applyFill="1" applyBorder="1" applyAlignment="1">
      <alignment horizontal="center"/>
    </xf>
    <xf numFmtId="166" fontId="5" fillId="0" borderId="72" xfId="0" applyNumberFormat="1" applyFont="1" applyFill="1" applyBorder="1" applyAlignment="1">
      <alignment horizontal="center"/>
    </xf>
    <xf numFmtId="0" fontId="5" fillId="0" borderId="34" xfId="0" applyFont="1" applyBorder="1"/>
    <xf numFmtId="0" fontId="5" fillId="2" borderId="36" xfId="0" applyFont="1" applyFill="1" applyBorder="1"/>
    <xf numFmtId="0" fontId="5" fillId="2" borderId="52" xfId="0" applyFont="1" applyFill="1" applyBorder="1"/>
    <xf numFmtId="0" fontId="11" fillId="2" borderId="37" xfId="0" applyFont="1" applyFill="1" applyBorder="1"/>
    <xf numFmtId="0" fontId="5" fillId="2" borderId="37" xfId="0" applyFont="1" applyFill="1" applyBorder="1"/>
    <xf numFmtId="0" fontId="5" fillId="2" borderId="64" xfId="0" applyFont="1" applyFill="1" applyBorder="1"/>
    <xf numFmtId="0" fontId="11" fillId="2" borderId="36" xfId="0" applyFont="1" applyFill="1" applyBorder="1"/>
    <xf numFmtId="0" fontId="5" fillId="2" borderId="55" xfId="0" applyFont="1" applyFill="1" applyBorder="1"/>
    <xf numFmtId="2" fontId="5" fillId="0" borderId="39" xfId="0" applyNumberFormat="1" applyFont="1" applyBorder="1" applyAlignment="1">
      <alignment horizontal="center"/>
    </xf>
    <xf numFmtId="2" fontId="5" fillId="0" borderId="40" xfId="0" applyNumberFormat="1" applyFont="1" applyBorder="1" applyAlignment="1">
      <alignment horizontal="center"/>
    </xf>
    <xf numFmtId="2" fontId="5" fillId="0" borderId="72" xfId="0" applyNumberFormat="1" applyFont="1" applyBorder="1" applyAlignment="1">
      <alignment horizontal="center"/>
    </xf>
    <xf numFmtId="2" fontId="5" fillId="2" borderId="21" xfId="0" applyNumberFormat="1" applyFont="1" applyFill="1" applyBorder="1" applyAlignment="1">
      <alignment horizontal="center"/>
    </xf>
    <xf numFmtId="2" fontId="5" fillId="2" borderId="67" xfId="0" applyNumberFormat="1" applyFont="1" applyFill="1" applyBorder="1" applyAlignment="1">
      <alignment horizontal="center"/>
    </xf>
    <xf numFmtId="0" fontId="5" fillId="2" borderId="48" xfId="0" applyFont="1" applyFill="1" applyBorder="1" applyAlignment="1">
      <alignment horizontal="center"/>
    </xf>
    <xf numFmtId="2" fontId="5" fillId="2" borderId="68" xfId="0" applyNumberFormat="1" applyFont="1" applyFill="1" applyBorder="1" applyAlignment="1">
      <alignment horizontal="center"/>
    </xf>
    <xf numFmtId="2" fontId="5" fillId="0" borderId="41" xfId="0" applyNumberFormat="1" applyFont="1" applyBorder="1" applyAlignment="1">
      <alignment horizontal="center"/>
    </xf>
    <xf numFmtId="2" fontId="5" fillId="0" borderId="69" xfId="0" applyNumberFormat="1" applyFont="1" applyBorder="1" applyAlignment="1">
      <alignment horizontal="center"/>
    </xf>
    <xf numFmtId="166" fontId="5" fillId="0" borderId="69" xfId="0" applyNumberFormat="1" applyFont="1" applyFill="1" applyBorder="1" applyAlignment="1">
      <alignment horizontal="center"/>
    </xf>
    <xf numFmtId="166" fontId="5" fillId="0" borderId="15" xfId="0" applyNumberFormat="1" applyFont="1" applyFill="1" applyBorder="1" applyAlignment="1">
      <alignment horizontal="center"/>
    </xf>
    <xf numFmtId="166" fontId="5" fillId="0" borderId="16" xfId="0" applyNumberFormat="1" applyFont="1" applyFill="1" applyBorder="1" applyAlignment="1">
      <alignment horizontal="center"/>
    </xf>
    <xf numFmtId="166" fontId="5" fillId="0" borderId="49" xfId="0" applyNumberFormat="1" applyFont="1" applyFill="1" applyBorder="1" applyAlignment="1">
      <alignment horizontal="center"/>
    </xf>
    <xf numFmtId="166" fontId="5" fillId="0" borderId="17" xfId="0" applyNumberFormat="1" applyFont="1" applyFill="1" applyBorder="1" applyAlignment="1">
      <alignment horizontal="center"/>
    </xf>
    <xf numFmtId="166" fontId="5" fillId="0" borderId="48" xfId="0" applyNumberFormat="1" applyFont="1" applyFill="1" applyBorder="1" applyAlignment="1">
      <alignment horizontal="center"/>
    </xf>
    <xf numFmtId="1" fontId="5" fillId="0" borderId="39" xfId="0" applyNumberFormat="1" applyFont="1" applyFill="1" applyBorder="1" applyAlignment="1">
      <alignment horizontal="center"/>
    </xf>
    <xf numFmtId="1" fontId="5" fillId="0" borderId="40" xfId="0" applyNumberFormat="1" applyFont="1" applyFill="1" applyBorder="1" applyAlignment="1">
      <alignment horizontal="center"/>
    </xf>
    <xf numFmtId="1" fontId="5" fillId="0" borderId="72" xfId="0" applyNumberFormat="1" applyFont="1" applyFill="1" applyBorder="1" applyAlignment="1">
      <alignment horizontal="center"/>
    </xf>
    <xf numFmtId="1" fontId="5" fillId="0" borderId="41" xfId="0" applyNumberFormat="1" applyFont="1" applyFill="1" applyBorder="1" applyAlignment="1">
      <alignment horizontal="center"/>
    </xf>
    <xf numFmtId="1" fontId="5" fillId="0" borderId="69" xfId="0" applyNumberFormat="1" applyFont="1" applyFill="1" applyBorder="1" applyAlignment="1">
      <alignment horizontal="center"/>
    </xf>
    <xf numFmtId="0" fontId="5" fillId="0" borderId="40" xfId="0" applyFont="1" applyFill="1" applyBorder="1" applyAlignment="1">
      <alignment horizontal="center"/>
    </xf>
    <xf numFmtId="6" fontId="5" fillId="2" borderId="68" xfId="0" applyNumberFormat="1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14" fillId="0" borderId="61" xfId="0" applyFont="1" applyBorder="1" applyAlignment="1">
      <alignment horizontal="center" vertical="center"/>
    </xf>
    <xf numFmtId="0" fontId="5" fillId="0" borderId="36" xfId="0" applyFont="1" applyBorder="1"/>
    <xf numFmtId="0" fontId="5" fillId="0" borderId="55" xfId="0" applyFont="1" applyBorder="1"/>
    <xf numFmtId="0" fontId="5" fillId="0" borderId="67" xfId="0" applyFont="1" applyBorder="1" applyAlignment="1">
      <alignment horizontal="center"/>
    </xf>
    <xf numFmtId="0" fontId="5" fillId="0" borderId="64" xfId="0" applyFont="1" applyBorder="1"/>
    <xf numFmtId="0" fontId="5" fillId="0" borderId="52" xfId="0" applyFont="1" applyBorder="1"/>
    <xf numFmtId="0" fontId="5" fillId="0" borderId="49" xfId="0" applyFont="1" applyBorder="1" applyAlignment="1">
      <alignment horizontal="left"/>
    </xf>
    <xf numFmtId="0" fontId="5" fillId="0" borderId="39" xfId="0" applyFont="1" applyBorder="1" applyAlignment="1">
      <alignment horizontal="center"/>
    </xf>
    <xf numFmtId="0" fontId="5" fillId="0" borderId="72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0" fillId="0" borderId="36" xfId="0" applyBorder="1"/>
    <xf numFmtId="0" fontId="0" fillId="0" borderId="37" xfId="0" applyBorder="1"/>
    <xf numFmtId="0" fontId="0" fillId="0" borderId="55" xfId="0" applyBorder="1"/>
    <xf numFmtId="0" fontId="0" fillId="0" borderId="64" xfId="0" applyBorder="1" applyAlignment="1">
      <alignment horizontal="center" wrapText="1"/>
    </xf>
    <xf numFmtId="0" fontId="0" fillId="0" borderId="52" xfId="0" applyBorder="1" applyAlignment="1">
      <alignment horizontal="center" wrapText="1"/>
    </xf>
    <xf numFmtId="0" fontId="0" fillId="0" borderId="49" xfId="0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72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69" xfId="0" applyBorder="1" applyAlignment="1">
      <alignment horizontal="center" wrapText="1"/>
    </xf>
    <xf numFmtId="0" fontId="1" fillId="0" borderId="54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48" xfId="0" applyFont="1" applyFill="1" applyBorder="1" applyAlignment="1">
      <alignment horizontal="center"/>
    </xf>
    <xf numFmtId="0" fontId="1" fillId="0" borderId="52" xfId="0" applyFont="1" applyBorder="1" applyAlignment="1">
      <alignment horizontal="left"/>
    </xf>
    <xf numFmtId="0" fontId="1" fillId="0" borderId="25" xfId="0" applyFont="1" applyFill="1" applyBorder="1" applyAlignment="1">
      <alignment horizontal="center"/>
    </xf>
    <xf numFmtId="0" fontId="1" fillId="0" borderId="26" xfId="0" applyFont="1" applyFill="1" applyBorder="1" applyAlignment="1">
      <alignment horizontal="center"/>
    </xf>
    <xf numFmtId="0" fontId="1" fillId="0" borderId="48" xfId="0" applyFont="1" applyBorder="1" applyAlignment="1">
      <alignment horizontal="left"/>
    </xf>
    <xf numFmtId="0" fontId="1" fillId="0" borderId="21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1" fillId="0" borderId="68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center"/>
    </xf>
    <xf numFmtId="0" fontId="1" fillId="0" borderId="5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70" xfId="0" applyFont="1" applyFill="1" applyBorder="1" applyAlignment="1">
      <alignment horizontal="center"/>
    </xf>
    <xf numFmtId="0" fontId="1" fillId="0" borderId="35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40" xfId="0" applyFont="1" applyFill="1" applyBorder="1" applyAlignment="1">
      <alignment horizontal="center"/>
    </xf>
    <xf numFmtId="0" fontId="1" fillId="0" borderId="41" xfId="0" applyFont="1" applyFill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9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4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44" xfId="0" applyFont="1" applyFill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1" fontId="1" fillId="0" borderId="49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0" fillId="0" borderId="0" xfId="0" applyFill="1" applyAlignment="1">
      <alignment horizontal="center"/>
    </xf>
    <xf numFmtId="6" fontId="10" fillId="0" borderId="35" xfId="0" applyNumberFormat="1" applyFont="1" applyBorder="1" applyAlignment="1">
      <alignment horizontal="center" wrapText="1"/>
    </xf>
    <xf numFmtId="6" fontId="10" fillId="0" borderId="5" xfId="0" applyNumberFormat="1" applyFont="1" applyBorder="1" applyAlignment="1">
      <alignment horizontal="center" wrapText="1"/>
    </xf>
    <xf numFmtId="6" fontId="1" fillId="0" borderId="15" xfId="0" applyNumberFormat="1" applyFont="1" applyFill="1" applyBorder="1" applyAlignment="1">
      <alignment horizontal="center"/>
    </xf>
    <xf numFmtId="6" fontId="1" fillId="0" borderId="16" xfId="0" applyNumberFormat="1" applyFont="1" applyFill="1" applyBorder="1" applyAlignment="1">
      <alignment horizontal="center"/>
    </xf>
    <xf numFmtId="1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6" xfId="0" applyBorder="1" applyAlignment="1">
      <alignment horizontal="center"/>
    </xf>
    <xf numFmtId="1" fontId="0" fillId="0" borderId="12" xfId="0" applyNumberFormat="1" applyBorder="1" applyAlignment="1">
      <alignment horizontal="left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74" xfId="0" applyBorder="1" applyAlignment="1">
      <alignment horizontal="center"/>
    </xf>
    <xf numFmtId="0" fontId="6" fillId="0" borderId="24" xfId="0" applyFont="1" applyBorder="1"/>
    <xf numFmtId="1" fontId="7" fillId="0" borderId="36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wrapText="1"/>
    </xf>
    <xf numFmtId="0" fontId="1" fillId="0" borderId="70" xfId="0" applyFont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horizontal="center" wrapText="1"/>
    </xf>
    <xf numFmtId="0" fontId="1" fillId="0" borderId="10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11" xfId="0" applyFont="1" applyFill="1" applyBorder="1" applyAlignment="1">
      <alignment horizontal="center" wrapText="1"/>
    </xf>
    <xf numFmtId="0" fontId="1" fillId="0" borderId="12" xfId="0" applyFont="1" applyFill="1" applyBorder="1" applyAlignment="1">
      <alignment horizontal="center" wrapText="1"/>
    </xf>
    <xf numFmtId="0" fontId="1" fillId="0" borderId="13" xfId="0" applyFont="1" applyFill="1" applyBorder="1" applyAlignment="1">
      <alignment horizontal="center" wrapText="1"/>
    </xf>
    <xf numFmtId="0" fontId="1" fillId="0" borderId="14" xfId="0" applyFont="1" applyFill="1" applyBorder="1" applyAlignment="1">
      <alignment horizontal="center" wrapText="1"/>
    </xf>
    <xf numFmtId="1" fontId="7" fillId="0" borderId="37" xfId="0" applyNumberFormat="1" applyFont="1" applyFill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9" fontId="5" fillId="0" borderId="15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5" fillId="0" borderId="43" xfId="0" applyFont="1" applyFill="1" applyBorder="1" applyAlignment="1">
      <alignment horizontal="center"/>
    </xf>
    <xf numFmtId="0" fontId="5" fillId="0" borderId="34" xfId="0" applyFont="1" applyFill="1" applyBorder="1" applyAlignment="1">
      <alignment horizontal="center"/>
    </xf>
    <xf numFmtId="0" fontId="5" fillId="0" borderId="33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32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5" fillId="0" borderId="44" xfId="0" applyFont="1" applyFill="1" applyBorder="1" applyAlignment="1">
      <alignment horizontal="center"/>
    </xf>
    <xf numFmtId="0" fontId="5" fillId="0" borderId="46" xfId="0" applyFont="1" applyFill="1" applyBorder="1" applyAlignment="1">
      <alignment horizontal="center"/>
    </xf>
    <xf numFmtId="0" fontId="5" fillId="0" borderId="47" xfId="0" applyFont="1" applyFill="1" applyBorder="1" applyAlignment="1">
      <alignment horizontal="center"/>
    </xf>
    <xf numFmtId="0" fontId="15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1" fontId="1" fillId="0" borderId="8" xfId="0" applyNumberFormat="1" applyFont="1" applyFill="1" applyBorder="1" applyAlignment="1">
      <alignment horizontal="center" wrapText="1"/>
    </xf>
    <xf numFmtId="1" fontId="1" fillId="0" borderId="4" xfId="0" applyNumberFormat="1" applyFont="1" applyFill="1" applyBorder="1" applyAlignment="1">
      <alignment horizontal="center" wrapText="1"/>
    </xf>
    <xf numFmtId="1" fontId="1" fillId="0" borderId="13" xfId="0" applyNumberFormat="1" applyFont="1" applyFill="1" applyBorder="1" applyAlignment="1">
      <alignment horizontal="center" wrapText="1"/>
    </xf>
    <xf numFmtId="0" fontId="2" fillId="0" borderId="15" xfId="0" applyFont="1" applyBorder="1"/>
    <xf numFmtId="0" fontId="5" fillId="0" borderId="24" xfId="0" applyFont="1" applyBorder="1" applyAlignment="1">
      <alignment horizontal="left"/>
    </xf>
    <xf numFmtId="0" fontId="5" fillId="0" borderId="24" xfId="0" applyFont="1" applyBorder="1" applyAlignment="1">
      <alignment horizontal="center"/>
    </xf>
    <xf numFmtId="0" fontId="1" fillId="0" borderId="36" xfId="0" applyFont="1" applyBorder="1" applyAlignment="1">
      <alignment horizontal="center" wrapText="1"/>
    </xf>
    <xf numFmtId="0" fontId="1" fillId="0" borderId="37" xfId="0" applyFont="1" applyBorder="1" applyAlignment="1">
      <alignment horizontal="center" wrapText="1"/>
    </xf>
    <xf numFmtId="0" fontId="5" fillId="7" borderId="51" xfId="0" applyFont="1" applyFill="1" applyBorder="1"/>
    <xf numFmtId="0" fontId="5" fillId="7" borderId="30" xfId="0" applyFont="1" applyFill="1" applyBorder="1"/>
    <xf numFmtId="0" fontId="6" fillId="7" borderId="38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wrapText="1"/>
    </xf>
    <xf numFmtId="0" fontId="6" fillId="7" borderId="30" xfId="0" applyFont="1" applyFill="1" applyBorder="1" applyAlignment="1">
      <alignment horizontal="center"/>
    </xf>
    <xf numFmtId="0" fontId="5" fillId="7" borderId="53" xfId="0" applyFont="1" applyFill="1" applyBorder="1"/>
    <xf numFmtId="0" fontId="5" fillId="7" borderId="54" xfId="0" applyFont="1" applyFill="1" applyBorder="1"/>
    <xf numFmtId="0" fontId="6" fillId="7" borderId="0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horizontal="center" wrapText="1"/>
    </xf>
    <xf numFmtId="0" fontId="6" fillId="7" borderId="54" xfId="0" applyFont="1" applyFill="1" applyBorder="1" applyAlignment="1">
      <alignment horizontal="center" wrapText="1"/>
    </xf>
    <xf numFmtId="0" fontId="6" fillId="7" borderId="51" xfId="0" applyFont="1" applyFill="1" applyBorder="1"/>
    <xf numFmtId="0" fontId="5" fillId="7" borderId="38" xfId="0" applyFont="1" applyFill="1" applyBorder="1"/>
    <xf numFmtId="0" fontId="7" fillId="7" borderId="5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7" fillId="7" borderId="30" xfId="0" applyFont="1" applyFill="1" applyBorder="1" applyAlignment="1">
      <alignment horizontal="center" vertical="center"/>
    </xf>
    <xf numFmtId="0" fontId="6" fillId="7" borderId="53" xfId="0" applyFont="1" applyFill="1" applyBorder="1"/>
    <xf numFmtId="0" fontId="5" fillId="7" borderId="0" xfId="0" applyFont="1" applyFill="1" applyBorder="1"/>
    <xf numFmtId="0" fontId="7" fillId="7" borderId="5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7" fillId="7" borderId="54" xfId="0" applyFont="1" applyFill="1" applyBorder="1" applyAlignment="1">
      <alignment horizontal="center" vertical="center"/>
    </xf>
    <xf numFmtId="0" fontId="6" fillId="7" borderId="58" xfId="0" applyFont="1" applyFill="1" applyBorder="1"/>
    <xf numFmtId="0" fontId="5" fillId="7" borderId="71" xfId="0" applyFont="1" applyFill="1" applyBorder="1"/>
    <xf numFmtId="0" fontId="7" fillId="7" borderId="58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/>
    </xf>
    <xf numFmtId="0" fontId="7" fillId="7" borderId="59" xfId="0" applyFont="1" applyFill="1" applyBorder="1" applyAlignment="1">
      <alignment horizontal="center" vertical="center"/>
    </xf>
    <xf numFmtId="0" fontId="6" fillId="7" borderId="0" xfId="0" applyFont="1" applyFill="1" applyBorder="1"/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5" fillId="7" borderId="58" xfId="0" applyFont="1" applyFill="1" applyBorder="1"/>
    <xf numFmtId="0" fontId="7" fillId="7" borderId="3" xfId="0" applyFont="1" applyFill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wrapText="1"/>
    </xf>
    <xf numFmtId="0" fontId="7" fillId="0" borderId="55" xfId="0" applyFont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/>
    </xf>
    <xf numFmtId="0" fontId="5" fillId="0" borderId="55" xfId="0" applyFont="1" applyFill="1" applyBorder="1" applyAlignment="1">
      <alignment horizontal="center"/>
    </xf>
    <xf numFmtId="0" fontId="14" fillId="0" borderId="6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wrapText="1"/>
    </xf>
    <xf numFmtId="0" fontId="7" fillId="0" borderId="21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7" fillId="0" borderId="16" xfId="0" applyNumberFormat="1" applyFont="1" applyBorder="1" applyAlignment="1">
      <alignment horizontal="center" vertical="center"/>
    </xf>
    <xf numFmtId="3" fontId="5" fillId="0" borderId="16" xfId="0" applyNumberFormat="1" applyFont="1" applyBorder="1" applyAlignment="1">
      <alignment horizontal="center" wrapText="1"/>
    </xf>
    <xf numFmtId="3" fontId="7" fillId="0" borderId="16" xfId="0" applyNumberFormat="1" applyFont="1" applyFill="1" applyBorder="1" applyAlignment="1">
      <alignment horizontal="center" vertical="center"/>
    </xf>
    <xf numFmtId="3" fontId="7" fillId="0" borderId="17" xfId="0" applyNumberFormat="1" applyFont="1" applyFill="1" applyBorder="1" applyAlignment="1">
      <alignment horizontal="center" vertical="center"/>
    </xf>
    <xf numFmtId="0" fontId="0" fillId="0" borderId="6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7" fillId="7" borderId="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75" xfId="0" applyFont="1" applyFill="1" applyBorder="1" applyAlignment="1">
      <alignment horizontal="center"/>
    </xf>
    <xf numFmtId="0" fontId="1" fillId="0" borderId="76" xfId="0" applyFont="1" applyFill="1" applyBorder="1" applyAlignment="1">
      <alignment horizontal="center"/>
    </xf>
    <xf numFmtId="0" fontId="1" fillId="0" borderId="77" xfId="0" applyFont="1" applyFill="1" applyBorder="1" applyAlignment="1">
      <alignment horizontal="center"/>
    </xf>
    <xf numFmtId="0" fontId="1" fillId="2" borderId="75" xfId="0" applyFont="1" applyFill="1" applyBorder="1" applyAlignment="1">
      <alignment horizontal="center"/>
    </xf>
    <xf numFmtId="0" fontId="1" fillId="2" borderId="76" xfId="0" applyFont="1" applyFill="1" applyBorder="1" applyAlignment="1">
      <alignment horizontal="center"/>
    </xf>
    <xf numFmtId="0" fontId="1" fillId="2" borderId="77" xfId="0" applyFont="1" applyFill="1" applyBorder="1" applyAlignment="1">
      <alignment horizontal="center"/>
    </xf>
    <xf numFmtId="0" fontId="1" fillId="0" borderId="44" xfId="0" applyFont="1" applyBorder="1" applyAlignment="1">
      <alignment horizontal="left"/>
    </xf>
    <xf numFmtId="0" fontId="5" fillId="2" borderId="50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1" fillId="0" borderId="3" xfId="0" applyFont="1" applyBorder="1"/>
    <xf numFmtId="0" fontId="1" fillId="0" borderId="13" xfId="0" quotePrefix="1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0" borderId="54" xfId="0" applyFont="1" applyBorder="1"/>
    <xf numFmtId="0" fontId="1" fillId="0" borderId="51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1" fontId="1" fillId="0" borderId="22" xfId="0" applyNumberFormat="1" applyFont="1" applyBorder="1" applyAlignment="1">
      <alignment horizontal="center"/>
    </xf>
    <xf numFmtId="1" fontId="1" fillId="0" borderId="36" xfId="0" applyNumberFormat="1" applyFon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0" fontId="1" fillId="0" borderId="48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9" xfId="0" applyFont="1" applyBorder="1" applyAlignment="1">
      <alignment wrapText="1"/>
    </xf>
    <xf numFmtId="0" fontId="1" fillId="0" borderId="17" xfId="0" applyFont="1" applyBorder="1" applyAlignment="1">
      <alignment wrapText="1"/>
    </xf>
    <xf numFmtId="6" fontId="1" fillId="0" borderId="49" xfId="0" applyNumberFormat="1" applyFont="1" applyFill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68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45" xfId="0" applyBorder="1"/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4" xfId="0" applyBorder="1"/>
    <xf numFmtId="0" fontId="0" fillId="0" borderId="52" xfId="0" applyBorder="1"/>
    <xf numFmtId="164" fontId="1" fillId="0" borderId="36" xfId="0" applyNumberFormat="1" applyFont="1" applyBorder="1" applyAlignment="1">
      <alignment horizontal="center"/>
    </xf>
    <xf numFmtId="164" fontId="1" fillId="0" borderId="37" xfId="0" applyNumberFormat="1" applyFont="1" applyBorder="1" applyAlignment="1">
      <alignment horizontal="center"/>
    </xf>
    <xf numFmtId="164" fontId="1" fillId="0" borderId="64" xfId="0" applyNumberFormat="1" applyFont="1" applyBorder="1" applyAlignment="1">
      <alignment horizontal="center"/>
    </xf>
    <xf numFmtId="164" fontId="1" fillId="0" borderId="55" xfId="0" applyNumberFormat="1" applyFont="1" applyBorder="1" applyAlignment="1">
      <alignment horizontal="center"/>
    </xf>
    <xf numFmtId="164" fontId="1" fillId="0" borderId="52" xfId="0" applyNumberFormat="1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1" fontId="1" fillId="0" borderId="67" xfId="0" applyNumberFormat="1" applyFont="1" applyBorder="1" applyAlignment="1">
      <alignment horizontal="center"/>
    </xf>
    <xf numFmtId="1" fontId="1" fillId="0" borderId="68" xfId="0" applyNumberFormat="1" applyFont="1" applyBorder="1" applyAlignment="1">
      <alignment horizontal="center"/>
    </xf>
    <xf numFmtId="1" fontId="1" fillId="0" borderId="39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1" fontId="1" fillId="0" borderId="72" xfId="0" applyNumberFormat="1" applyFont="1" applyBorder="1" applyAlignment="1">
      <alignment horizontal="center"/>
    </xf>
    <xf numFmtId="1" fontId="1" fillId="0" borderId="69" xfId="0" applyNumberFormat="1" applyFont="1" applyBorder="1" applyAlignment="1">
      <alignment horizontal="center"/>
    </xf>
    <xf numFmtId="1" fontId="1" fillId="0" borderId="4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6" fontId="5" fillId="2" borderId="15" xfId="0" applyNumberFormat="1" applyFont="1" applyFill="1" applyBorder="1" applyAlignment="1">
      <alignment horizontal="center"/>
    </xf>
    <xf numFmtId="6" fontId="5" fillId="2" borderId="16" xfId="0" applyNumberFormat="1" applyFont="1" applyFill="1" applyBorder="1" applyAlignment="1">
      <alignment horizontal="center"/>
    </xf>
    <xf numFmtId="6" fontId="5" fillId="2" borderId="49" xfId="0" applyNumberFormat="1" applyFont="1" applyFill="1" applyBorder="1" applyAlignment="1">
      <alignment horizontal="center"/>
    </xf>
    <xf numFmtId="6" fontId="5" fillId="2" borderId="17" xfId="0" applyNumberFormat="1" applyFont="1" applyFill="1" applyBorder="1" applyAlignment="1">
      <alignment horizontal="center"/>
    </xf>
    <xf numFmtId="6" fontId="5" fillId="2" borderId="48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5" fillId="0" borderId="20" xfId="0" applyNumberFormat="1" applyFont="1" applyFill="1" applyBorder="1" applyAlignment="1">
      <alignment horizontal="center"/>
    </xf>
    <xf numFmtId="2" fontId="5" fillId="0" borderId="21" xfId="0" applyNumberFormat="1" applyFont="1" applyFill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0" fontId="5" fillId="7" borderId="0" xfId="0" applyFont="1" applyFill="1"/>
    <xf numFmtId="0" fontId="6" fillId="7" borderId="0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6" fillId="7" borderId="0" xfId="0" applyFont="1" applyFill="1" applyAlignment="1">
      <alignment horizontal="center" wrapText="1"/>
    </xf>
    <xf numFmtId="0" fontId="5" fillId="7" borderId="0" xfId="0" applyFont="1" applyFill="1" applyAlignment="1">
      <alignment horizontal="center"/>
    </xf>
    <xf numFmtId="1" fontId="7" fillId="7" borderId="0" xfId="0" applyNumberFormat="1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/>
    <xf numFmtId="0" fontId="14" fillId="7" borderId="0" xfId="0" applyFont="1" applyFill="1" applyBorder="1" applyAlignment="1">
      <alignment horizontal="center" vertical="center"/>
    </xf>
    <xf numFmtId="168" fontId="7" fillId="7" borderId="0" xfId="0" applyNumberFormat="1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0" xfId="0" applyFont="1" applyFill="1"/>
    <xf numFmtId="0" fontId="1" fillId="2" borderId="0" xfId="0" applyFont="1" applyFill="1"/>
    <xf numFmtId="6" fontId="9" fillId="0" borderId="49" xfId="0" applyNumberFormat="1" applyFont="1" applyBorder="1" applyAlignment="1">
      <alignment horizontal="center" wrapText="1"/>
    </xf>
    <xf numFmtId="6" fontId="2" fillId="0" borderId="24" xfId="0" applyNumberFormat="1" applyFont="1" applyBorder="1" applyAlignment="1">
      <alignment horizontal="center" wrapText="1"/>
    </xf>
    <xf numFmtId="2" fontId="5" fillId="0" borderId="67" xfId="0" applyNumberFormat="1" applyFont="1" applyFill="1" applyBorder="1" applyAlignment="1">
      <alignment horizontal="center"/>
    </xf>
    <xf numFmtId="2" fontId="5" fillId="0" borderId="22" xfId="0" applyNumberFormat="1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1" fillId="0" borderId="16" xfId="0" applyFont="1" applyFill="1" applyBorder="1"/>
    <xf numFmtId="164" fontId="1" fillId="0" borderId="37" xfId="0" applyNumberFormat="1" applyFont="1" applyFill="1" applyBorder="1" applyAlignment="1">
      <alignment horizontal="center"/>
    </xf>
    <xf numFmtId="1" fontId="1" fillId="0" borderId="16" xfId="0" applyNumberFormat="1" applyFont="1" applyFill="1" applyBorder="1" applyAlignment="1">
      <alignment horizontal="center"/>
    </xf>
    <xf numFmtId="1" fontId="1" fillId="0" borderId="21" xfId="0" applyNumberFormat="1" applyFont="1" applyFill="1" applyBorder="1" applyAlignment="1">
      <alignment horizontal="center"/>
    </xf>
    <xf numFmtId="1" fontId="1" fillId="0" borderId="40" xfId="0" applyNumberFormat="1" applyFont="1" applyFill="1" applyBorder="1" applyAlignment="1">
      <alignment horizontal="center"/>
    </xf>
    <xf numFmtId="164" fontId="1" fillId="0" borderId="55" xfId="0" applyNumberFormat="1" applyFont="1" applyFill="1" applyBorder="1" applyAlignment="1">
      <alignment horizontal="center"/>
    </xf>
    <xf numFmtId="1" fontId="1" fillId="0" borderId="17" xfId="0" applyNumberFormat="1" applyFont="1" applyFill="1" applyBorder="1" applyAlignment="1">
      <alignment horizontal="center"/>
    </xf>
    <xf numFmtId="1" fontId="1" fillId="0" borderId="55" xfId="0" applyNumberFormat="1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7" borderId="71" xfId="0" applyFont="1" applyFill="1" applyBorder="1" applyAlignment="1">
      <alignment horizontal="center"/>
    </xf>
    <xf numFmtId="0" fontId="1" fillId="0" borderId="57" xfId="0" applyFont="1" applyBorder="1" applyAlignment="1">
      <alignment horizontal="center" wrapText="1"/>
    </xf>
    <xf numFmtId="0" fontId="1" fillId="0" borderId="61" xfId="0" applyFont="1" applyBorder="1" applyAlignment="1">
      <alignment horizontal="center" wrapText="1"/>
    </xf>
    <xf numFmtId="0" fontId="1" fillId="0" borderId="60" xfId="0" applyFont="1" applyBorder="1" applyAlignment="1">
      <alignment horizontal="center" wrapText="1"/>
    </xf>
    <xf numFmtId="0" fontId="1" fillId="0" borderId="57" xfId="0" applyFont="1" applyBorder="1" applyAlignment="1">
      <alignment horizontal="left" wrapText="1"/>
    </xf>
    <xf numFmtId="0" fontId="1" fillId="0" borderId="60" xfId="0" applyFont="1" applyBorder="1" applyAlignment="1">
      <alignment horizontal="left" wrapText="1"/>
    </xf>
    <xf numFmtId="0" fontId="13" fillId="0" borderId="51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1" fontId="1" fillId="0" borderId="0" xfId="0" applyNumberFormat="1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"/>
  <sheetViews>
    <sheetView topLeftCell="A34" zoomScale="120" zoomScaleNormal="120" workbookViewId="0">
      <selection activeCell="E61" sqref="E61"/>
    </sheetView>
  </sheetViews>
  <sheetFormatPr defaultColWidth="9.140625" defaultRowHeight="11.25" x14ac:dyDescent="0.2"/>
  <cols>
    <col min="1" max="1" width="3.42578125" style="55" customWidth="1"/>
    <col min="2" max="2" width="19.28515625" style="53" customWidth="1"/>
    <col min="3" max="3" width="12.7109375" style="52" customWidth="1"/>
    <col min="4" max="4" width="10.85546875" style="52" customWidth="1"/>
    <col min="5" max="5" width="13.42578125" style="52" customWidth="1"/>
    <col min="6" max="6" width="11.42578125" style="52" customWidth="1"/>
    <col min="7" max="9" width="10.140625" style="52" customWidth="1"/>
    <col min="10" max="10" width="10.140625" style="52" hidden="1" customWidth="1"/>
    <col min="11" max="11" width="8.42578125" style="52" customWidth="1"/>
    <col min="12" max="12" width="12.7109375" style="52" customWidth="1"/>
    <col min="13" max="17" width="12.42578125" style="52" customWidth="1"/>
    <col min="18" max="19" width="12.42578125" style="52" hidden="1" customWidth="1"/>
    <col min="20" max="20" width="9" style="53" hidden="1" customWidth="1"/>
    <col min="21" max="24" width="9.140625" style="52" hidden="1" customWidth="1"/>
    <col min="25" max="16384" width="9.140625" style="53"/>
  </cols>
  <sheetData>
    <row r="1" spans="1:24" ht="12" thickBot="1" x14ac:dyDescent="0.25">
      <c r="A1" s="49" t="s">
        <v>23</v>
      </c>
      <c r="B1" s="68" t="s">
        <v>16</v>
      </c>
      <c r="C1" s="69" t="s">
        <v>92</v>
      </c>
      <c r="D1" s="465" t="s">
        <v>98</v>
      </c>
      <c r="E1" s="385" t="s">
        <v>3</v>
      </c>
      <c r="F1" s="385" t="s">
        <v>103</v>
      </c>
      <c r="G1" s="161" t="s">
        <v>37</v>
      </c>
      <c r="H1" s="51" t="s">
        <v>73</v>
      </c>
      <c r="I1" s="465" t="s">
        <v>74</v>
      </c>
      <c r="J1" s="204" t="s">
        <v>113</v>
      </c>
      <c r="K1" s="205" t="s">
        <v>24</v>
      </c>
      <c r="L1" s="389" t="s">
        <v>0</v>
      </c>
      <c r="M1" s="390" t="s">
        <v>37</v>
      </c>
      <c r="R1" s="52" t="str">
        <f>L2</f>
        <v>Lifetime</v>
      </c>
      <c r="S1" s="52" t="str">
        <f>L4</f>
        <v>Rookie</v>
      </c>
      <c r="T1" s="52" t="str">
        <f>L6</f>
        <v>Champ</v>
      </c>
      <c r="U1" s="52" t="str">
        <f>L8</f>
        <v>Double Deuce</v>
      </c>
      <c r="V1" s="52" t="str">
        <f>L10</f>
        <v>2X Champ</v>
      </c>
      <c r="W1" s="52" t="str">
        <f>L12</f>
        <v>3X Champ</v>
      </c>
      <c r="X1" s="52" t="s">
        <v>7</v>
      </c>
    </row>
    <row r="2" spans="1:24" x14ac:dyDescent="0.2">
      <c r="A2" s="373">
        <v>1</v>
      </c>
      <c r="B2" s="471" t="s">
        <v>60</v>
      </c>
      <c r="C2" s="331"/>
      <c r="D2" s="741">
        <v>13.5</v>
      </c>
      <c r="E2" s="478">
        <f>D2*(1+$C$36)</f>
        <v>14.885840707964602</v>
      </c>
      <c r="F2" s="331" t="s">
        <v>39</v>
      </c>
      <c r="G2" s="466">
        <f>IF(SUM(R2:W2)&lt;0,SUM(R2:W2),0)</f>
        <v>-3</v>
      </c>
      <c r="H2" s="488">
        <f>IF((E2+G2)&gt;C$37,(0.5*C$37),(E2+G2)/2)</f>
        <v>5.9429203539823012</v>
      </c>
      <c r="I2" s="493">
        <f>IF((E2+G2)&gt;C$37,C$37,E2+G2)</f>
        <v>11.885840707964602</v>
      </c>
      <c r="J2" s="449">
        <f>ROUND(I2*0.375,0)</f>
        <v>4</v>
      </c>
      <c r="K2" s="733">
        <v>100</v>
      </c>
      <c r="L2" s="179" t="s">
        <v>40</v>
      </c>
      <c r="M2" s="153">
        <v>-1</v>
      </c>
      <c r="O2" s="52" t="str">
        <f>Scramble!B6</f>
        <v>Gerald C</v>
      </c>
      <c r="P2" s="773">
        <f>Scramble!A10</f>
        <v>18.024999999999999</v>
      </c>
      <c r="R2" s="52" t="str">
        <f t="shared" ref="R2:R34" si="0">IF($F2=R$1,$M$2,"")</f>
        <v/>
      </c>
      <c r="S2" s="52" t="str">
        <f t="shared" ref="S2:S33" si="1">IF($F2=S$1,$E2*$M$4,"")</f>
        <v/>
      </c>
      <c r="T2" s="52">
        <f t="shared" ref="T2:T34" si="2">IF($F2=T$1,$M$6,"")</f>
        <v>-3</v>
      </c>
      <c r="U2" s="52" t="str">
        <f t="shared" ref="U2:U33" si="3">IF($F2=U$1,$E2*$M$8,"")</f>
        <v/>
      </c>
      <c r="V2" s="52" t="str">
        <f t="shared" ref="V2:V34" si="4">IF($F2=V$1,$M$10,"")</f>
        <v/>
      </c>
      <c r="W2" s="52" t="str">
        <f>IF($F2=W$1,$M$12,"")</f>
        <v/>
      </c>
      <c r="X2" s="52">
        <f>SUM(R2:W2)</f>
        <v>-3</v>
      </c>
    </row>
    <row r="3" spans="1:24" hidden="1" x14ac:dyDescent="0.2">
      <c r="A3" s="374"/>
      <c r="B3" s="472">
        <f>ROUND(H2,0)</f>
        <v>6</v>
      </c>
      <c r="C3" s="299"/>
      <c r="D3" s="481"/>
      <c r="E3" s="479"/>
      <c r="F3" s="299"/>
      <c r="G3" s="487"/>
      <c r="H3" s="489"/>
      <c r="I3" s="494"/>
      <c r="J3" s="450"/>
      <c r="K3" s="734"/>
      <c r="L3" s="256"/>
      <c r="M3" s="154"/>
      <c r="R3" s="52" t="str">
        <f t="shared" si="0"/>
        <v/>
      </c>
      <c r="S3" s="52" t="str">
        <f t="shared" si="1"/>
        <v/>
      </c>
      <c r="T3" s="52" t="str">
        <f t="shared" si="2"/>
        <v/>
      </c>
      <c r="U3" s="52" t="str">
        <f t="shared" si="3"/>
        <v/>
      </c>
      <c r="V3" s="52" t="str">
        <f t="shared" si="4"/>
        <v/>
      </c>
      <c r="X3" s="52">
        <f t="shared" ref="X3:X29" si="5">SUM(R3:W3)</f>
        <v>0</v>
      </c>
    </row>
    <row r="4" spans="1:24" x14ac:dyDescent="0.2">
      <c r="A4" s="375">
        <v>2</v>
      </c>
      <c r="B4" s="473" t="s">
        <v>162</v>
      </c>
      <c r="C4" s="299"/>
      <c r="D4" s="742">
        <v>12.6</v>
      </c>
      <c r="E4" s="479">
        <f>D4*(1+$C$36)</f>
        <v>13.893451327433628</v>
      </c>
      <c r="F4" s="299"/>
      <c r="G4" s="487">
        <f>IF(SUM(R4:W4)&lt;0,SUM(R4:W4),0)</f>
        <v>0</v>
      </c>
      <c r="H4" s="489">
        <f>IF((E4+G4)&gt;C$37,(0.5*C$37),(E4+G4)/2)</f>
        <v>6.9467256637168138</v>
      </c>
      <c r="I4" s="494">
        <f>IF((E4+G4)&gt;C$37,C$37,E4+G4)</f>
        <v>13.893451327433628</v>
      </c>
      <c r="J4" s="450">
        <f>ROUND(I4*0.375,0)</f>
        <v>5</v>
      </c>
      <c r="K4" s="734">
        <v>100</v>
      </c>
      <c r="L4" s="256" t="s">
        <v>38</v>
      </c>
      <c r="M4" s="357">
        <v>-0.2</v>
      </c>
      <c r="O4" s="52" t="str">
        <f>Scramble!B8</f>
        <v>Rick</v>
      </c>
      <c r="R4" s="52" t="str">
        <f t="shared" si="0"/>
        <v/>
      </c>
      <c r="S4" s="52" t="str">
        <f t="shared" si="1"/>
        <v/>
      </c>
      <c r="T4" s="52" t="str">
        <f t="shared" si="2"/>
        <v/>
      </c>
      <c r="U4" s="52" t="str">
        <f t="shared" si="3"/>
        <v/>
      </c>
      <c r="V4" s="52" t="str">
        <f t="shared" si="4"/>
        <v/>
      </c>
      <c r="W4" s="52" t="str">
        <f>IF($F4=W$1,$M$12,"")</f>
        <v/>
      </c>
      <c r="X4" s="52">
        <f t="shared" si="5"/>
        <v>0</v>
      </c>
    </row>
    <row r="5" spans="1:24" hidden="1" x14ac:dyDescent="0.2">
      <c r="A5" s="375"/>
      <c r="B5" s="472">
        <f>ROUND(H4,0)</f>
        <v>7</v>
      </c>
      <c r="C5" s="299"/>
      <c r="D5" s="481"/>
      <c r="E5" s="479"/>
      <c r="F5" s="299"/>
      <c r="G5" s="487"/>
      <c r="H5" s="489"/>
      <c r="I5" s="494"/>
      <c r="J5" s="450"/>
      <c r="K5" s="734"/>
      <c r="L5" s="256"/>
      <c r="M5" s="154"/>
      <c r="R5" s="52" t="str">
        <f t="shared" si="0"/>
        <v/>
      </c>
      <c r="S5" s="52" t="str">
        <f t="shared" si="1"/>
        <v/>
      </c>
      <c r="T5" s="52" t="str">
        <f t="shared" si="2"/>
        <v/>
      </c>
      <c r="U5" s="52" t="str">
        <f t="shared" si="3"/>
        <v/>
      </c>
      <c r="V5" s="52" t="str">
        <f t="shared" si="4"/>
        <v/>
      </c>
      <c r="X5" s="52">
        <f t="shared" si="5"/>
        <v>0</v>
      </c>
    </row>
    <row r="6" spans="1:24" x14ac:dyDescent="0.2">
      <c r="A6" s="375">
        <v>3</v>
      </c>
      <c r="B6" s="474" t="s">
        <v>159</v>
      </c>
      <c r="C6" s="299"/>
      <c r="D6" s="742">
        <v>13.5</v>
      </c>
      <c r="E6" s="479">
        <f>D6*(1+$C$36)</f>
        <v>14.885840707964602</v>
      </c>
      <c r="F6" s="299" t="s">
        <v>38</v>
      </c>
      <c r="G6" s="487">
        <f>IF(SUM(R6:W6)&lt;0,SUM(R6:W6),0)</f>
        <v>-2.9771681415929208</v>
      </c>
      <c r="H6" s="489">
        <f>IF((E6+G6)&gt;C$37,(0.5*C$37),(E6+G6)/2)</f>
        <v>5.9543362831858406</v>
      </c>
      <c r="I6" s="494">
        <f>IF((E6+G6)&gt;C$37,C$37,E6+G6)</f>
        <v>11.908672566371681</v>
      </c>
      <c r="J6" s="450">
        <f>ROUND(I6*0.375,0)</f>
        <v>4</v>
      </c>
      <c r="K6" s="734">
        <v>100</v>
      </c>
      <c r="L6" s="256" t="s">
        <v>39</v>
      </c>
      <c r="M6" s="154">
        <v>-3</v>
      </c>
      <c r="O6" s="52" t="str">
        <f>Scramble!B10</f>
        <v>Patrick</v>
      </c>
      <c r="R6" s="52" t="str">
        <f t="shared" si="0"/>
        <v/>
      </c>
      <c r="S6" s="52">
        <f t="shared" si="1"/>
        <v>-2.9771681415929208</v>
      </c>
      <c r="T6" s="52" t="str">
        <f t="shared" si="2"/>
        <v/>
      </c>
      <c r="U6" s="52" t="str">
        <f t="shared" si="3"/>
        <v/>
      </c>
      <c r="V6" s="52" t="str">
        <f t="shared" si="4"/>
        <v/>
      </c>
      <c r="W6" s="52" t="str">
        <f>IF($F6=W$1,$M$12,"")</f>
        <v/>
      </c>
      <c r="X6" s="52">
        <f t="shared" si="5"/>
        <v>-2.9771681415929208</v>
      </c>
    </row>
    <row r="7" spans="1:24" hidden="1" x14ac:dyDescent="0.2">
      <c r="A7" s="329"/>
      <c r="B7" s="472">
        <f>ROUND(H6,0)</f>
        <v>6</v>
      </c>
      <c r="C7" s="299"/>
      <c r="D7" s="481"/>
      <c r="E7" s="479"/>
      <c r="F7" s="299"/>
      <c r="G7" s="487"/>
      <c r="H7" s="489"/>
      <c r="I7" s="494"/>
      <c r="J7" s="450"/>
      <c r="K7" s="734"/>
      <c r="L7" s="256"/>
      <c r="M7" s="154"/>
      <c r="R7" s="52" t="str">
        <f t="shared" si="0"/>
        <v/>
      </c>
      <c r="S7" s="52" t="str">
        <f t="shared" si="1"/>
        <v/>
      </c>
      <c r="T7" s="52" t="str">
        <f t="shared" si="2"/>
        <v/>
      </c>
      <c r="U7" s="52" t="str">
        <f t="shared" si="3"/>
        <v/>
      </c>
      <c r="V7" s="52" t="str">
        <f t="shared" si="4"/>
        <v/>
      </c>
      <c r="X7" s="52">
        <f t="shared" si="5"/>
        <v>0</v>
      </c>
    </row>
    <row r="8" spans="1:24" ht="12" thickBot="1" x14ac:dyDescent="0.25">
      <c r="A8" s="329">
        <v>4</v>
      </c>
      <c r="B8" s="475" t="s">
        <v>163</v>
      </c>
      <c r="C8" s="393"/>
      <c r="D8" s="762">
        <v>11.7</v>
      </c>
      <c r="E8" s="480">
        <f>D8*(1+$C$36)</f>
        <v>12.901061946902654</v>
      </c>
      <c r="F8" s="393"/>
      <c r="G8" s="326">
        <f>IF(SUM(R8:W8)&lt;0,SUM(R8:W8),0)</f>
        <v>0</v>
      </c>
      <c r="H8" s="490">
        <f>IF((E8+G8)&gt;C$37,(0.5*C$37),(E8+G8)/2)</f>
        <v>6.4505309734513272</v>
      </c>
      <c r="I8" s="495">
        <f>IF((E8+G8)&gt;C$37,C$37,E8+G8)</f>
        <v>12.901061946902654</v>
      </c>
      <c r="J8" s="450">
        <f>ROUND(I8*0.375,0)</f>
        <v>5</v>
      </c>
      <c r="K8" s="735">
        <v>100</v>
      </c>
      <c r="L8" s="256" t="s">
        <v>41</v>
      </c>
      <c r="M8" s="357">
        <v>-0.15</v>
      </c>
      <c r="O8" s="52" t="str">
        <f>Scramble!B12</f>
        <v>Brian P</v>
      </c>
      <c r="R8" s="52" t="str">
        <f t="shared" si="0"/>
        <v/>
      </c>
      <c r="S8" s="52" t="str">
        <f t="shared" si="1"/>
        <v/>
      </c>
      <c r="T8" s="52" t="str">
        <f t="shared" si="2"/>
        <v/>
      </c>
      <c r="U8" s="52" t="str">
        <f t="shared" si="3"/>
        <v/>
      </c>
      <c r="V8" s="52" t="str">
        <f t="shared" si="4"/>
        <v/>
      </c>
      <c r="W8" s="52" t="str">
        <f>IF($F8=W$1,$M$12,"")</f>
        <v/>
      </c>
      <c r="X8" s="52">
        <f t="shared" si="5"/>
        <v>0</v>
      </c>
    </row>
    <row r="9" spans="1:24" ht="12" hidden="1" thickBot="1" x14ac:dyDescent="0.25">
      <c r="A9" s="329"/>
      <c r="B9" s="475">
        <f>ROUND(H8,0)</f>
        <v>6</v>
      </c>
      <c r="C9" s="393"/>
      <c r="D9" s="482"/>
      <c r="E9" s="480"/>
      <c r="F9" s="393"/>
      <c r="G9" s="469"/>
      <c r="H9" s="490"/>
      <c r="I9" s="495"/>
      <c r="J9" s="451"/>
      <c r="K9" s="735"/>
      <c r="L9" s="256"/>
      <c r="M9" s="154"/>
      <c r="R9" s="52" t="str">
        <f t="shared" si="0"/>
        <v/>
      </c>
      <c r="S9" s="52" t="str">
        <f t="shared" si="1"/>
        <v/>
      </c>
      <c r="T9" s="52" t="str">
        <f t="shared" si="2"/>
        <v/>
      </c>
      <c r="U9" s="52" t="str">
        <f t="shared" si="3"/>
        <v/>
      </c>
      <c r="V9" s="52" t="str">
        <f t="shared" si="4"/>
        <v/>
      </c>
      <c r="X9" s="52">
        <f t="shared" si="5"/>
        <v>0</v>
      </c>
    </row>
    <row r="10" spans="1:24" x14ac:dyDescent="0.2">
      <c r="A10" s="373">
        <v>5</v>
      </c>
      <c r="B10" s="476" t="s">
        <v>62</v>
      </c>
      <c r="C10" s="331"/>
      <c r="D10" s="741">
        <v>13.5</v>
      </c>
      <c r="E10" s="478">
        <f>D10*(1+$C$36)</f>
        <v>14.885840707964602</v>
      </c>
      <c r="F10" s="331"/>
      <c r="G10" s="466">
        <f>IF(SUM(R10:W10)&lt;0,SUM(R10:W10),0)</f>
        <v>0</v>
      </c>
      <c r="H10" s="488">
        <f>IF((E10+G10)&gt;C$37,(0.5*C$37),(E10+G10)/2)</f>
        <v>7.4429203539823012</v>
      </c>
      <c r="I10" s="493">
        <f>IF((E10+G10)&gt;C$37,C$37,E10+G10)</f>
        <v>14.885840707964602</v>
      </c>
      <c r="J10" s="449">
        <f>ROUND(I10*0.375,0)</f>
        <v>6</v>
      </c>
      <c r="K10" s="733">
        <v>100</v>
      </c>
      <c r="L10" s="256" t="s">
        <v>104</v>
      </c>
      <c r="M10" s="391">
        <v>-4</v>
      </c>
      <c r="O10" s="52" t="str">
        <f>Scramble!B14</f>
        <v xml:space="preserve">Pat </v>
      </c>
      <c r="P10" s="773">
        <f>Scramble!A18</f>
        <v>18.25</v>
      </c>
      <c r="R10" s="52" t="str">
        <f t="shared" si="0"/>
        <v/>
      </c>
      <c r="S10" s="52" t="str">
        <f t="shared" si="1"/>
        <v/>
      </c>
      <c r="T10" s="52" t="str">
        <f t="shared" si="2"/>
        <v/>
      </c>
      <c r="U10" s="52" t="str">
        <f t="shared" si="3"/>
        <v/>
      </c>
      <c r="V10" s="52" t="str">
        <f t="shared" si="4"/>
        <v/>
      </c>
      <c r="W10" s="52" t="str">
        <f>IF($F10=W$1,$M$12,"")</f>
        <v/>
      </c>
      <c r="X10" s="52">
        <f t="shared" si="5"/>
        <v>0</v>
      </c>
    </row>
    <row r="11" spans="1:24" hidden="1" x14ac:dyDescent="0.2">
      <c r="A11" s="375"/>
      <c r="B11" s="474">
        <f>ROUND(H10,0)</f>
        <v>7</v>
      </c>
      <c r="C11" s="299"/>
      <c r="D11" s="481"/>
      <c r="E11" s="479"/>
      <c r="F11" s="299"/>
      <c r="G11" s="467"/>
      <c r="H11" s="489"/>
      <c r="I11" s="494"/>
      <c r="J11" s="450"/>
      <c r="K11" s="734"/>
      <c r="L11" s="256"/>
      <c r="M11" s="203"/>
      <c r="R11" s="52" t="str">
        <f t="shared" si="0"/>
        <v/>
      </c>
      <c r="S11" s="52" t="str">
        <f t="shared" si="1"/>
        <v/>
      </c>
      <c r="T11" s="52" t="str">
        <f t="shared" si="2"/>
        <v/>
      </c>
      <c r="U11" s="52" t="str">
        <f t="shared" si="3"/>
        <v/>
      </c>
      <c r="V11" s="52" t="str">
        <f t="shared" si="4"/>
        <v/>
      </c>
      <c r="X11" s="52">
        <f t="shared" si="5"/>
        <v>0</v>
      </c>
    </row>
    <row r="12" spans="1:24" ht="12" thickBot="1" x14ac:dyDescent="0.25">
      <c r="A12" s="375">
        <v>6</v>
      </c>
      <c r="B12" s="474" t="s">
        <v>164</v>
      </c>
      <c r="C12" s="299"/>
      <c r="D12" s="742">
        <v>29.8</v>
      </c>
      <c r="E12" s="479">
        <f>D12*(1+$C$36)</f>
        <v>32.859115044247787</v>
      </c>
      <c r="F12" s="299"/>
      <c r="G12" s="467">
        <f>IF(SUM(R12:W12)&lt;0,SUM(R12:W12),0)</f>
        <v>0</v>
      </c>
      <c r="H12" s="489">
        <f>IF((E12+G12)&gt;C$37,(0.5*C$37),(E12+G12)/2)</f>
        <v>16</v>
      </c>
      <c r="I12" s="494">
        <f>IF((E12+G12)&gt;C$37,C$37,E12+G12)</f>
        <v>32</v>
      </c>
      <c r="J12" s="450">
        <f>ROUND(I12*0.375,0)</f>
        <v>12</v>
      </c>
      <c r="K12" s="734">
        <v>100</v>
      </c>
      <c r="L12" s="258" t="s">
        <v>105</v>
      </c>
      <c r="M12" s="157">
        <v>-5</v>
      </c>
      <c r="O12" s="52" t="str">
        <f>Scramble!B16</f>
        <v>Hunter</v>
      </c>
      <c r="R12" s="52" t="str">
        <f t="shared" si="0"/>
        <v/>
      </c>
      <c r="S12" s="52" t="str">
        <f t="shared" si="1"/>
        <v/>
      </c>
      <c r="T12" s="52" t="str">
        <f t="shared" si="2"/>
        <v/>
      </c>
      <c r="U12" s="52" t="str">
        <f t="shared" si="3"/>
        <v/>
      </c>
      <c r="V12" s="52" t="str">
        <f t="shared" si="4"/>
        <v/>
      </c>
      <c r="W12" s="52" t="str">
        <f>IF($F12=W$1,$M$12,"")</f>
        <v/>
      </c>
      <c r="X12" s="52">
        <f t="shared" si="5"/>
        <v>0</v>
      </c>
    </row>
    <row r="13" spans="1:24" hidden="1" x14ac:dyDescent="0.2">
      <c r="A13" s="375"/>
      <c r="B13" s="474">
        <f>ROUND(H12,0)</f>
        <v>16</v>
      </c>
      <c r="C13" s="299"/>
      <c r="D13" s="481"/>
      <c r="E13" s="479"/>
      <c r="F13" s="299"/>
      <c r="G13" s="467"/>
      <c r="H13" s="489"/>
      <c r="I13" s="494"/>
      <c r="J13" s="450"/>
      <c r="K13" s="734"/>
      <c r="R13" s="52" t="str">
        <f t="shared" si="0"/>
        <v/>
      </c>
      <c r="S13" s="52" t="str">
        <f t="shared" si="1"/>
        <v/>
      </c>
      <c r="T13" s="52" t="str">
        <f t="shared" si="2"/>
        <v/>
      </c>
      <c r="U13" s="52" t="str">
        <f t="shared" si="3"/>
        <v/>
      </c>
      <c r="V13" s="52" t="str">
        <f t="shared" si="4"/>
        <v/>
      </c>
      <c r="X13" s="52">
        <f t="shared" si="5"/>
        <v>0</v>
      </c>
    </row>
    <row r="14" spans="1:24" x14ac:dyDescent="0.2">
      <c r="A14" s="375">
        <v>7</v>
      </c>
      <c r="B14" s="474" t="s">
        <v>168</v>
      </c>
      <c r="C14" s="299"/>
      <c r="D14" s="742">
        <v>22.1</v>
      </c>
      <c r="E14" s="479">
        <f>D14*(1+$C$36)</f>
        <v>24.368672566371682</v>
      </c>
      <c r="F14" s="299" t="s">
        <v>38</v>
      </c>
      <c r="G14" s="467">
        <f>IF(SUM(R14:W14)&lt;0,SUM(R14:W14),0)</f>
        <v>-4.8737345132743366</v>
      </c>
      <c r="H14" s="489">
        <f>IF((E14+G14)&gt;C$37,(0.5*C$37),(E14+G14)/2)</f>
        <v>9.7474690265486732</v>
      </c>
      <c r="I14" s="494">
        <f>IF((E14+G14)&gt;C$37,C$37,E14+G14)</f>
        <v>19.494938053097346</v>
      </c>
      <c r="J14" s="450">
        <f>ROUND(I14*0.375,0)</f>
        <v>7</v>
      </c>
      <c r="K14" s="734">
        <v>100</v>
      </c>
      <c r="O14" s="52" t="str">
        <f>Scramble!B18</f>
        <v>Bob</v>
      </c>
      <c r="R14" s="52" t="str">
        <f t="shared" si="0"/>
        <v/>
      </c>
      <c r="S14" s="52">
        <f t="shared" si="1"/>
        <v>-4.8737345132743366</v>
      </c>
      <c r="T14" s="52" t="str">
        <f t="shared" si="2"/>
        <v/>
      </c>
      <c r="U14" s="52" t="str">
        <f t="shared" si="3"/>
        <v/>
      </c>
      <c r="V14" s="52" t="str">
        <f t="shared" si="4"/>
        <v/>
      </c>
      <c r="W14" s="52" t="str">
        <f>IF($F14=W$1,$M$12,"")</f>
        <v/>
      </c>
      <c r="X14" s="52">
        <f t="shared" si="5"/>
        <v>-4.8737345132743366</v>
      </c>
    </row>
    <row r="15" spans="1:24" hidden="1" x14ac:dyDescent="0.2">
      <c r="A15" s="375"/>
      <c r="B15" s="474">
        <f>ROUND(H14,0)</f>
        <v>10</v>
      </c>
      <c r="C15" s="299"/>
      <c r="D15" s="742"/>
      <c r="E15" s="479"/>
      <c r="F15" s="299"/>
      <c r="G15" s="467"/>
      <c r="H15" s="489"/>
      <c r="I15" s="494"/>
      <c r="J15" s="450"/>
      <c r="K15" s="734"/>
      <c r="R15" s="52" t="str">
        <f t="shared" si="0"/>
        <v/>
      </c>
      <c r="S15" s="52" t="str">
        <f t="shared" si="1"/>
        <v/>
      </c>
      <c r="T15" s="52" t="str">
        <f t="shared" si="2"/>
        <v/>
      </c>
      <c r="U15" s="52" t="str">
        <f t="shared" si="3"/>
        <v/>
      </c>
      <c r="V15" s="52" t="str">
        <f t="shared" si="4"/>
        <v/>
      </c>
      <c r="X15" s="52">
        <f t="shared" si="5"/>
        <v>0</v>
      </c>
    </row>
    <row r="16" spans="1:24" ht="12" thickBot="1" x14ac:dyDescent="0.25">
      <c r="A16" s="375">
        <v>8</v>
      </c>
      <c r="B16" s="473" t="s">
        <v>165</v>
      </c>
      <c r="C16" s="299"/>
      <c r="D16" s="742">
        <v>25.2</v>
      </c>
      <c r="E16" s="479">
        <f>D16*(1+$C$36)</f>
        <v>27.786902654867255</v>
      </c>
      <c r="F16" s="299"/>
      <c r="G16" s="467">
        <f>IF(SUM(R16:W16)&lt;0,SUM(R16:W16),0)</f>
        <v>0</v>
      </c>
      <c r="H16" s="489">
        <f>IF((E16+G16)&gt;C$37,(0.5*C$37),(E16+G16)/2)</f>
        <v>13.893451327433628</v>
      </c>
      <c r="I16" s="494">
        <f>IF((E16+G16)&gt;C$37,C$37,E16+G16)</f>
        <v>27.786902654867255</v>
      </c>
      <c r="J16" s="452">
        <f>ROUND(I16*0.375,0)</f>
        <v>10</v>
      </c>
      <c r="K16" s="734">
        <v>100</v>
      </c>
      <c r="O16" s="52" t="str">
        <f>Scramble!B20</f>
        <v>Keith</v>
      </c>
      <c r="R16" s="52" t="str">
        <f t="shared" si="0"/>
        <v/>
      </c>
      <c r="S16" s="52" t="str">
        <f t="shared" si="1"/>
        <v/>
      </c>
      <c r="T16" s="52" t="str">
        <f t="shared" si="2"/>
        <v/>
      </c>
      <c r="U16" s="52" t="str">
        <f t="shared" si="3"/>
        <v/>
      </c>
      <c r="V16" s="52" t="str">
        <f t="shared" si="4"/>
        <v/>
      </c>
      <c r="W16" s="52" t="str">
        <f>IF($F16=W$1,$M$12,"")</f>
        <v/>
      </c>
      <c r="X16" s="52">
        <f t="shared" si="5"/>
        <v>0</v>
      </c>
    </row>
    <row r="17" spans="1:24" ht="12" hidden="1" thickBot="1" x14ac:dyDescent="0.25">
      <c r="A17" s="329"/>
      <c r="B17" s="475">
        <f>ROUND(H16,0)</f>
        <v>14</v>
      </c>
      <c r="C17" s="393"/>
      <c r="D17" s="482"/>
      <c r="E17" s="480"/>
      <c r="F17" s="393"/>
      <c r="G17" s="469"/>
      <c r="H17" s="490"/>
      <c r="I17" s="495"/>
      <c r="J17" s="453"/>
      <c r="K17" s="735"/>
      <c r="R17" s="52" t="str">
        <f t="shared" si="0"/>
        <v/>
      </c>
      <c r="S17" s="52" t="str">
        <f t="shared" si="1"/>
        <v/>
      </c>
      <c r="T17" s="52" t="str">
        <f t="shared" si="2"/>
        <v/>
      </c>
      <c r="U17" s="52" t="str">
        <f t="shared" si="3"/>
        <v/>
      </c>
      <c r="V17" s="52" t="str">
        <f t="shared" si="4"/>
        <v/>
      </c>
      <c r="X17" s="52">
        <f t="shared" si="5"/>
        <v>0</v>
      </c>
    </row>
    <row r="18" spans="1:24" x14ac:dyDescent="0.2">
      <c r="A18" s="373">
        <v>9</v>
      </c>
      <c r="B18" s="471" t="s">
        <v>100</v>
      </c>
      <c r="C18" s="331"/>
      <c r="D18" s="741">
        <v>9.4</v>
      </c>
      <c r="E18" s="478">
        <f>D18*(1+$C$36)</f>
        <v>10.36495575221239</v>
      </c>
      <c r="F18" s="331"/>
      <c r="G18" s="466">
        <f>IF(SUM(R18:W18)&lt;0,SUM(R18:W18),0)</f>
        <v>0</v>
      </c>
      <c r="H18" s="488">
        <f>IF((E18+G18)&gt;C$37,(0.5*C$37),(E18+G18)/2)</f>
        <v>5.1824778761061951</v>
      </c>
      <c r="I18" s="493">
        <f>IF((E18+G18)&gt;C$37,C$37,E18+G18)</f>
        <v>10.36495575221239</v>
      </c>
      <c r="J18" s="450">
        <f>ROUND(I18*0.375,0)</f>
        <v>4</v>
      </c>
      <c r="K18" s="733">
        <v>100</v>
      </c>
      <c r="O18" s="52" t="str">
        <f>Scramble!B22</f>
        <v>John</v>
      </c>
      <c r="P18" s="773">
        <f>Scramble!A26</f>
        <v>17.724999999999998</v>
      </c>
      <c r="R18" s="52" t="str">
        <f t="shared" si="0"/>
        <v/>
      </c>
      <c r="S18" s="52" t="str">
        <f t="shared" si="1"/>
        <v/>
      </c>
      <c r="T18" s="52" t="str">
        <f t="shared" si="2"/>
        <v/>
      </c>
      <c r="U18" s="52" t="str">
        <f t="shared" si="3"/>
        <v/>
      </c>
      <c r="V18" s="52" t="str">
        <f t="shared" si="4"/>
        <v/>
      </c>
      <c r="W18" s="52" t="str">
        <f>IF($F18=W$1,$M$12,"")</f>
        <v/>
      </c>
      <c r="X18" s="52">
        <f t="shared" si="5"/>
        <v>0</v>
      </c>
    </row>
    <row r="19" spans="1:24" hidden="1" x14ac:dyDescent="0.2">
      <c r="A19" s="375"/>
      <c r="B19" s="474">
        <f>ROUND(H18,0)</f>
        <v>5</v>
      </c>
      <c r="C19" s="299"/>
      <c r="D19" s="481"/>
      <c r="E19" s="479"/>
      <c r="F19" s="299"/>
      <c r="G19" s="467"/>
      <c r="H19" s="489"/>
      <c r="I19" s="494"/>
      <c r="J19" s="450"/>
      <c r="K19" s="734"/>
      <c r="R19" s="52" t="str">
        <f t="shared" si="0"/>
        <v/>
      </c>
      <c r="S19" s="52" t="str">
        <f t="shared" si="1"/>
        <v/>
      </c>
      <c r="T19" s="52" t="str">
        <f t="shared" si="2"/>
        <v/>
      </c>
      <c r="U19" s="52" t="str">
        <f t="shared" si="3"/>
        <v/>
      </c>
      <c r="V19" s="52" t="str">
        <f t="shared" si="4"/>
        <v/>
      </c>
      <c r="X19" s="52">
        <f t="shared" si="5"/>
        <v>0</v>
      </c>
    </row>
    <row r="20" spans="1:24" x14ac:dyDescent="0.2">
      <c r="A20" s="375">
        <v>10</v>
      </c>
      <c r="B20" s="473" t="s">
        <v>161</v>
      </c>
      <c r="C20" s="299"/>
      <c r="D20" s="742">
        <v>8.8000000000000007</v>
      </c>
      <c r="E20" s="479">
        <f>D20*(1+$C$36)</f>
        <v>9.7033628318584082</v>
      </c>
      <c r="F20" s="299"/>
      <c r="G20" s="467">
        <f>IF(SUM(R20:W20)&lt;0,SUM(R20:W20),0)</f>
        <v>0</v>
      </c>
      <c r="H20" s="489">
        <f>IF((E20+G20)&gt;C$37,(0.5*C$37),(E20+G20)/2)</f>
        <v>4.8516814159292041</v>
      </c>
      <c r="I20" s="494">
        <f>IF((E20+G20)&gt;C$37,C$37,E20+G20)</f>
        <v>9.7033628318584082</v>
      </c>
      <c r="J20" s="450">
        <f>ROUND(I20*0.375,0)</f>
        <v>4</v>
      </c>
      <c r="K20" s="734">
        <v>100</v>
      </c>
      <c r="O20" s="52" t="str">
        <f>Scramble!B24</f>
        <v>Manny</v>
      </c>
      <c r="R20" s="52" t="str">
        <f t="shared" si="0"/>
        <v/>
      </c>
      <c r="S20" s="52" t="str">
        <f t="shared" si="1"/>
        <v/>
      </c>
      <c r="T20" s="52" t="str">
        <f t="shared" si="2"/>
        <v/>
      </c>
      <c r="U20" s="52" t="str">
        <f t="shared" si="3"/>
        <v/>
      </c>
      <c r="V20" s="52" t="str">
        <f t="shared" si="4"/>
        <v/>
      </c>
      <c r="W20" s="52" t="str">
        <f>IF($F20=W$1,$M$12,"")</f>
        <v/>
      </c>
      <c r="X20" s="52">
        <f t="shared" si="5"/>
        <v>0</v>
      </c>
    </row>
    <row r="21" spans="1:24" hidden="1" x14ac:dyDescent="0.2">
      <c r="A21" s="375"/>
      <c r="B21" s="474">
        <f>ROUND(H20,0)</f>
        <v>5</v>
      </c>
      <c r="C21" s="299"/>
      <c r="D21" s="481"/>
      <c r="E21" s="479"/>
      <c r="F21" s="299"/>
      <c r="G21" s="467"/>
      <c r="H21" s="489"/>
      <c r="I21" s="494"/>
      <c r="J21" s="450"/>
      <c r="K21" s="734"/>
      <c r="R21" s="52" t="str">
        <f t="shared" si="0"/>
        <v/>
      </c>
      <c r="S21" s="52" t="str">
        <f t="shared" si="1"/>
        <v/>
      </c>
      <c r="T21" s="52" t="str">
        <f t="shared" si="2"/>
        <v/>
      </c>
      <c r="U21" s="52" t="str">
        <f t="shared" si="3"/>
        <v/>
      </c>
      <c r="V21" s="52" t="str">
        <f t="shared" si="4"/>
        <v/>
      </c>
      <c r="X21" s="52">
        <f t="shared" si="5"/>
        <v>0</v>
      </c>
    </row>
    <row r="22" spans="1:24" x14ac:dyDescent="0.2">
      <c r="A22" s="375">
        <v>11</v>
      </c>
      <c r="B22" s="474" t="s">
        <v>137</v>
      </c>
      <c r="C22" s="299"/>
      <c r="D22" s="742">
        <v>13.4</v>
      </c>
      <c r="E22" s="479">
        <f>D22*(1+$C$36)</f>
        <v>14.775575221238938</v>
      </c>
      <c r="F22" s="299"/>
      <c r="G22" s="467">
        <f>IF(SUM(R22:W22)&lt;0,SUM(R22:W22),0)</f>
        <v>0</v>
      </c>
      <c r="H22" s="489">
        <f>IF((E22+G22)&gt;C$37,(0.5*C$37),(E22+G22)/2)</f>
        <v>7.3877876106194691</v>
      </c>
      <c r="I22" s="494">
        <f>IF((E22+G22)&gt;C$37,C$37,E22+G22)</f>
        <v>14.775575221238938</v>
      </c>
      <c r="J22" s="450">
        <f>ROUND(I22*0.375,0)</f>
        <v>6</v>
      </c>
      <c r="K22" s="734">
        <v>100</v>
      </c>
      <c r="O22" s="52" t="str">
        <f>Scramble!B26</f>
        <v>Brian S</v>
      </c>
      <c r="R22" s="52" t="str">
        <f t="shared" si="0"/>
        <v/>
      </c>
      <c r="S22" s="52" t="str">
        <f t="shared" si="1"/>
        <v/>
      </c>
      <c r="T22" s="52" t="str">
        <f t="shared" si="2"/>
        <v/>
      </c>
      <c r="U22" s="52" t="str">
        <f t="shared" si="3"/>
        <v/>
      </c>
      <c r="V22" s="52" t="str">
        <f t="shared" si="4"/>
        <v/>
      </c>
      <c r="W22" s="52" t="str">
        <f>IF($F22=W$1,$M$12,"")</f>
        <v/>
      </c>
      <c r="X22" s="52">
        <f t="shared" si="5"/>
        <v>0</v>
      </c>
    </row>
    <row r="23" spans="1:24" hidden="1" x14ac:dyDescent="0.2">
      <c r="A23" s="375"/>
      <c r="B23" s="474">
        <f>ROUND(H22,0)</f>
        <v>7</v>
      </c>
      <c r="C23" s="299"/>
      <c r="D23" s="481"/>
      <c r="E23" s="479"/>
      <c r="F23" s="299"/>
      <c r="G23" s="467"/>
      <c r="H23" s="489"/>
      <c r="I23" s="494"/>
      <c r="J23" s="450"/>
      <c r="K23" s="734"/>
      <c r="R23" s="52" t="str">
        <f t="shared" si="0"/>
        <v/>
      </c>
      <c r="S23" s="52" t="str">
        <f t="shared" si="1"/>
        <v/>
      </c>
      <c r="T23" s="52" t="str">
        <f t="shared" si="2"/>
        <v/>
      </c>
      <c r="U23" s="52" t="str">
        <f t="shared" si="3"/>
        <v/>
      </c>
      <c r="V23" s="52" t="str">
        <f t="shared" si="4"/>
        <v/>
      </c>
      <c r="X23" s="52">
        <f t="shared" si="5"/>
        <v>0</v>
      </c>
    </row>
    <row r="24" spans="1:24" ht="12" thickBot="1" x14ac:dyDescent="0.25">
      <c r="A24" s="356">
        <v>12</v>
      </c>
      <c r="B24" s="477" t="s">
        <v>171</v>
      </c>
      <c r="C24" s="300"/>
      <c r="D24" s="763">
        <v>27.6</v>
      </c>
      <c r="E24" s="485">
        <f>D24*(1+$C$36)</f>
        <v>30.433274336283187</v>
      </c>
      <c r="F24" s="300" t="s">
        <v>38</v>
      </c>
      <c r="G24" s="468">
        <f>IF(SUM(R24:W24)&lt;0,SUM(R24:W24),0)</f>
        <v>-6.0866548672566374</v>
      </c>
      <c r="H24" s="491">
        <f>IF((E24+G24)&gt;C$37,(0.5*C$37),(E24+G24)/2)</f>
        <v>12.173309734513275</v>
      </c>
      <c r="I24" s="496">
        <f>IF((E24+G24)&gt;C$37,C$37,E24+G24)</f>
        <v>24.34661946902655</v>
      </c>
      <c r="J24" s="450">
        <f>ROUND(I24*0.375,0)</f>
        <v>9</v>
      </c>
      <c r="K24" s="736">
        <v>100</v>
      </c>
      <c r="O24" s="52" t="str">
        <f>Scramble!B28</f>
        <v>Tommy</v>
      </c>
      <c r="R24" s="52" t="str">
        <f t="shared" si="0"/>
        <v/>
      </c>
      <c r="S24" s="52">
        <f t="shared" si="1"/>
        <v>-6.0866548672566374</v>
      </c>
      <c r="T24" s="52" t="str">
        <f t="shared" si="2"/>
        <v/>
      </c>
      <c r="U24" s="52" t="str">
        <f t="shared" si="3"/>
        <v/>
      </c>
      <c r="V24" s="52" t="str">
        <f t="shared" si="4"/>
        <v/>
      </c>
      <c r="W24" s="52" t="str">
        <f>IF($F24=W$1,$M$12,"")</f>
        <v/>
      </c>
      <c r="X24" s="52">
        <f t="shared" si="5"/>
        <v>-6.0866548672566374</v>
      </c>
    </row>
    <row r="25" spans="1:24" ht="12" hidden="1" thickBot="1" x14ac:dyDescent="0.25">
      <c r="A25" s="374"/>
      <c r="B25" s="472">
        <f>ROUND(H24,0)</f>
        <v>12</v>
      </c>
      <c r="C25" s="483"/>
      <c r="D25" s="484"/>
      <c r="E25" s="486"/>
      <c r="F25" s="483"/>
      <c r="G25" s="487"/>
      <c r="H25" s="492"/>
      <c r="I25" s="497"/>
      <c r="J25" s="451"/>
      <c r="K25" s="737"/>
      <c r="R25" s="52" t="str">
        <f t="shared" si="0"/>
        <v/>
      </c>
      <c r="S25" s="52" t="str">
        <f t="shared" si="1"/>
        <v/>
      </c>
      <c r="T25" s="52" t="str">
        <f t="shared" si="2"/>
        <v/>
      </c>
      <c r="U25" s="52" t="str">
        <f t="shared" si="3"/>
        <v/>
      </c>
      <c r="V25" s="52" t="str">
        <f t="shared" si="4"/>
        <v/>
      </c>
      <c r="X25" s="52">
        <f t="shared" si="5"/>
        <v>0</v>
      </c>
    </row>
    <row r="26" spans="1:24" x14ac:dyDescent="0.2">
      <c r="A26" s="375">
        <v>13</v>
      </c>
      <c r="B26" s="474" t="s">
        <v>61</v>
      </c>
      <c r="C26" s="299"/>
      <c r="D26" s="742">
        <v>18.100000000000001</v>
      </c>
      <c r="E26" s="479">
        <f>D26*(1+$C$36)</f>
        <v>19.958053097345136</v>
      </c>
      <c r="F26" s="299"/>
      <c r="G26" s="467">
        <f>IF(SUM(R26:W26)&lt;0,SUM(R26:W26),0)</f>
        <v>0</v>
      </c>
      <c r="H26" s="489">
        <f>IF((E26+G26)&gt;C$37,(0.5*C$37),(E26+G26)/2)</f>
        <v>9.979026548672568</v>
      </c>
      <c r="I26" s="494">
        <f>IF((E26+G26)&gt;C$37,C$37,E26+G26)</f>
        <v>19.958053097345136</v>
      </c>
      <c r="J26" s="449">
        <f>ROUND(I26*0.375,0)</f>
        <v>7</v>
      </c>
      <c r="K26" s="734">
        <v>100</v>
      </c>
      <c r="O26" s="52" t="str">
        <f>Scramble!B30</f>
        <v>Mil</v>
      </c>
      <c r="P26" s="773">
        <f>Scramble!A34</f>
        <v>17.875</v>
      </c>
      <c r="R26" s="52" t="str">
        <f t="shared" si="0"/>
        <v/>
      </c>
      <c r="S26" s="52" t="str">
        <f t="shared" si="1"/>
        <v/>
      </c>
      <c r="T26" s="52" t="str">
        <f t="shared" si="2"/>
        <v/>
      </c>
      <c r="U26" s="52" t="str">
        <f t="shared" si="3"/>
        <v/>
      </c>
      <c r="V26" s="52" t="str">
        <f t="shared" si="4"/>
        <v/>
      </c>
      <c r="W26" s="52" t="str">
        <f>IF($F26=W$1,$M$12,"")</f>
        <v/>
      </c>
      <c r="X26" s="52">
        <f t="shared" si="5"/>
        <v>0</v>
      </c>
    </row>
    <row r="27" spans="1:24" hidden="1" x14ac:dyDescent="0.2">
      <c r="A27" s="375"/>
      <c r="B27" s="474">
        <f>ROUND(H26,0)</f>
        <v>10</v>
      </c>
      <c r="C27" s="299"/>
      <c r="D27" s="481"/>
      <c r="E27" s="479"/>
      <c r="F27" s="299"/>
      <c r="G27" s="467"/>
      <c r="H27" s="489"/>
      <c r="I27" s="494"/>
      <c r="J27" s="450"/>
      <c r="K27" s="734"/>
      <c r="R27" s="52" t="str">
        <f t="shared" si="0"/>
        <v/>
      </c>
      <c r="S27" s="52" t="str">
        <f t="shared" si="1"/>
        <v/>
      </c>
      <c r="T27" s="52" t="str">
        <f t="shared" si="2"/>
        <v/>
      </c>
      <c r="U27" s="52" t="str">
        <f t="shared" si="3"/>
        <v/>
      </c>
      <c r="V27" s="52" t="str">
        <f t="shared" si="4"/>
        <v/>
      </c>
      <c r="X27" s="52">
        <f t="shared" si="5"/>
        <v>0</v>
      </c>
    </row>
    <row r="28" spans="1:24" x14ac:dyDescent="0.2">
      <c r="A28" s="375">
        <v>14</v>
      </c>
      <c r="B28" s="473" t="s">
        <v>160</v>
      </c>
      <c r="C28" s="299"/>
      <c r="D28" s="742">
        <v>17.5</v>
      </c>
      <c r="E28" s="479">
        <f>D28*(1+$C$36)</f>
        <v>19.29646017699115</v>
      </c>
      <c r="F28" s="299" t="s">
        <v>38</v>
      </c>
      <c r="G28" s="467">
        <f>IF(SUM(R28:W28)&lt;0,SUM(R28:W28),0)</f>
        <v>-3.8592920353982301</v>
      </c>
      <c r="H28" s="489">
        <f>IF((E28+G28)&gt;C$37,(0.5*C$37),(E28+G28)/2)</f>
        <v>7.7185840707964601</v>
      </c>
      <c r="I28" s="494">
        <f>IF((E28+G28)&gt;C$37,C$37,E28+G28)</f>
        <v>15.43716814159292</v>
      </c>
      <c r="J28" s="450">
        <f>ROUND(I28*0.375,0)</f>
        <v>6</v>
      </c>
      <c r="K28" s="734">
        <v>100</v>
      </c>
      <c r="O28" s="52" t="str">
        <f>Scramble!B32</f>
        <v>Dave</v>
      </c>
      <c r="R28" s="52" t="str">
        <f t="shared" si="0"/>
        <v/>
      </c>
      <c r="S28" s="52">
        <f t="shared" si="1"/>
        <v>-3.8592920353982301</v>
      </c>
      <c r="T28" s="52" t="str">
        <f t="shared" si="2"/>
        <v/>
      </c>
      <c r="U28" s="52" t="str">
        <f t="shared" si="3"/>
        <v/>
      </c>
      <c r="V28" s="52" t="str">
        <f t="shared" si="4"/>
        <v/>
      </c>
      <c r="W28" s="52" t="str">
        <f>IF($F28=W$1,$M$12,"")</f>
        <v/>
      </c>
      <c r="X28" s="52">
        <f t="shared" si="5"/>
        <v>-3.8592920353982301</v>
      </c>
    </row>
    <row r="29" spans="1:24" hidden="1" x14ac:dyDescent="0.2">
      <c r="A29" s="375"/>
      <c r="B29" s="474">
        <f>ROUND(H28,0)</f>
        <v>8</v>
      </c>
      <c r="C29" s="299"/>
      <c r="D29" s="481"/>
      <c r="E29" s="395"/>
      <c r="F29" s="299"/>
      <c r="G29" s="467"/>
      <c r="H29" s="489"/>
      <c r="I29" s="498"/>
      <c r="J29" s="500"/>
      <c r="K29" s="734"/>
      <c r="R29" s="52" t="str">
        <f t="shared" si="0"/>
        <v/>
      </c>
      <c r="S29" s="52" t="str">
        <f t="shared" si="1"/>
        <v/>
      </c>
      <c r="T29" s="52" t="str">
        <f t="shared" si="2"/>
        <v/>
      </c>
      <c r="U29" s="52" t="str">
        <f t="shared" si="3"/>
        <v/>
      </c>
      <c r="V29" s="52" t="str">
        <f t="shared" si="4"/>
        <v/>
      </c>
      <c r="X29" s="52">
        <f t="shared" si="5"/>
        <v>0</v>
      </c>
    </row>
    <row r="30" spans="1:24" x14ac:dyDescent="0.2">
      <c r="A30" s="375">
        <v>15</v>
      </c>
      <c r="B30" s="474" t="s">
        <v>167</v>
      </c>
      <c r="C30" s="299"/>
      <c r="D30" s="742">
        <v>23.7</v>
      </c>
      <c r="E30" s="479">
        <f>D30*(1+$C$36)</f>
        <v>26.1329203539823</v>
      </c>
      <c r="F30" s="299"/>
      <c r="G30" s="467">
        <f>IF(SUM(R30:W30)&lt;0,SUM(R30:W30),0)</f>
        <v>0</v>
      </c>
      <c r="H30" s="489">
        <f>IF((E30+G30)&gt;C$37,(0.5*C$37),(E30+G30)/2)</f>
        <v>13.06646017699115</v>
      </c>
      <c r="I30" s="494">
        <f>IF((E30+G30)&gt;C$37,C$37,E30+G30)</f>
        <v>26.1329203539823</v>
      </c>
      <c r="J30" s="450">
        <f>ROUND(I30*0.375,0)</f>
        <v>10</v>
      </c>
      <c r="K30" s="734">
        <v>100</v>
      </c>
      <c r="O30" s="52" t="str">
        <f>Scramble!B34</f>
        <v>Tony W</v>
      </c>
      <c r="R30" s="52" t="str">
        <f t="shared" si="0"/>
        <v/>
      </c>
      <c r="S30" s="52" t="str">
        <f t="shared" si="1"/>
        <v/>
      </c>
      <c r="T30" s="52" t="str">
        <f t="shared" si="2"/>
        <v/>
      </c>
      <c r="U30" s="52" t="str">
        <f t="shared" si="3"/>
        <v/>
      </c>
      <c r="V30" s="52" t="str">
        <f t="shared" si="4"/>
        <v/>
      </c>
      <c r="W30" s="52" t="str">
        <f>IF($F30=W$1,$M$12,"")</f>
        <v/>
      </c>
      <c r="X30" s="52">
        <f>SUM(R30:W30)</f>
        <v>0</v>
      </c>
    </row>
    <row r="31" spans="1:24" hidden="1" x14ac:dyDescent="0.2">
      <c r="A31" s="375"/>
      <c r="B31" s="474">
        <f>ROUND(H30,0)</f>
        <v>13</v>
      </c>
      <c r="C31" s="299"/>
      <c r="D31" s="481"/>
      <c r="E31" s="479"/>
      <c r="F31" s="299"/>
      <c r="G31" s="467"/>
      <c r="H31" s="489"/>
      <c r="I31" s="494"/>
      <c r="J31" s="450"/>
      <c r="K31" s="734"/>
      <c r="R31" s="52" t="str">
        <f t="shared" si="0"/>
        <v/>
      </c>
      <c r="S31" s="52" t="str">
        <f t="shared" si="1"/>
        <v/>
      </c>
      <c r="T31" s="52" t="str">
        <f t="shared" si="2"/>
        <v/>
      </c>
      <c r="U31" s="52" t="str">
        <f t="shared" si="3"/>
        <v/>
      </c>
      <c r="V31" s="52" t="str">
        <f t="shared" si="4"/>
        <v/>
      </c>
      <c r="X31" s="52">
        <f>SUM(R31:W31)</f>
        <v>0</v>
      </c>
    </row>
    <row r="32" spans="1:24" ht="12" thickBot="1" x14ac:dyDescent="0.25">
      <c r="A32" s="356">
        <v>16</v>
      </c>
      <c r="B32" s="477" t="s">
        <v>166</v>
      </c>
      <c r="C32" s="300"/>
      <c r="D32" s="763">
        <v>27.1</v>
      </c>
      <c r="E32" s="485">
        <f>D32*(1+$C$36)</f>
        <v>29.881946902654871</v>
      </c>
      <c r="F32" s="300"/>
      <c r="G32" s="468">
        <f>IF(SUM(R32:W32)&lt;0,SUM(R32:W32),0)</f>
        <v>0</v>
      </c>
      <c r="H32" s="491">
        <f>IF((E32+G32)&gt;C$37,(0.5*C$37),(E32+G32)/2)</f>
        <v>14.940973451327435</v>
      </c>
      <c r="I32" s="496">
        <f>IF((E32+G32)&gt;C$37,C$37,E32+G32)</f>
        <v>29.881946902654871</v>
      </c>
      <c r="J32" s="452">
        <f>ROUND(I32*0.375,0)</f>
        <v>11</v>
      </c>
      <c r="K32" s="736">
        <v>100</v>
      </c>
      <c r="O32" s="52" t="str">
        <f>Scramble!B36</f>
        <v>Chris</v>
      </c>
      <c r="R32" s="52" t="str">
        <f t="shared" si="0"/>
        <v/>
      </c>
      <c r="S32" s="52" t="str">
        <f t="shared" si="1"/>
        <v/>
      </c>
      <c r="T32" s="52" t="str">
        <f t="shared" si="2"/>
        <v/>
      </c>
      <c r="U32" s="52" t="str">
        <f t="shared" si="3"/>
        <v/>
      </c>
      <c r="V32" s="52" t="str">
        <f t="shared" si="4"/>
        <v/>
      </c>
      <c r="W32" s="52" t="str">
        <f>IF($F32=W$1,$M$12,"")</f>
        <v/>
      </c>
      <c r="X32" s="52">
        <f>SUM(R32:W32)</f>
        <v>0</v>
      </c>
    </row>
    <row r="33" spans="1:24" hidden="1" x14ac:dyDescent="0.2">
      <c r="A33" s="374"/>
      <c r="B33" s="472">
        <f>ROUND(H32,0)</f>
        <v>15</v>
      </c>
      <c r="C33" s="483"/>
      <c r="D33" s="484"/>
      <c r="E33" s="486"/>
      <c r="F33" s="483"/>
      <c r="G33" s="487"/>
      <c r="H33" s="492"/>
      <c r="I33" s="497"/>
      <c r="J33" s="453"/>
      <c r="K33" s="499"/>
      <c r="R33" s="52" t="str">
        <f t="shared" si="0"/>
        <v/>
      </c>
      <c r="S33" s="52" t="str">
        <f t="shared" si="1"/>
        <v/>
      </c>
      <c r="T33" s="52" t="str">
        <f t="shared" si="2"/>
        <v/>
      </c>
      <c r="U33" s="52" t="str">
        <f t="shared" si="3"/>
        <v/>
      </c>
      <c r="V33" s="52" t="str">
        <f t="shared" si="4"/>
        <v/>
      </c>
      <c r="X33" s="52">
        <f>SUM(R33:W33)</f>
        <v>0</v>
      </c>
    </row>
    <row r="34" spans="1:24" x14ac:dyDescent="0.2">
      <c r="A34" s="324"/>
      <c r="B34" s="392"/>
      <c r="C34" s="59"/>
      <c r="D34" s="325"/>
      <c r="F34" s="59"/>
      <c r="G34" s="326"/>
      <c r="H34" s="326"/>
      <c r="I34" s="253"/>
      <c r="J34" s="253"/>
      <c r="K34" s="330"/>
      <c r="R34" s="52" t="str">
        <f t="shared" si="0"/>
        <v/>
      </c>
      <c r="S34" s="56"/>
      <c r="T34" s="52" t="str">
        <f t="shared" si="2"/>
        <v/>
      </c>
      <c r="U34" s="52" t="str">
        <f>IF($F34=U$1,$D34*$M$8,"")</f>
        <v/>
      </c>
      <c r="V34" s="52" t="str">
        <f t="shared" si="4"/>
        <v/>
      </c>
    </row>
    <row r="35" spans="1:24" ht="12" thickBot="1" x14ac:dyDescent="0.25">
      <c r="A35" s="324"/>
      <c r="B35" s="56"/>
      <c r="C35" s="59"/>
      <c r="D35" s="325"/>
      <c r="E35" s="59"/>
      <c r="F35" s="326"/>
      <c r="G35" s="326"/>
      <c r="H35" s="253"/>
      <c r="I35" s="330"/>
      <c r="J35" s="330"/>
      <c r="O35" s="52" t="s">
        <v>173</v>
      </c>
      <c r="P35" s="773">
        <f>AVERAGE(D2:D32)</f>
        <v>17.96875</v>
      </c>
      <c r="R35" s="52" t="str">
        <f>IF($E35=R$1,$M$2,"")</f>
        <v/>
      </c>
      <c r="S35" s="56"/>
      <c r="T35" s="52" t="str">
        <f>IF($E35=T$1,$M$6,"")</f>
        <v/>
      </c>
      <c r="U35" s="52" t="str">
        <f>IF($E35=U$1,$D35*$M$8,"")</f>
        <v/>
      </c>
      <c r="V35" s="52" t="str">
        <f>IF($E35=V$1,$M$10,"")</f>
        <v/>
      </c>
    </row>
    <row r="36" spans="1:24" x14ac:dyDescent="0.2">
      <c r="B36" s="384" t="s">
        <v>124</v>
      </c>
      <c r="C36" s="598">
        <f>(F36/F37)-1</f>
        <v>0.10265486725663719</v>
      </c>
      <c r="E36" s="396" t="s">
        <v>112</v>
      </c>
      <c r="F36" s="597">
        <f>AVERAGE(Courses!A11,Courses!A21,Courses!A31,Courses!A41,Courses!A62)</f>
        <v>124.6</v>
      </c>
      <c r="S36" s="56"/>
      <c r="V36" s="52" t="str">
        <f>IF($E36=V$1,$M$10,"")</f>
        <v/>
      </c>
    </row>
    <row r="37" spans="1:24" ht="12" thickBot="1" x14ac:dyDescent="0.25">
      <c r="B37" s="62" t="s">
        <v>99</v>
      </c>
      <c r="C37" s="300">
        <v>32</v>
      </c>
      <c r="E37" s="399" t="s">
        <v>119</v>
      </c>
      <c r="F37" s="300">
        <v>113</v>
      </c>
      <c r="S37" s="56"/>
    </row>
    <row r="38" spans="1:24" x14ac:dyDescent="0.2">
      <c r="S38" s="56"/>
    </row>
    <row r="39" spans="1:24" x14ac:dyDescent="0.2">
      <c r="S39" s="433"/>
    </row>
    <row r="40" spans="1:24" ht="12" thickBot="1" x14ac:dyDescent="0.25">
      <c r="S40" s="56"/>
    </row>
    <row r="41" spans="1:24" ht="13.5" thickBot="1" x14ac:dyDescent="0.25">
      <c r="B41" s="130" t="s">
        <v>7</v>
      </c>
      <c r="C41" s="135">
        <f>SUM(K2:K33)-SUM(C42:C45)-(SUM(F41:F45)*5)</f>
        <v>0</v>
      </c>
      <c r="D41" s="1"/>
      <c r="E41" s="90" t="s">
        <v>25</v>
      </c>
      <c r="F41" s="149">
        <v>20</v>
      </c>
      <c r="S41" s="56"/>
    </row>
    <row r="42" spans="1:24" ht="12.75" x14ac:dyDescent="0.2">
      <c r="B42" s="88" t="s">
        <v>30</v>
      </c>
      <c r="C42" s="145">
        <v>700</v>
      </c>
      <c r="D42" s="1"/>
      <c r="E42" s="91" t="s">
        <v>26</v>
      </c>
      <c r="F42" s="150">
        <v>20</v>
      </c>
      <c r="S42" s="56"/>
    </row>
    <row r="43" spans="1:24" ht="12.75" x14ac:dyDescent="0.2">
      <c r="B43" s="131" t="s">
        <v>20</v>
      </c>
      <c r="C43" s="146">
        <v>350</v>
      </c>
      <c r="D43" s="1"/>
      <c r="E43" s="133" t="s">
        <v>27</v>
      </c>
      <c r="F43" s="151">
        <v>20</v>
      </c>
      <c r="S43" s="56"/>
    </row>
    <row r="44" spans="1:24" ht="12.75" x14ac:dyDescent="0.2">
      <c r="B44" s="134" t="s">
        <v>21</v>
      </c>
      <c r="C44" s="147">
        <v>150</v>
      </c>
      <c r="D44" s="1"/>
      <c r="E44" s="133" t="s">
        <v>31</v>
      </c>
      <c r="F44" s="151">
        <v>20</v>
      </c>
      <c r="S44" s="56"/>
    </row>
    <row r="45" spans="1:24" ht="13.5" thickBot="1" x14ac:dyDescent="0.25">
      <c r="B45" s="132" t="s">
        <v>22</v>
      </c>
      <c r="C45" s="148"/>
      <c r="D45" s="1"/>
      <c r="E45" s="456" t="s">
        <v>26</v>
      </c>
      <c r="F45" s="152"/>
      <c r="S45" s="433"/>
    </row>
    <row r="46" spans="1:24" x14ac:dyDescent="0.2">
      <c r="P46" s="743"/>
      <c r="S46" s="56"/>
    </row>
    <row r="47" spans="1:24" ht="12" thickBot="1" x14ac:dyDescent="0.25">
      <c r="C47" s="160"/>
      <c r="S47" s="56"/>
    </row>
    <row r="48" spans="1:24" ht="12" thickBot="1" x14ac:dyDescent="0.25">
      <c r="B48" s="68" t="s">
        <v>63</v>
      </c>
      <c r="C48" s="69" t="s">
        <v>7</v>
      </c>
      <c r="E48" s="620" t="s">
        <v>144</v>
      </c>
      <c r="F48" s="621" t="s">
        <v>7</v>
      </c>
      <c r="L48" s="253"/>
      <c r="M48" s="253"/>
      <c r="N48" s="253"/>
      <c r="O48" s="253"/>
      <c r="P48" s="253"/>
      <c r="Q48" s="253"/>
      <c r="R48" s="253"/>
      <c r="S48" s="56"/>
    </row>
    <row r="49" spans="2:19" x14ac:dyDescent="0.2">
      <c r="B49" s="503" t="s">
        <v>64</v>
      </c>
      <c r="C49" s="331">
        <v>12</v>
      </c>
      <c r="E49" s="503" t="s">
        <v>64</v>
      </c>
      <c r="F49" s="331">
        <v>3</v>
      </c>
      <c r="L49" s="253"/>
      <c r="M49" s="253"/>
      <c r="N49" s="253"/>
      <c r="O49" s="253"/>
      <c r="P49" s="253"/>
      <c r="Q49" s="253"/>
      <c r="R49" s="253"/>
      <c r="S49" s="433"/>
    </row>
    <row r="50" spans="2:19" x14ac:dyDescent="0.2">
      <c r="B50" s="417" t="s">
        <v>20</v>
      </c>
      <c r="C50" s="299">
        <v>10</v>
      </c>
      <c r="E50" s="417" t="s">
        <v>20</v>
      </c>
      <c r="F50" s="299">
        <v>2</v>
      </c>
      <c r="L50" s="253"/>
      <c r="M50" s="253"/>
      <c r="N50" s="253"/>
      <c r="O50" s="253"/>
      <c r="P50" s="253"/>
      <c r="Q50" s="253"/>
      <c r="R50" s="253"/>
      <c r="S50" s="56"/>
    </row>
    <row r="51" spans="2:19" x14ac:dyDescent="0.2">
      <c r="B51" s="417" t="s">
        <v>21</v>
      </c>
      <c r="C51" s="299">
        <v>8.5</v>
      </c>
      <c r="E51" s="417" t="s">
        <v>21</v>
      </c>
      <c r="F51" s="299">
        <v>1</v>
      </c>
      <c r="L51" s="253"/>
      <c r="M51" s="253"/>
      <c r="N51" s="253"/>
      <c r="O51" s="253"/>
      <c r="P51" s="253"/>
      <c r="Q51" s="253"/>
      <c r="R51" s="253"/>
      <c r="S51" s="56"/>
    </row>
    <row r="52" spans="2:19" ht="12" thickBot="1" x14ac:dyDescent="0.25">
      <c r="B52" s="417" t="s">
        <v>22</v>
      </c>
      <c r="C52" s="299">
        <v>7.25</v>
      </c>
      <c r="E52" s="504" t="s">
        <v>22</v>
      </c>
      <c r="F52" s="300">
        <v>0</v>
      </c>
      <c r="L52" s="253"/>
      <c r="M52" s="253"/>
      <c r="N52" s="253"/>
      <c r="O52" s="253"/>
      <c r="P52" s="253"/>
      <c r="Q52" s="253"/>
      <c r="R52" s="253"/>
      <c r="S52" s="56"/>
    </row>
    <row r="53" spans="2:19" x14ac:dyDescent="0.2">
      <c r="B53" s="417" t="s">
        <v>65</v>
      </c>
      <c r="C53" s="299">
        <v>6</v>
      </c>
      <c r="E53" s="58"/>
      <c r="F53" s="253"/>
      <c r="L53" s="253"/>
      <c r="M53" s="253"/>
      <c r="N53" s="253"/>
      <c r="O53" s="253"/>
      <c r="P53" s="253"/>
      <c r="Q53" s="253"/>
      <c r="R53" s="253"/>
      <c r="S53" s="56"/>
    </row>
    <row r="54" spans="2:19" x14ac:dyDescent="0.2">
      <c r="B54" s="417" t="s">
        <v>66</v>
      </c>
      <c r="C54" s="299">
        <v>5</v>
      </c>
      <c r="L54" s="253"/>
      <c r="M54" s="253"/>
      <c r="N54" s="253"/>
      <c r="O54" s="253"/>
      <c r="P54" s="253"/>
      <c r="Q54" s="253"/>
      <c r="R54" s="253"/>
      <c r="S54" s="56"/>
    </row>
    <row r="55" spans="2:19" x14ac:dyDescent="0.2">
      <c r="B55" s="417" t="s">
        <v>67</v>
      </c>
      <c r="C55" s="299">
        <v>4</v>
      </c>
      <c r="L55" s="253"/>
      <c r="M55" s="253"/>
      <c r="N55" s="253"/>
      <c r="O55" s="253"/>
      <c r="P55" s="253"/>
      <c r="Q55" s="253"/>
      <c r="R55" s="253"/>
      <c r="S55" s="56"/>
    </row>
    <row r="56" spans="2:19" x14ac:dyDescent="0.2">
      <c r="B56" s="417" t="s">
        <v>68</v>
      </c>
      <c r="C56" s="299">
        <v>3</v>
      </c>
      <c r="L56" s="253"/>
      <c r="M56" s="253"/>
      <c r="N56" s="253"/>
      <c r="O56" s="253"/>
      <c r="P56" s="253"/>
      <c r="Q56" s="253"/>
      <c r="R56" s="253"/>
      <c r="S56" s="56"/>
    </row>
    <row r="57" spans="2:19" x14ac:dyDescent="0.2">
      <c r="B57" s="417" t="s">
        <v>69</v>
      </c>
      <c r="C57" s="299">
        <v>0</v>
      </c>
      <c r="L57" s="253"/>
      <c r="M57" s="253"/>
      <c r="N57" s="253"/>
      <c r="O57" s="253"/>
      <c r="P57" s="253"/>
      <c r="Q57" s="253"/>
      <c r="R57" s="253"/>
      <c r="S57" s="433"/>
    </row>
    <row r="58" spans="2:19" x14ac:dyDescent="0.2">
      <c r="B58" s="417" t="s">
        <v>70</v>
      </c>
      <c r="C58" s="299">
        <v>0</v>
      </c>
      <c r="L58" s="253"/>
      <c r="M58" s="253"/>
      <c r="N58" s="253"/>
      <c r="O58" s="253"/>
      <c r="P58" s="253"/>
      <c r="Q58" s="253"/>
      <c r="R58" s="253"/>
    </row>
    <row r="59" spans="2:19" x14ac:dyDescent="0.2">
      <c r="B59" s="417" t="s">
        <v>71</v>
      </c>
      <c r="C59" s="299">
        <v>0</v>
      </c>
      <c r="L59" s="253"/>
      <c r="M59" s="253"/>
      <c r="N59" s="253"/>
      <c r="O59" s="253"/>
      <c r="P59" s="253"/>
      <c r="Q59" s="253"/>
      <c r="R59" s="253"/>
    </row>
    <row r="60" spans="2:19" x14ac:dyDescent="0.2">
      <c r="B60" s="417" t="s">
        <v>72</v>
      </c>
      <c r="C60" s="299">
        <v>0</v>
      </c>
      <c r="L60" s="253"/>
      <c r="M60" s="253"/>
      <c r="N60" s="253"/>
      <c r="O60" s="253"/>
      <c r="P60" s="253"/>
      <c r="Q60" s="253"/>
      <c r="R60" s="253"/>
    </row>
    <row r="61" spans="2:19" x14ac:dyDescent="0.2">
      <c r="B61" s="417" t="s">
        <v>78</v>
      </c>
      <c r="C61" s="299">
        <v>0</v>
      </c>
      <c r="L61" s="253"/>
      <c r="M61" s="253"/>
      <c r="N61" s="253"/>
      <c r="O61" s="253"/>
      <c r="P61" s="253"/>
      <c r="Q61" s="253"/>
      <c r="R61" s="253"/>
    </row>
    <row r="62" spans="2:19" x14ac:dyDescent="0.2">
      <c r="B62" s="417" t="s">
        <v>79</v>
      </c>
      <c r="C62" s="299">
        <v>0</v>
      </c>
      <c r="L62" s="253"/>
      <c r="M62" s="253"/>
      <c r="N62" s="253"/>
      <c r="O62" s="253"/>
      <c r="P62" s="253"/>
      <c r="Q62" s="253"/>
      <c r="R62" s="253"/>
    </row>
    <row r="63" spans="2:19" x14ac:dyDescent="0.2">
      <c r="B63" s="417" t="s">
        <v>80</v>
      </c>
      <c r="C63" s="299">
        <v>0</v>
      </c>
      <c r="L63" s="253"/>
      <c r="M63" s="253"/>
      <c r="N63" s="253"/>
      <c r="O63" s="253"/>
      <c r="P63" s="253"/>
      <c r="Q63" s="253"/>
      <c r="R63" s="253"/>
    </row>
    <row r="64" spans="2:19" ht="12" thickBot="1" x14ac:dyDescent="0.25">
      <c r="B64" s="504" t="s">
        <v>81</v>
      </c>
      <c r="C64" s="300">
        <v>0</v>
      </c>
      <c r="L64" s="253"/>
      <c r="M64" s="253"/>
      <c r="N64" s="253"/>
      <c r="O64" s="253"/>
      <c r="P64" s="253"/>
      <c r="Q64" s="253"/>
      <c r="R64" s="253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3"/>
  <sheetViews>
    <sheetView topLeftCell="A25" zoomScale="120" zoomScaleNormal="120" workbookViewId="0">
      <selection activeCell="E64" sqref="E64"/>
    </sheetView>
  </sheetViews>
  <sheetFormatPr defaultColWidth="9.140625" defaultRowHeight="11.25" x14ac:dyDescent="0.2"/>
  <cols>
    <col min="1" max="1" width="5.140625" style="53" customWidth="1"/>
    <col min="2" max="2" width="21.28515625" style="53" customWidth="1"/>
    <col min="3" max="12" width="9.140625" style="52"/>
    <col min="13" max="16384" width="9.140625" style="53"/>
  </cols>
  <sheetData>
    <row r="1" spans="1:12" x14ac:dyDescent="0.2">
      <c r="B1" s="172" t="s">
        <v>25</v>
      </c>
    </row>
    <row r="2" spans="1:12" x14ac:dyDescent="0.2">
      <c r="B2" s="173" t="s">
        <v>26</v>
      </c>
    </row>
    <row r="3" spans="1:12" x14ac:dyDescent="0.2">
      <c r="B3" s="174" t="s">
        <v>27</v>
      </c>
    </row>
    <row r="4" spans="1:12" ht="12" thickBot="1" x14ac:dyDescent="0.25"/>
    <row r="5" spans="1:12" ht="12" thickBot="1" x14ac:dyDescent="0.25">
      <c r="A5" s="175" t="s">
        <v>151</v>
      </c>
      <c r="B5" s="176"/>
    </row>
    <row r="6" spans="1:12" x14ac:dyDescent="0.2">
      <c r="A6" s="177" t="s">
        <v>120</v>
      </c>
      <c r="B6" s="178" t="s">
        <v>28</v>
      </c>
      <c r="C6" s="179">
        <v>1</v>
      </c>
      <c r="D6" s="180">
        <v>2</v>
      </c>
      <c r="E6" s="180">
        <v>3</v>
      </c>
      <c r="F6" s="54">
        <v>4</v>
      </c>
      <c r="G6" s="180">
        <v>5</v>
      </c>
      <c r="H6" s="180">
        <v>6</v>
      </c>
      <c r="I6" s="54">
        <v>7</v>
      </c>
      <c r="J6" s="54">
        <v>8</v>
      </c>
      <c r="K6" s="181">
        <v>9</v>
      </c>
      <c r="L6" s="182"/>
    </row>
    <row r="7" spans="1:12" x14ac:dyDescent="0.2">
      <c r="A7" s="454" t="s">
        <v>172</v>
      </c>
      <c r="B7" s="178" t="s">
        <v>2</v>
      </c>
      <c r="C7" s="164">
        <v>5</v>
      </c>
      <c r="D7" s="66">
        <v>4</v>
      </c>
      <c r="E7" s="66">
        <v>3</v>
      </c>
      <c r="F7" s="66">
        <v>5</v>
      </c>
      <c r="G7" s="66">
        <v>3</v>
      </c>
      <c r="H7" s="66">
        <v>4</v>
      </c>
      <c r="I7" s="66">
        <v>4</v>
      </c>
      <c r="J7" s="66">
        <v>3</v>
      </c>
      <c r="K7" s="154">
        <v>4</v>
      </c>
      <c r="L7" s="183">
        <f>SUM(C7:K7)</f>
        <v>35</v>
      </c>
    </row>
    <row r="8" spans="1:12" ht="12" thickBot="1" x14ac:dyDescent="0.25">
      <c r="A8" s="177" t="s">
        <v>123</v>
      </c>
      <c r="B8" s="178" t="s">
        <v>3</v>
      </c>
      <c r="C8" s="166">
        <v>11</v>
      </c>
      <c r="D8" s="67">
        <v>5</v>
      </c>
      <c r="E8" s="67">
        <v>9</v>
      </c>
      <c r="F8" s="67">
        <v>13</v>
      </c>
      <c r="G8" s="67">
        <v>15</v>
      </c>
      <c r="H8" s="67">
        <v>7</v>
      </c>
      <c r="I8" s="67">
        <v>1</v>
      </c>
      <c r="J8" s="67">
        <v>17</v>
      </c>
      <c r="K8" s="157">
        <v>3</v>
      </c>
      <c r="L8" s="184"/>
    </row>
    <row r="9" spans="1:12" ht="12" thickBot="1" x14ac:dyDescent="0.25">
      <c r="A9" s="455">
        <v>6269</v>
      </c>
      <c r="B9" s="178"/>
    </row>
    <row r="10" spans="1:12" x14ac:dyDescent="0.2">
      <c r="A10" s="177" t="s">
        <v>122</v>
      </c>
      <c r="B10" s="178" t="s">
        <v>29</v>
      </c>
      <c r="C10" s="185">
        <v>10</v>
      </c>
      <c r="D10" s="180">
        <v>11</v>
      </c>
      <c r="E10" s="54">
        <v>12</v>
      </c>
      <c r="F10" s="186">
        <v>13</v>
      </c>
      <c r="G10" s="180">
        <v>14</v>
      </c>
      <c r="H10" s="180">
        <v>15</v>
      </c>
      <c r="I10" s="54">
        <v>16</v>
      </c>
      <c r="J10" s="180">
        <v>17</v>
      </c>
      <c r="K10" s="187">
        <v>18</v>
      </c>
      <c r="L10" s="182"/>
    </row>
    <row r="11" spans="1:12" x14ac:dyDescent="0.2">
      <c r="A11" s="454">
        <v>127</v>
      </c>
      <c r="B11" s="178" t="s">
        <v>2</v>
      </c>
      <c r="C11" s="164">
        <v>5</v>
      </c>
      <c r="D11" s="66">
        <v>4</v>
      </c>
      <c r="E11" s="66">
        <v>5</v>
      </c>
      <c r="F11" s="66">
        <v>3</v>
      </c>
      <c r="G11" s="66">
        <v>4</v>
      </c>
      <c r="H11" s="66">
        <v>3</v>
      </c>
      <c r="I11" s="66">
        <v>4</v>
      </c>
      <c r="J11" s="66">
        <v>4</v>
      </c>
      <c r="K11" s="154">
        <v>4</v>
      </c>
      <c r="L11" s="183">
        <f>SUM(C11:K11)</f>
        <v>36</v>
      </c>
    </row>
    <row r="12" spans="1:12" ht="12" thickBot="1" x14ac:dyDescent="0.25">
      <c r="A12" s="188"/>
      <c r="B12" s="189" t="s">
        <v>3</v>
      </c>
      <c r="C12" s="166">
        <v>12</v>
      </c>
      <c r="D12" s="67">
        <v>4</v>
      </c>
      <c r="E12" s="67">
        <v>14</v>
      </c>
      <c r="F12" s="67">
        <v>10</v>
      </c>
      <c r="G12" s="67">
        <v>2</v>
      </c>
      <c r="H12" s="67">
        <v>18</v>
      </c>
      <c r="I12" s="67">
        <v>8</v>
      </c>
      <c r="J12" s="67">
        <v>6</v>
      </c>
      <c r="K12" s="157">
        <v>16</v>
      </c>
      <c r="L12" s="184"/>
    </row>
    <row r="13" spans="1:12" x14ac:dyDescent="0.2">
      <c r="B13" s="58"/>
    </row>
    <row r="14" spans="1:12" ht="12" thickBot="1" x14ac:dyDescent="0.25">
      <c r="B14" s="58"/>
    </row>
    <row r="15" spans="1:12" ht="12" thickBot="1" x14ac:dyDescent="0.25">
      <c r="A15" s="175" t="s">
        <v>152</v>
      </c>
      <c r="B15" s="176"/>
    </row>
    <row r="16" spans="1:12" x14ac:dyDescent="0.2">
      <c r="A16" s="177" t="s">
        <v>120</v>
      </c>
      <c r="B16" s="178" t="s">
        <v>28</v>
      </c>
      <c r="C16" s="179">
        <v>1</v>
      </c>
      <c r="D16" s="180">
        <v>2</v>
      </c>
      <c r="E16" s="180">
        <v>3</v>
      </c>
      <c r="F16" s="54">
        <v>4</v>
      </c>
      <c r="G16" s="186">
        <v>5</v>
      </c>
      <c r="H16" s="54">
        <v>6</v>
      </c>
      <c r="I16" s="180">
        <v>7</v>
      </c>
      <c r="J16" s="180">
        <v>8</v>
      </c>
      <c r="K16" s="181">
        <v>9</v>
      </c>
      <c r="L16" s="182"/>
    </row>
    <row r="17" spans="1:12" x14ac:dyDescent="0.2">
      <c r="A17" s="454" t="s">
        <v>121</v>
      </c>
      <c r="B17" s="178" t="s">
        <v>2</v>
      </c>
      <c r="C17" s="164">
        <v>4</v>
      </c>
      <c r="D17" s="66">
        <v>5</v>
      </c>
      <c r="E17" s="66">
        <v>3</v>
      </c>
      <c r="F17" s="66">
        <v>4</v>
      </c>
      <c r="G17" s="66">
        <v>3</v>
      </c>
      <c r="H17" s="66">
        <v>4</v>
      </c>
      <c r="I17" s="66">
        <v>4</v>
      </c>
      <c r="J17" s="66">
        <v>5</v>
      </c>
      <c r="K17" s="154">
        <v>4</v>
      </c>
      <c r="L17" s="183">
        <f>SUM(C17:K17)</f>
        <v>36</v>
      </c>
    </row>
    <row r="18" spans="1:12" ht="12" thickBot="1" x14ac:dyDescent="0.25">
      <c r="A18" s="177" t="s">
        <v>123</v>
      </c>
      <c r="B18" s="178" t="s">
        <v>3</v>
      </c>
      <c r="C18" s="166">
        <v>13</v>
      </c>
      <c r="D18" s="67">
        <v>3</v>
      </c>
      <c r="E18" s="67">
        <v>17</v>
      </c>
      <c r="F18" s="67">
        <v>9</v>
      </c>
      <c r="G18" s="67">
        <v>15</v>
      </c>
      <c r="H18" s="67">
        <v>7</v>
      </c>
      <c r="I18" s="67">
        <v>11</v>
      </c>
      <c r="J18" s="67">
        <v>1</v>
      </c>
      <c r="K18" s="157">
        <v>5</v>
      </c>
      <c r="L18" s="184"/>
    </row>
    <row r="19" spans="1:12" ht="12" thickBot="1" x14ac:dyDescent="0.25">
      <c r="A19" s="455">
        <v>6114</v>
      </c>
      <c r="B19" s="178"/>
    </row>
    <row r="20" spans="1:12" x14ac:dyDescent="0.2">
      <c r="A20" s="177" t="s">
        <v>122</v>
      </c>
      <c r="B20" s="178" t="s">
        <v>29</v>
      </c>
      <c r="C20" s="185">
        <v>10</v>
      </c>
      <c r="D20" s="180">
        <v>11</v>
      </c>
      <c r="E20" s="54">
        <v>12</v>
      </c>
      <c r="F20" s="180">
        <v>13</v>
      </c>
      <c r="G20" s="180">
        <v>14</v>
      </c>
      <c r="H20" s="180">
        <v>15</v>
      </c>
      <c r="I20" s="54">
        <v>16</v>
      </c>
      <c r="J20" s="180">
        <v>17</v>
      </c>
      <c r="K20" s="187">
        <v>18</v>
      </c>
      <c r="L20" s="182"/>
    </row>
    <row r="21" spans="1:12" x14ac:dyDescent="0.2">
      <c r="A21" s="454">
        <v>119</v>
      </c>
      <c r="B21" s="178" t="s">
        <v>2</v>
      </c>
      <c r="C21" s="164">
        <v>5</v>
      </c>
      <c r="D21" s="66">
        <v>3</v>
      </c>
      <c r="E21" s="66">
        <v>4</v>
      </c>
      <c r="F21" s="66">
        <v>4</v>
      </c>
      <c r="G21" s="66">
        <v>3</v>
      </c>
      <c r="H21" s="66">
        <v>4</v>
      </c>
      <c r="I21" s="66">
        <v>4</v>
      </c>
      <c r="J21" s="66">
        <v>5</v>
      </c>
      <c r="K21" s="154">
        <v>4</v>
      </c>
      <c r="L21" s="183">
        <f>SUM(C21:K21)</f>
        <v>36</v>
      </c>
    </row>
    <row r="22" spans="1:12" ht="12" thickBot="1" x14ac:dyDescent="0.25">
      <c r="A22" s="188"/>
      <c r="B22" s="189" t="s">
        <v>3</v>
      </c>
      <c r="C22" s="166">
        <v>4</v>
      </c>
      <c r="D22" s="67">
        <v>16</v>
      </c>
      <c r="E22" s="67">
        <v>10</v>
      </c>
      <c r="F22" s="67">
        <v>12</v>
      </c>
      <c r="G22" s="67">
        <v>18</v>
      </c>
      <c r="H22" s="67">
        <v>14</v>
      </c>
      <c r="I22" s="67">
        <v>6</v>
      </c>
      <c r="J22" s="67">
        <v>2</v>
      </c>
      <c r="K22" s="157">
        <v>8</v>
      </c>
      <c r="L22" s="184"/>
    </row>
    <row r="24" spans="1:12" ht="12" thickBot="1" x14ac:dyDescent="0.25">
      <c r="A24" s="58"/>
    </row>
    <row r="25" spans="1:12" ht="12" thickBot="1" x14ac:dyDescent="0.25">
      <c r="A25" s="175" t="s">
        <v>153</v>
      </c>
      <c r="B25" s="176"/>
    </row>
    <row r="26" spans="1:12" x14ac:dyDescent="0.2">
      <c r="A26" s="177" t="s">
        <v>120</v>
      </c>
      <c r="B26" s="178" t="s">
        <v>28</v>
      </c>
      <c r="C26" s="179">
        <v>1</v>
      </c>
      <c r="D26" s="180">
        <v>2</v>
      </c>
      <c r="E26" s="180">
        <v>3</v>
      </c>
      <c r="F26" s="194">
        <v>4</v>
      </c>
      <c r="G26" s="180">
        <v>5</v>
      </c>
      <c r="H26" s="180">
        <v>6</v>
      </c>
      <c r="I26" s="180">
        <v>7</v>
      </c>
      <c r="J26" s="54">
        <v>8</v>
      </c>
      <c r="K26" s="688">
        <v>9</v>
      </c>
      <c r="L26" s="182"/>
    </row>
    <row r="27" spans="1:12" x14ac:dyDescent="0.2">
      <c r="A27" s="454" t="s">
        <v>121</v>
      </c>
      <c r="B27" s="178" t="s">
        <v>2</v>
      </c>
      <c r="C27" s="164">
        <v>4</v>
      </c>
      <c r="D27" s="66">
        <v>4</v>
      </c>
      <c r="E27" s="66">
        <v>4</v>
      </c>
      <c r="F27" s="66">
        <v>5</v>
      </c>
      <c r="G27" s="66">
        <v>3</v>
      </c>
      <c r="H27" s="66">
        <v>4</v>
      </c>
      <c r="I27" s="66">
        <v>4</v>
      </c>
      <c r="J27" s="66">
        <v>5</v>
      </c>
      <c r="K27" s="154">
        <v>3</v>
      </c>
      <c r="L27" s="183">
        <f>SUM(C27:K27)</f>
        <v>36</v>
      </c>
    </row>
    <row r="28" spans="1:12" ht="12" thickBot="1" x14ac:dyDescent="0.25">
      <c r="A28" s="177" t="s">
        <v>123</v>
      </c>
      <c r="B28" s="178" t="s">
        <v>3</v>
      </c>
      <c r="C28" s="166">
        <v>5</v>
      </c>
      <c r="D28" s="67">
        <v>11</v>
      </c>
      <c r="E28" s="67">
        <v>9</v>
      </c>
      <c r="F28" s="67">
        <v>1</v>
      </c>
      <c r="G28" s="67">
        <v>15</v>
      </c>
      <c r="H28" s="67">
        <v>7</v>
      </c>
      <c r="I28" s="67">
        <v>13</v>
      </c>
      <c r="J28" s="67">
        <v>3</v>
      </c>
      <c r="K28" s="157">
        <v>9</v>
      </c>
      <c r="L28" s="184">
        <v>17</v>
      </c>
    </row>
    <row r="29" spans="1:12" ht="12" thickBot="1" x14ac:dyDescent="0.25">
      <c r="A29" s="455">
        <v>6252</v>
      </c>
      <c r="B29" s="178"/>
    </row>
    <row r="30" spans="1:12" x14ac:dyDescent="0.2">
      <c r="A30" s="177" t="s">
        <v>122</v>
      </c>
      <c r="B30" s="178" t="s">
        <v>29</v>
      </c>
      <c r="C30" s="57">
        <v>10</v>
      </c>
      <c r="D30" s="180">
        <v>11</v>
      </c>
      <c r="E30" s="54">
        <v>12</v>
      </c>
      <c r="F30" s="180">
        <v>13</v>
      </c>
      <c r="G30" s="180">
        <v>14</v>
      </c>
      <c r="H30" s="180">
        <v>15</v>
      </c>
      <c r="I30" s="180">
        <v>16</v>
      </c>
      <c r="J30" s="180">
        <v>17</v>
      </c>
      <c r="K30" s="187">
        <v>18</v>
      </c>
      <c r="L30" s="182"/>
    </row>
    <row r="31" spans="1:12" x14ac:dyDescent="0.2">
      <c r="A31" s="454">
        <v>125</v>
      </c>
      <c r="B31" s="178" t="s">
        <v>2</v>
      </c>
      <c r="C31" s="164">
        <v>4</v>
      </c>
      <c r="D31" s="66">
        <v>3</v>
      </c>
      <c r="E31" s="66">
        <v>4</v>
      </c>
      <c r="F31" s="66">
        <v>4</v>
      </c>
      <c r="G31" s="66">
        <v>5</v>
      </c>
      <c r="H31" s="66">
        <v>3</v>
      </c>
      <c r="I31" s="66">
        <v>4</v>
      </c>
      <c r="J31" s="66">
        <v>4</v>
      </c>
      <c r="K31" s="154">
        <v>4</v>
      </c>
      <c r="L31" s="183">
        <f>SUM(C31:K31)</f>
        <v>35</v>
      </c>
    </row>
    <row r="32" spans="1:12" ht="12" thickBot="1" x14ac:dyDescent="0.25">
      <c r="A32" s="188"/>
      <c r="B32" s="189" t="s">
        <v>3</v>
      </c>
      <c r="C32" s="166">
        <v>8</v>
      </c>
      <c r="D32" s="67">
        <v>14</v>
      </c>
      <c r="E32" s="67">
        <v>2</v>
      </c>
      <c r="F32" s="67">
        <v>6</v>
      </c>
      <c r="G32" s="67">
        <v>12</v>
      </c>
      <c r="H32" s="67">
        <v>18</v>
      </c>
      <c r="I32" s="67">
        <v>16</v>
      </c>
      <c r="J32" s="67">
        <v>4</v>
      </c>
      <c r="K32" s="157">
        <v>10</v>
      </c>
      <c r="L32" s="184"/>
    </row>
    <row r="33" spans="1:12" x14ac:dyDescent="0.2">
      <c r="A33" s="177"/>
      <c r="B33" s="178"/>
      <c r="C33" s="253"/>
      <c r="D33" s="253"/>
      <c r="E33" s="253"/>
      <c r="F33" s="253"/>
      <c r="G33" s="253"/>
      <c r="H33" s="253"/>
      <c r="I33" s="253"/>
      <c r="J33" s="253"/>
      <c r="K33" s="253"/>
      <c r="L33" s="193"/>
    </row>
    <row r="34" spans="1:12" ht="12" thickBot="1" x14ac:dyDescent="0.25">
      <c r="B34" s="58"/>
    </row>
    <row r="35" spans="1:12" ht="12" thickBot="1" x14ac:dyDescent="0.25">
      <c r="A35" s="175" t="s">
        <v>169</v>
      </c>
      <c r="B35" s="176"/>
    </row>
    <row r="36" spans="1:12" x14ac:dyDescent="0.2">
      <c r="A36" s="177" t="s">
        <v>120</v>
      </c>
      <c r="B36" s="178" t="s">
        <v>28</v>
      </c>
      <c r="C36" s="179">
        <v>1</v>
      </c>
      <c r="D36" s="180">
        <v>2</v>
      </c>
      <c r="E36" s="180">
        <v>3</v>
      </c>
      <c r="F36" s="54">
        <v>4</v>
      </c>
      <c r="G36" s="180">
        <v>5</v>
      </c>
      <c r="H36" s="180">
        <v>6</v>
      </c>
      <c r="I36" s="180">
        <v>7</v>
      </c>
      <c r="J36" s="180">
        <v>8</v>
      </c>
      <c r="K36" s="764">
        <v>9</v>
      </c>
      <c r="L36" s="182"/>
    </row>
    <row r="37" spans="1:12" x14ac:dyDescent="0.2">
      <c r="A37" s="454" t="s">
        <v>170</v>
      </c>
      <c r="B37" s="178" t="s">
        <v>2</v>
      </c>
      <c r="C37" s="164">
        <v>4</v>
      </c>
      <c r="D37" s="66">
        <v>4</v>
      </c>
      <c r="E37" s="66">
        <v>3</v>
      </c>
      <c r="F37" s="66">
        <v>4</v>
      </c>
      <c r="G37" s="66">
        <v>3</v>
      </c>
      <c r="H37" s="66">
        <v>4</v>
      </c>
      <c r="I37" s="66">
        <v>5</v>
      </c>
      <c r="J37" s="66">
        <v>4</v>
      </c>
      <c r="K37" s="154">
        <v>5</v>
      </c>
      <c r="L37" s="183">
        <f>SUM(C37:K37)</f>
        <v>36</v>
      </c>
    </row>
    <row r="38" spans="1:12" ht="12" thickBot="1" x14ac:dyDescent="0.25">
      <c r="A38" s="177" t="s">
        <v>123</v>
      </c>
      <c r="B38" s="178" t="s">
        <v>3</v>
      </c>
      <c r="C38" s="166">
        <v>1</v>
      </c>
      <c r="D38" s="67">
        <v>5</v>
      </c>
      <c r="E38" s="67">
        <v>17</v>
      </c>
      <c r="F38" s="67">
        <v>7</v>
      </c>
      <c r="G38" s="67">
        <v>13</v>
      </c>
      <c r="H38" s="67">
        <v>11</v>
      </c>
      <c r="I38" s="67">
        <v>15</v>
      </c>
      <c r="J38" s="67">
        <v>9</v>
      </c>
      <c r="K38" s="157">
        <v>3</v>
      </c>
      <c r="L38" s="184"/>
    </row>
    <row r="39" spans="1:12" ht="12" thickBot="1" x14ac:dyDescent="0.25">
      <c r="A39" s="455">
        <v>6319</v>
      </c>
      <c r="B39" s="178"/>
    </row>
    <row r="40" spans="1:12" x14ac:dyDescent="0.2">
      <c r="A40" s="177" t="s">
        <v>122</v>
      </c>
      <c r="B40" s="178" t="s">
        <v>29</v>
      </c>
      <c r="C40" s="57">
        <v>10</v>
      </c>
      <c r="D40" s="54">
        <v>11</v>
      </c>
      <c r="E40" s="54">
        <v>12</v>
      </c>
      <c r="F40" s="186">
        <v>13</v>
      </c>
      <c r="G40" s="54">
        <v>14</v>
      </c>
      <c r="H40" s="54">
        <v>15</v>
      </c>
      <c r="I40" s="180">
        <v>16</v>
      </c>
      <c r="J40" s="180">
        <v>17</v>
      </c>
      <c r="K40" s="187">
        <v>18</v>
      </c>
      <c r="L40" s="182"/>
    </row>
    <row r="41" spans="1:12" x14ac:dyDescent="0.2">
      <c r="A41" s="454">
        <v>123</v>
      </c>
      <c r="B41" s="178" t="s">
        <v>2</v>
      </c>
      <c r="C41" s="164">
        <v>5</v>
      </c>
      <c r="D41" s="66">
        <v>4</v>
      </c>
      <c r="E41" s="66">
        <v>4</v>
      </c>
      <c r="F41" s="66">
        <v>3</v>
      </c>
      <c r="G41" s="66">
        <v>5</v>
      </c>
      <c r="H41" s="66">
        <v>3</v>
      </c>
      <c r="I41" s="66">
        <v>4</v>
      </c>
      <c r="J41" s="66">
        <v>3</v>
      </c>
      <c r="K41" s="154">
        <v>5</v>
      </c>
      <c r="L41" s="183">
        <f>SUM(C41:K41)</f>
        <v>36</v>
      </c>
    </row>
    <row r="42" spans="1:12" ht="12" thickBot="1" x14ac:dyDescent="0.25">
      <c r="A42" s="188"/>
      <c r="B42" s="189" t="s">
        <v>3</v>
      </c>
      <c r="C42" s="166">
        <v>16</v>
      </c>
      <c r="D42" s="67">
        <v>8</v>
      </c>
      <c r="E42" s="67">
        <v>4</v>
      </c>
      <c r="F42" s="67">
        <v>18</v>
      </c>
      <c r="G42" s="67">
        <v>2</v>
      </c>
      <c r="H42" s="67">
        <v>12</v>
      </c>
      <c r="I42" s="67">
        <v>10</v>
      </c>
      <c r="J42" s="67">
        <v>14</v>
      </c>
      <c r="K42" s="157">
        <v>6</v>
      </c>
      <c r="L42" s="184"/>
    </row>
    <row r="43" spans="1:12" ht="12" thickBot="1" x14ac:dyDescent="0.25">
      <c r="A43" s="177"/>
      <c r="B43" s="178"/>
      <c r="C43" s="253"/>
      <c r="D43" s="253"/>
      <c r="E43" s="253"/>
      <c r="F43" s="253"/>
      <c r="G43" s="253"/>
      <c r="H43" s="253"/>
      <c r="I43" s="253"/>
      <c r="J43" s="253"/>
      <c r="K43" s="253"/>
      <c r="L43" s="193"/>
    </row>
    <row r="44" spans="1:12" ht="12" thickBot="1" x14ac:dyDescent="0.25">
      <c r="A44" s="175" t="s">
        <v>138</v>
      </c>
      <c r="B44" s="176"/>
    </row>
    <row r="45" spans="1:12" x14ac:dyDescent="0.2">
      <c r="A45" s="177" t="s">
        <v>120</v>
      </c>
      <c r="B45" s="178" t="s">
        <v>28</v>
      </c>
      <c r="C45" s="179">
        <v>1</v>
      </c>
      <c r="D45" s="180">
        <v>2</v>
      </c>
      <c r="E45" s="180">
        <v>3</v>
      </c>
      <c r="F45" s="54">
        <v>4</v>
      </c>
      <c r="G45" s="180">
        <v>5</v>
      </c>
      <c r="H45" s="180">
        <v>6</v>
      </c>
      <c r="I45" s="180">
        <v>7</v>
      </c>
      <c r="J45" s="180">
        <v>8</v>
      </c>
      <c r="K45" s="181">
        <v>9</v>
      </c>
      <c r="L45" s="182"/>
    </row>
    <row r="46" spans="1:12" x14ac:dyDescent="0.2">
      <c r="A46" s="454" t="s">
        <v>121</v>
      </c>
      <c r="B46" s="178" t="s">
        <v>2</v>
      </c>
      <c r="C46" s="164">
        <v>4</v>
      </c>
      <c r="D46" s="66">
        <v>5</v>
      </c>
      <c r="E46" s="66">
        <v>4</v>
      </c>
      <c r="F46" s="66">
        <v>3</v>
      </c>
      <c r="G46" s="66">
        <v>4</v>
      </c>
      <c r="H46" s="66">
        <v>3</v>
      </c>
      <c r="I46" s="66">
        <v>4</v>
      </c>
      <c r="J46" s="66">
        <v>4</v>
      </c>
      <c r="K46" s="154">
        <v>4</v>
      </c>
      <c r="L46" s="183">
        <f>SUM(C46:K46)</f>
        <v>35</v>
      </c>
    </row>
    <row r="47" spans="1:12" ht="12" thickBot="1" x14ac:dyDescent="0.25">
      <c r="A47" s="177" t="s">
        <v>123</v>
      </c>
      <c r="B47" s="178" t="s">
        <v>3</v>
      </c>
      <c r="C47" s="166">
        <v>3</v>
      </c>
      <c r="D47" s="67">
        <v>11</v>
      </c>
      <c r="E47" s="67">
        <v>9</v>
      </c>
      <c r="F47" s="67">
        <v>15</v>
      </c>
      <c r="G47" s="67">
        <v>7</v>
      </c>
      <c r="H47" s="67">
        <v>17</v>
      </c>
      <c r="I47" s="67">
        <v>5</v>
      </c>
      <c r="J47" s="67">
        <v>1</v>
      </c>
      <c r="K47" s="157">
        <v>13</v>
      </c>
      <c r="L47" s="184"/>
    </row>
    <row r="48" spans="1:12" x14ac:dyDescent="0.2">
      <c r="A48" s="177"/>
      <c r="B48" s="178"/>
      <c r="C48" s="253"/>
      <c r="D48" s="253"/>
      <c r="E48" s="253"/>
      <c r="F48" s="253"/>
      <c r="G48" s="253"/>
      <c r="H48" s="253"/>
      <c r="I48" s="253"/>
      <c r="J48" s="253"/>
      <c r="K48" s="253"/>
      <c r="L48" s="193"/>
    </row>
    <row r="49" spans="1:12" ht="12" thickBot="1" x14ac:dyDescent="0.25">
      <c r="A49" s="177"/>
      <c r="B49" s="178"/>
      <c r="C49" s="253"/>
      <c r="D49" s="253"/>
      <c r="E49" s="253"/>
      <c r="F49" s="253"/>
      <c r="G49" s="253"/>
      <c r="H49" s="253"/>
      <c r="I49" s="253"/>
      <c r="J49" s="253"/>
      <c r="K49" s="253"/>
      <c r="L49" s="193"/>
    </row>
    <row r="50" spans="1:12" ht="12" thickBot="1" x14ac:dyDescent="0.25">
      <c r="A50" s="175" t="s">
        <v>154</v>
      </c>
      <c r="B50" s="434"/>
      <c r="C50" s="59"/>
      <c r="D50" s="59"/>
      <c r="E50" s="59"/>
      <c r="F50" s="59"/>
      <c r="G50" s="59"/>
      <c r="H50" s="59"/>
      <c r="I50" s="59"/>
      <c r="J50" s="59"/>
      <c r="K50" s="59"/>
      <c r="L50" s="193"/>
    </row>
    <row r="51" spans="1:12" x14ac:dyDescent="0.2">
      <c r="A51" s="177"/>
      <c r="B51" s="266" t="s">
        <v>111</v>
      </c>
      <c r="C51" s="190">
        <v>1</v>
      </c>
      <c r="D51" s="179">
        <v>2</v>
      </c>
      <c r="E51" s="179">
        <v>3</v>
      </c>
      <c r="F51" s="179">
        <v>4</v>
      </c>
      <c r="G51" s="179">
        <v>5</v>
      </c>
      <c r="H51" s="179">
        <v>6</v>
      </c>
      <c r="I51" s="179">
        <v>7</v>
      </c>
      <c r="J51" s="179">
        <v>8</v>
      </c>
      <c r="K51" s="263">
        <v>9</v>
      </c>
      <c r="L51" s="263"/>
    </row>
    <row r="52" spans="1:12" x14ac:dyDescent="0.2">
      <c r="A52" s="177"/>
      <c r="B52" s="178" t="s">
        <v>2</v>
      </c>
      <c r="C52" s="191">
        <v>3</v>
      </c>
      <c r="D52" s="164">
        <v>3</v>
      </c>
      <c r="E52" s="164">
        <v>3</v>
      </c>
      <c r="F52" s="164">
        <v>3</v>
      </c>
      <c r="G52" s="164">
        <v>3</v>
      </c>
      <c r="H52" s="164">
        <v>3</v>
      </c>
      <c r="I52" s="164">
        <v>3</v>
      </c>
      <c r="J52" s="164">
        <v>3</v>
      </c>
      <c r="K52" s="301">
        <v>3</v>
      </c>
      <c r="L52" s="264">
        <f>SUM(C52:K52)</f>
        <v>27</v>
      </c>
    </row>
    <row r="53" spans="1:12" ht="12" thickBot="1" x14ac:dyDescent="0.25">
      <c r="A53" s="188"/>
      <c r="B53" s="189" t="s">
        <v>3</v>
      </c>
      <c r="C53" s="192">
        <v>7</v>
      </c>
      <c r="D53" s="166">
        <v>4</v>
      </c>
      <c r="E53" s="166">
        <v>1</v>
      </c>
      <c r="F53" s="166">
        <v>9</v>
      </c>
      <c r="G53" s="166">
        <v>3</v>
      </c>
      <c r="H53" s="166">
        <v>5</v>
      </c>
      <c r="I53" s="166">
        <v>6</v>
      </c>
      <c r="J53" s="166">
        <v>8</v>
      </c>
      <c r="K53" s="302">
        <v>2</v>
      </c>
      <c r="L53" s="265"/>
    </row>
    <row r="55" spans="1:12" ht="12" thickBot="1" x14ac:dyDescent="0.25">
      <c r="B55" s="58"/>
    </row>
    <row r="56" spans="1:12" ht="12" thickBot="1" x14ac:dyDescent="0.25">
      <c r="A56" s="175" t="s">
        <v>158</v>
      </c>
      <c r="B56" s="176"/>
    </row>
    <row r="57" spans="1:12" x14ac:dyDescent="0.2">
      <c r="A57" s="177" t="s">
        <v>120</v>
      </c>
      <c r="B57" s="178" t="s">
        <v>28</v>
      </c>
      <c r="C57" s="179">
        <v>1</v>
      </c>
      <c r="D57" s="180">
        <v>2</v>
      </c>
      <c r="E57" s="180">
        <v>3</v>
      </c>
      <c r="F57" s="54">
        <v>4</v>
      </c>
      <c r="G57" s="180">
        <v>5</v>
      </c>
      <c r="H57" s="54">
        <v>6</v>
      </c>
      <c r="I57" s="180">
        <v>7</v>
      </c>
      <c r="J57" s="180">
        <v>8</v>
      </c>
      <c r="K57" s="181">
        <v>9</v>
      </c>
      <c r="L57" s="182"/>
    </row>
    <row r="58" spans="1:12" x14ac:dyDescent="0.2">
      <c r="A58" s="454" t="s">
        <v>155</v>
      </c>
      <c r="B58" s="178" t="s">
        <v>2</v>
      </c>
      <c r="C58" s="164">
        <v>4</v>
      </c>
      <c r="D58" s="66">
        <v>3</v>
      </c>
      <c r="E58" s="66">
        <v>5</v>
      </c>
      <c r="F58" s="66">
        <v>4</v>
      </c>
      <c r="G58" s="66">
        <v>4</v>
      </c>
      <c r="H58" s="66">
        <v>4</v>
      </c>
      <c r="I58" s="66">
        <v>3</v>
      </c>
      <c r="J58" s="66">
        <v>4</v>
      </c>
      <c r="K58" s="154">
        <v>5</v>
      </c>
      <c r="L58" s="183">
        <f>SUM(C58:K58)</f>
        <v>36</v>
      </c>
    </row>
    <row r="59" spans="1:12" ht="12" thickBot="1" x14ac:dyDescent="0.25">
      <c r="A59" s="177" t="s">
        <v>123</v>
      </c>
      <c r="B59" s="178" t="s">
        <v>3</v>
      </c>
      <c r="C59" s="166">
        <v>5</v>
      </c>
      <c r="D59" s="67">
        <v>17</v>
      </c>
      <c r="E59" s="67">
        <v>3</v>
      </c>
      <c r="F59" s="67">
        <v>11</v>
      </c>
      <c r="G59" s="67">
        <v>1</v>
      </c>
      <c r="H59" s="67">
        <v>13</v>
      </c>
      <c r="I59" s="67">
        <v>15</v>
      </c>
      <c r="J59" s="67">
        <v>9</v>
      </c>
      <c r="K59" s="157">
        <v>7</v>
      </c>
      <c r="L59" s="184"/>
    </row>
    <row r="60" spans="1:12" ht="12" thickBot="1" x14ac:dyDescent="0.25">
      <c r="A60" s="455">
        <v>6220</v>
      </c>
      <c r="B60" s="178"/>
    </row>
    <row r="61" spans="1:12" x14ac:dyDescent="0.2">
      <c r="A61" s="177" t="s">
        <v>122</v>
      </c>
      <c r="B61" s="178" t="s">
        <v>29</v>
      </c>
      <c r="C61" s="57">
        <v>10</v>
      </c>
      <c r="D61" s="194">
        <v>11</v>
      </c>
      <c r="E61" s="54">
        <v>12</v>
      </c>
      <c r="F61" s="186">
        <v>13</v>
      </c>
      <c r="G61" s="180">
        <v>14</v>
      </c>
      <c r="H61" s="180">
        <v>15</v>
      </c>
      <c r="I61" s="54">
        <v>16</v>
      </c>
      <c r="J61" s="180">
        <v>17</v>
      </c>
      <c r="K61" s="187">
        <v>18</v>
      </c>
      <c r="L61" s="182"/>
    </row>
    <row r="62" spans="1:12" x14ac:dyDescent="0.2">
      <c r="A62" s="454">
        <v>129</v>
      </c>
      <c r="B62" s="178" t="s">
        <v>2</v>
      </c>
      <c r="C62" s="164">
        <v>4</v>
      </c>
      <c r="D62" s="66">
        <v>5</v>
      </c>
      <c r="E62" s="66">
        <v>4</v>
      </c>
      <c r="F62" s="66">
        <v>3</v>
      </c>
      <c r="G62" s="66">
        <v>5</v>
      </c>
      <c r="H62" s="66">
        <v>4</v>
      </c>
      <c r="I62" s="66">
        <v>3</v>
      </c>
      <c r="J62" s="66">
        <v>4</v>
      </c>
      <c r="K62" s="154">
        <v>4</v>
      </c>
      <c r="L62" s="183">
        <f>SUM(C62:K62)</f>
        <v>36</v>
      </c>
    </row>
    <row r="63" spans="1:12" ht="12" thickBot="1" x14ac:dyDescent="0.25">
      <c r="A63" s="188"/>
      <c r="B63" s="189" t="s">
        <v>3</v>
      </c>
      <c r="C63" s="166">
        <v>10</v>
      </c>
      <c r="D63" s="67">
        <v>6</v>
      </c>
      <c r="E63" s="67">
        <v>8</v>
      </c>
      <c r="F63" s="67">
        <v>18</v>
      </c>
      <c r="G63" s="67">
        <v>4</v>
      </c>
      <c r="H63" s="67">
        <v>14</v>
      </c>
      <c r="I63" s="67">
        <v>16</v>
      </c>
      <c r="J63" s="67">
        <v>2</v>
      </c>
      <c r="K63" s="157">
        <v>12</v>
      </c>
      <c r="L63" s="184"/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65"/>
  <sheetViews>
    <sheetView topLeftCell="A15" zoomScale="120" zoomScaleNormal="120" workbookViewId="0">
      <selection activeCell="S35" sqref="S35:S37"/>
    </sheetView>
  </sheetViews>
  <sheetFormatPr defaultColWidth="9.140625" defaultRowHeight="11.25" outlineLevelCol="1" x14ac:dyDescent="0.2"/>
  <cols>
    <col min="1" max="1" width="3" style="53" customWidth="1"/>
    <col min="2" max="2" width="3.7109375" style="53" customWidth="1"/>
    <col min="3" max="3" width="13.7109375" style="53" customWidth="1"/>
    <col min="4" max="4" width="9.7109375" style="53" customWidth="1" outlineLevel="1"/>
    <col min="5" max="5" width="9.7109375" style="53" customWidth="1" outlineLevel="1" collapsed="1"/>
    <col min="6" max="7" width="9.7109375" style="53" customWidth="1"/>
    <col min="8" max="8" width="1.42578125" style="53" customWidth="1"/>
    <col min="9" max="9" width="3.140625" style="53" customWidth="1"/>
    <col min="10" max="10" width="12.28515625" style="53" customWidth="1"/>
    <col min="11" max="11" width="8.140625" style="52" customWidth="1"/>
    <col min="12" max="12" width="10.42578125" style="52" bestFit="1" customWidth="1"/>
    <col min="13" max="13" width="8.42578125" style="52" customWidth="1"/>
    <col min="14" max="14" width="2.7109375" style="53" customWidth="1"/>
    <col min="15" max="15" width="3.7109375" style="53" customWidth="1"/>
    <col min="16" max="19" width="9.7109375" style="53" customWidth="1"/>
    <col min="20" max="20" width="2.7109375" style="53" customWidth="1"/>
    <col min="21" max="21" width="3.7109375" style="53" customWidth="1"/>
    <col min="22" max="25" width="9.7109375" style="53" customWidth="1"/>
    <col min="26" max="26" width="2.7109375" style="53" customWidth="1"/>
    <col min="27" max="27" width="3.7109375" style="53" hidden="1" customWidth="1"/>
    <col min="28" max="31" width="9.7109375" style="53" hidden="1" customWidth="1"/>
    <col min="32" max="16384" width="9.140625" style="53"/>
  </cols>
  <sheetData>
    <row r="1" spans="1:31" ht="12" thickBot="1" x14ac:dyDescent="0.25">
      <c r="A1" s="624"/>
      <c r="B1" s="625"/>
      <c r="C1" s="626" t="s">
        <v>45</v>
      </c>
      <c r="D1" s="627" t="s">
        <v>101</v>
      </c>
      <c r="E1" s="628" t="s">
        <v>102</v>
      </c>
      <c r="F1" s="628" t="s">
        <v>46</v>
      </c>
      <c r="G1" s="732" t="s">
        <v>156</v>
      </c>
      <c r="H1" s="744"/>
      <c r="I1" s="744"/>
      <c r="J1" s="744"/>
      <c r="K1" s="748"/>
      <c r="L1" s="748"/>
      <c r="M1" s="748"/>
      <c r="N1" s="744"/>
    </row>
    <row r="2" spans="1:31" ht="23.25" thickBot="1" x14ac:dyDescent="0.25">
      <c r="A2" s="629"/>
      <c r="B2" s="630"/>
      <c r="C2" s="631" t="str">
        <f>Courses!A5</f>
        <v>Eagle Mountain</v>
      </c>
      <c r="D2" s="632" t="str">
        <f>Courses!A15</f>
        <v>Wekopa Cholla</v>
      </c>
      <c r="E2" s="633" t="str">
        <f>Courses!A25</f>
        <v>Wekopa Saguaro</v>
      </c>
      <c r="F2" s="633" t="str">
        <f>Courses!A35</f>
        <v>Kierland A/M</v>
      </c>
      <c r="G2" s="632" t="str">
        <f>Courses!A50</f>
        <v>Kierland</v>
      </c>
      <c r="H2" s="747"/>
      <c r="I2" s="744"/>
      <c r="J2" s="369" t="s">
        <v>94</v>
      </c>
      <c r="K2" s="365" t="s">
        <v>25</v>
      </c>
      <c r="L2" s="363" t="s">
        <v>26</v>
      </c>
      <c r="M2" s="364" t="s">
        <v>93</v>
      </c>
      <c r="N2" s="631"/>
      <c r="O2" s="56"/>
      <c r="P2" s="310"/>
      <c r="Q2" s="254"/>
      <c r="R2" s="59"/>
      <c r="S2" s="58"/>
      <c r="T2" s="58"/>
      <c r="Z2" s="58"/>
    </row>
    <row r="3" spans="1:31" x14ac:dyDescent="0.2">
      <c r="A3" s="634" t="s">
        <v>114</v>
      </c>
      <c r="B3" s="635"/>
      <c r="C3" s="636" t="str">
        <f>Setup!B2</f>
        <v>Mil</v>
      </c>
      <c r="D3" s="637" t="str">
        <f>C11</f>
        <v>Rick</v>
      </c>
      <c r="E3" s="638" t="str">
        <f>C5</f>
        <v>John</v>
      </c>
      <c r="F3" s="638" t="str">
        <f>C21</f>
        <v>Dave</v>
      </c>
      <c r="G3" s="638" t="str">
        <f>C25</f>
        <v>Gerald C</v>
      </c>
      <c r="H3" s="678"/>
      <c r="I3" s="640"/>
      <c r="J3" s="370" t="str">
        <f>C2</f>
        <v>Eagle Mountain</v>
      </c>
      <c r="K3" s="366">
        <v>10</v>
      </c>
      <c r="L3" s="311">
        <v>13</v>
      </c>
      <c r="M3" s="362">
        <v>18</v>
      </c>
      <c r="N3" s="678"/>
      <c r="O3" s="56"/>
      <c r="P3" s="314"/>
      <c r="Q3" s="315"/>
      <c r="R3" s="327"/>
      <c r="S3" s="58"/>
      <c r="T3" s="58"/>
      <c r="Z3" s="58"/>
    </row>
    <row r="4" spans="1:31" hidden="1" x14ac:dyDescent="0.2">
      <c r="A4" s="639"/>
      <c r="B4" s="640"/>
      <c r="C4" s="641">
        <f>Setup!B3</f>
        <v>6</v>
      </c>
      <c r="D4" s="642">
        <f>C12</f>
        <v>7</v>
      </c>
      <c r="E4" s="643">
        <f>C6</f>
        <v>7</v>
      </c>
      <c r="F4" s="643">
        <f>C22</f>
        <v>5</v>
      </c>
      <c r="G4" s="643">
        <f>C26</f>
        <v>12</v>
      </c>
      <c r="H4" s="678"/>
      <c r="I4" s="640"/>
      <c r="J4" s="371"/>
      <c r="K4" s="367"/>
      <c r="L4" s="358"/>
      <c r="M4" s="359"/>
      <c r="N4" s="678"/>
      <c r="O4" s="56"/>
      <c r="P4" s="314"/>
      <c r="Q4" s="315"/>
      <c r="R4" s="328"/>
      <c r="S4" s="58"/>
      <c r="T4" s="58"/>
      <c r="Z4" s="58"/>
    </row>
    <row r="5" spans="1:31" x14ac:dyDescent="0.2">
      <c r="A5" s="639"/>
      <c r="B5" s="640"/>
      <c r="C5" s="641" t="str">
        <f>Setup!B4</f>
        <v>John</v>
      </c>
      <c r="D5" s="642" t="str">
        <f>C3</f>
        <v>Mil</v>
      </c>
      <c r="E5" s="643" t="str">
        <f>C11</f>
        <v>Rick</v>
      </c>
      <c r="F5" s="643" t="str">
        <f>C11</f>
        <v>Rick</v>
      </c>
      <c r="G5" s="643" t="str">
        <f>F5</f>
        <v>Rick</v>
      </c>
      <c r="H5" s="678"/>
      <c r="I5" s="640"/>
      <c r="J5" s="371" t="str">
        <f>D2</f>
        <v>Wekopa Cholla</v>
      </c>
      <c r="K5" s="367">
        <v>10</v>
      </c>
      <c r="L5" s="358">
        <v>5</v>
      </c>
      <c r="M5" s="359">
        <v>18</v>
      </c>
      <c r="N5" s="678"/>
      <c r="O5" s="56"/>
      <c r="P5" s="314"/>
      <c r="Q5" s="315"/>
      <c r="R5" s="327"/>
      <c r="S5" s="58"/>
      <c r="T5" s="58"/>
      <c r="Y5" s="252"/>
      <c r="Z5" s="58"/>
      <c r="AE5" s="252"/>
    </row>
    <row r="6" spans="1:31" hidden="1" x14ac:dyDescent="0.2">
      <c r="A6" s="639"/>
      <c r="B6" s="640"/>
      <c r="C6" s="641">
        <f>Setup!B5</f>
        <v>7</v>
      </c>
      <c r="D6" s="642">
        <f>C4</f>
        <v>6</v>
      </c>
      <c r="E6" s="643">
        <f>C12</f>
        <v>7</v>
      </c>
      <c r="F6" s="643">
        <f>C12</f>
        <v>7</v>
      </c>
      <c r="G6" s="643">
        <f>F6</f>
        <v>7</v>
      </c>
      <c r="H6" s="678"/>
      <c r="I6" s="640"/>
      <c r="J6" s="371"/>
      <c r="K6" s="367"/>
      <c r="L6" s="358"/>
      <c r="M6" s="359"/>
      <c r="N6" s="678"/>
      <c r="O6" s="56"/>
      <c r="P6" s="314"/>
      <c r="Q6" s="315"/>
      <c r="R6" s="328"/>
      <c r="S6" s="58"/>
      <c r="T6" s="58"/>
      <c r="X6" s="252"/>
      <c r="Y6" s="252"/>
      <c r="Z6" s="58"/>
      <c r="AD6" s="252"/>
      <c r="AE6" s="252"/>
    </row>
    <row r="7" spans="1:31" x14ac:dyDescent="0.2">
      <c r="A7" s="639"/>
      <c r="B7" s="640"/>
      <c r="C7" s="641" t="str">
        <f>Setup!B6</f>
        <v>Brian P</v>
      </c>
      <c r="D7" s="642" t="str">
        <f>C19</f>
        <v>Tommy</v>
      </c>
      <c r="E7" s="643" t="str">
        <f>C23</f>
        <v>Hunter</v>
      </c>
      <c r="F7" s="643" t="str">
        <f>C31</f>
        <v>Brian S</v>
      </c>
      <c r="G7" s="643" t="str">
        <f>C29</f>
        <v>Patrick</v>
      </c>
      <c r="H7" s="678"/>
      <c r="I7" s="640"/>
      <c r="J7" s="371" t="str">
        <f>E2</f>
        <v>Wekopa Saguaro</v>
      </c>
      <c r="K7" s="367">
        <v>4</v>
      </c>
      <c r="L7" s="358">
        <v>9</v>
      </c>
      <c r="M7" s="359">
        <v>18</v>
      </c>
      <c r="N7" s="678"/>
      <c r="O7" s="56"/>
      <c r="P7" s="314"/>
      <c r="Q7" s="315"/>
      <c r="R7" s="327"/>
      <c r="S7" s="58"/>
      <c r="T7" s="58"/>
      <c r="Y7" s="252"/>
      <c r="Z7" s="58"/>
      <c r="AE7" s="252"/>
    </row>
    <row r="8" spans="1:31" hidden="1" x14ac:dyDescent="0.2">
      <c r="A8" s="639"/>
      <c r="B8" s="640"/>
      <c r="C8" s="641">
        <f>Setup!B7</f>
        <v>6</v>
      </c>
      <c r="D8" s="642">
        <f>C20</f>
        <v>5</v>
      </c>
      <c r="E8" s="643">
        <f>C24</f>
        <v>7</v>
      </c>
      <c r="F8" s="643">
        <f>C32</f>
        <v>13</v>
      </c>
      <c r="G8" s="643">
        <f>C30</f>
        <v>8</v>
      </c>
      <c r="H8" s="678"/>
      <c r="I8" s="640"/>
      <c r="J8" s="371"/>
      <c r="K8" s="367"/>
      <c r="L8" s="358"/>
      <c r="M8" s="359"/>
      <c r="N8" s="678"/>
      <c r="O8" s="56"/>
      <c r="P8" s="314"/>
      <c r="Q8" s="315"/>
      <c r="R8" s="328"/>
      <c r="S8" s="58"/>
      <c r="T8" s="58"/>
      <c r="X8" s="252"/>
      <c r="Y8" s="252"/>
      <c r="Z8" s="58"/>
      <c r="AD8" s="252"/>
      <c r="AE8" s="252"/>
    </row>
    <row r="9" spans="1:31" ht="12" thickBot="1" x14ac:dyDescent="0.25">
      <c r="A9" s="644"/>
      <c r="B9" s="645"/>
      <c r="C9" s="646" t="str">
        <f>Setup!B8</f>
        <v xml:space="preserve">Pat </v>
      </c>
      <c r="D9" s="647" t="str">
        <f>C27</f>
        <v>Bob</v>
      </c>
      <c r="E9" s="648" t="str">
        <f>C33</f>
        <v>Chris</v>
      </c>
      <c r="F9" s="648" t="str">
        <f>C9</f>
        <v xml:space="preserve">Pat </v>
      </c>
      <c r="G9" s="648" t="str">
        <f>C7</f>
        <v>Brian P</v>
      </c>
      <c r="H9" s="678"/>
      <c r="I9" s="640"/>
      <c r="J9" s="371" t="str">
        <f>F2</f>
        <v>Kierland A/M</v>
      </c>
      <c r="K9" s="367">
        <v>9</v>
      </c>
      <c r="L9" s="358">
        <v>13</v>
      </c>
      <c r="M9" s="359">
        <v>18</v>
      </c>
      <c r="N9" s="678"/>
      <c r="O9" s="56"/>
      <c r="P9" s="314"/>
      <c r="Q9" s="315"/>
      <c r="R9" s="327"/>
      <c r="S9" s="58"/>
      <c r="T9" s="58"/>
      <c r="Y9" s="252"/>
      <c r="Z9" s="58"/>
      <c r="AE9" s="252"/>
    </row>
    <row r="10" spans="1:31" ht="12" hidden="1" thickBot="1" x14ac:dyDescent="0.25">
      <c r="A10" s="649"/>
      <c r="B10" s="640"/>
      <c r="C10" s="641">
        <f>Setup!B9</f>
        <v>6</v>
      </c>
      <c r="D10" s="642">
        <f>C28</f>
        <v>10</v>
      </c>
      <c r="E10" s="643">
        <f>C34</f>
        <v>15</v>
      </c>
      <c r="F10" s="643">
        <f>C10</f>
        <v>6</v>
      </c>
      <c r="G10" s="678">
        <f>C8</f>
        <v>6</v>
      </c>
      <c r="H10" s="678"/>
      <c r="I10" s="640"/>
      <c r="J10" s="371"/>
      <c r="K10" s="367"/>
      <c r="L10" s="358"/>
      <c r="M10" s="359"/>
      <c r="N10" s="678"/>
      <c r="O10" s="56"/>
      <c r="P10" s="314"/>
      <c r="Q10" s="315"/>
      <c r="R10" s="328"/>
      <c r="S10" s="58"/>
      <c r="T10" s="58"/>
      <c r="X10" s="252"/>
      <c r="Y10" s="252"/>
      <c r="Z10" s="58"/>
      <c r="AD10" s="252"/>
      <c r="AE10" s="252"/>
    </row>
    <row r="11" spans="1:31" ht="12" thickBot="1" x14ac:dyDescent="0.25">
      <c r="A11" s="634" t="s">
        <v>115</v>
      </c>
      <c r="B11" s="635"/>
      <c r="C11" s="636" t="str">
        <f>Setup!B10</f>
        <v>Rick</v>
      </c>
      <c r="D11" s="650" t="str">
        <f>C21</f>
        <v>Dave</v>
      </c>
      <c r="E11" s="638" t="str">
        <f>C27</f>
        <v>Bob</v>
      </c>
      <c r="F11" s="638" t="str">
        <f>C3</f>
        <v>Mil</v>
      </c>
      <c r="G11" s="638" t="str">
        <f>C9</f>
        <v xml:space="preserve">Pat </v>
      </c>
      <c r="H11" s="678"/>
      <c r="I11" s="640"/>
      <c r="J11" s="372" t="str">
        <f>Courses!A56</f>
        <v>Troon N MNMT</v>
      </c>
      <c r="K11" s="368">
        <v>11</v>
      </c>
      <c r="L11" s="360">
        <v>13</v>
      </c>
      <c r="M11" s="361">
        <v>18</v>
      </c>
      <c r="N11" s="678"/>
      <c r="O11" s="56"/>
      <c r="P11" s="314"/>
      <c r="Q11" s="315"/>
      <c r="R11" s="327"/>
      <c r="S11" s="58"/>
      <c r="T11" s="58"/>
      <c r="X11" s="252"/>
      <c r="Y11" s="252"/>
      <c r="Z11" s="58"/>
      <c r="AD11" s="252"/>
      <c r="AE11" s="252"/>
    </row>
    <row r="12" spans="1:31" hidden="1" x14ac:dyDescent="0.2">
      <c r="A12" s="639"/>
      <c r="B12" s="640"/>
      <c r="C12" s="641">
        <f>Setup!B11</f>
        <v>7</v>
      </c>
      <c r="D12" s="651">
        <f>C22</f>
        <v>5</v>
      </c>
      <c r="E12" s="643">
        <f>C28</f>
        <v>10</v>
      </c>
      <c r="F12" s="643">
        <f>C4</f>
        <v>6</v>
      </c>
      <c r="G12" s="643">
        <f>C10</f>
        <v>6</v>
      </c>
      <c r="H12" s="678"/>
      <c r="I12" s="640"/>
      <c r="J12" s="309"/>
      <c r="K12" s="321"/>
      <c r="L12" s="321"/>
      <c r="M12" s="321"/>
      <c r="N12" s="678"/>
      <c r="O12" s="56"/>
      <c r="P12" s="314"/>
      <c r="Q12" s="315"/>
      <c r="R12" s="328"/>
      <c r="S12" s="58"/>
      <c r="T12" s="58"/>
      <c r="X12" s="252"/>
      <c r="Y12" s="252"/>
      <c r="Z12" s="58"/>
      <c r="AD12" s="252"/>
      <c r="AE12" s="252"/>
    </row>
    <row r="13" spans="1:31" ht="12" thickBot="1" x14ac:dyDescent="0.25">
      <c r="A13" s="639"/>
      <c r="B13" s="640"/>
      <c r="C13" s="641" t="str">
        <f>Setup!B12</f>
        <v>Keith</v>
      </c>
      <c r="D13" s="651" t="str">
        <f>C13</f>
        <v>Keith</v>
      </c>
      <c r="E13" s="643" t="str">
        <f>C21</f>
        <v>Dave</v>
      </c>
      <c r="F13" s="643" t="str">
        <f>C23</f>
        <v>Hunter</v>
      </c>
      <c r="G13" s="643" t="str">
        <f>F13</f>
        <v>Hunter</v>
      </c>
      <c r="H13" s="678"/>
      <c r="I13" s="640"/>
      <c r="J13" s="678"/>
      <c r="K13" s="678"/>
      <c r="L13" s="678"/>
      <c r="M13" s="678"/>
      <c r="N13" s="678"/>
      <c r="O13" s="56"/>
      <c r="P13" s="314"/>
      <c r="Q13" s="315"/>
      <c r="R13" s="327"/>
      <c r="S13" s="58"/>
      <c r="T13" s="58"/>
      <c r="X13" s="252"/>
      <c r="Y13" s="252"/>
      <c r="Z13" s="58"/>
      <c r="AD13" s="252"/>
      <c r="AE13" s="252"/>
    </row>
    <row r="14" spans="1:31" ht="12" hidden="1" thickBot="1" x14ac:dyDescent="0.25">
      <c r="A14" s="639"/>
      <c r="B14" s="640"/>
      <c r="C14" s="641">
        <f>Setup!B13</f>
        <v>16</v>
      </c>
      <c r="D14" s="651">
        <f>C14</f>
        <v>16</v>
      </c>
      <c r="E14" s="643">
        <f>C22</f>
        <v>5</v>
      </c>
      <c r="F14" s="643">
        <f>C24</f>
        <v>7</v>
      </c>
      <c r="G14" s="643">
        <f>F14</f>
        <v>7</v>
      </c>
      <c r="H14" s="678"/>
      <c r="I14" s="640"/>
      <c r="J14" s="309"/>
      <c r="K14" s="321"/>
      <c r="L14" s="321"/>
      <c r="M14" s="321"/>
      <c r="N14" s="678"/>
      <c r="O14" s="56"/>
      <c r="P14" s="314"/>
      <c r="Q14" s="315"/>
      <c r="R14" s="328"/>
      <c r="S14" s="58"/>
      <c r="T14" s="58"/>
      <c r="X14" s="252"/>
      <c r="Y14" s="252"/>
      <c r="Z14" s="58"/>
      <c r="AD14" s="252"/>
      <c r="AE14" s="252"/>
    </row>
    <row r="15" spans="1:31" ht="12" thickBot="1" x14ac:dyDescent="0.25">
      <c r="A15" s="639"/>
      <c r="B15" s="640"/>
      <c r="C15" s="641" t="str">
        <f>Setup!B14</f>
        <v>Tony W</v>
      </c>
      <c r="D15" s="651" t="str">
        <f>C5</f>
        <v>John</v>
      </c>
      <c r="E15" s="643" t="str">
        <f>C7</f>
        <v>Brian P</v>
      </c>
      <c r="F15" s="643" t="str">
        <f>C29</f>
        <v>Patrick</v>
      </c>
      <c r="G15" s="643" t="str">
        <f>C27</f>
        <v>Bob</v>
      </c>
      <c r="H15" s="678"/>
      <c r="I15" s="640"/>
      <c r="J15" s="578" t="s">
        <v>16</v>
      </c>
      <c r="K15" s="502" t="s">
        <v>73</v>
      </c>
      <c r="L15" s="446" t="s">
        <v>132</v>
      </c>
      <c r="M15" s="446" t="s">
        <v>111</v>
      </c>
      <c r="N15" s="678"/>
      <c r="O15" s="56"/>
      <c r="P15" s="314"/>
      <c r="Q15" s="315"/>
      <c r="R15" s="327"/>
      <c r="S15" s="58"/>
      <c r="T15" s="58"/>
      <c r="X15" s="252"/>
      <c r="Y15" s="252"/>
      <c r="Z15" s="58"/>
      <c r="AD15" s="252"/>
      <c r="AE15" s="252"/>
    </row>
    <row r="16" spans="1:31" ht="12" hidden="1" thickBot="1" x14ac:dyDescent="0.25">
      <c r="A16" s="639"/>
      <c r="B16" s="640"/>
      <c r="C16" s="641">
        <f>Setup!B15</f>
        <v>10</v>
      </c>
      <c r="D16" s="651">
        <f>C6</f>
        <v>7</v>
      </c>
      <c r="E16" s="643">
        <f>C8</f>
        <v>6</v>
      </c>
      <c r="F16" s="643">
        <f>C30</f>
        <v>8</v>
      </c>
      <c r="G16" s="643">
        <f>C28</f>
        <v>10</v>
      </c>
      <c r="H16" s="678"/>
      <c r="I16" s="640"/>
      <c r="J16" s="255"/>
      <c r="K16" s="309"/>
      <c r="L16" s="419"/>
      <c r="M16" s="447"/>
      <c r="N16" s="678"/>
      <c r="O16" s="56"/>
      <c r="P16" s="314"/>
      <c r="Q16" s="315"/>
      <c r="R16" s="328"/>
      <c r="S16" s="58"/>
      <c r="T16" s="58"/>
      <c r="X16" s="252"/>
      <c r="Y16" s="252"/>
      <c r="Z16" s="58"/>
      <c r="AD16" s="252"/>
      <c r="AE16" s="252"/>
    </row>
    <row r="17" spans="1:31" ht="12" thickBot="1" x14ac:dyDescent="0.25">
      <c r="A17" s="629"/>
      <c r="B17" s="640"/>
      <c r="C17" s="641" t="str">
        <f>Setup!B16</f>
        <v>Manny</v>
      </c>
      <c r="D17" s="651" t="str">
        <f>C29</f>
        <v>Patrick</v>
      </c>
      <c r="E17" s="643" t="str">
        <f>C17</f>
        <v>Manny</v>
      </c>
      <c r="F17" s="643" t="str">
        <f>C17</f>
        <v>Manny</v>
      </c>
      <c r="G17" s="643" t="str">
        <f>C13</f>
        <v>Keith</v>
      </c>
      <c r="H17" s="678"/>
      <c r="I17" s="640"/>
      <c r="J17" s="503" t="str">
        <f>Setup!B2</f>
        <v>Mil</v>
      </c>
      <c r="K17" s="581">
        <f>ROUND(Setup!H2,0)</f>
        <v>6</v>
      </c>
      <c r="L17" s="579">
        <f>ROUND(Setup!I2,0)</f>
        <v>12</v>
      </c>
      <c r="M17" s="581">
        <f>ROUND(Setup!J2,0)</f>
        <v>4</v>
      </c>
      <c r="N17" s="678"/>
      <c r="O17" s="56"/>
      <c r="P17" s="314"/>
      <c r="Q17" s="315"/>
      <c r="R17" s="327"/>
      <c r="S17" s="58"/>
      <c r="T17" s="58"/>
      <c r="X17" s="252"/>
      <c r="Y17" s="252"/>
      <c r="Z17" s="58"/>
      <c r="AD17" s="252"/>
      <c r="AE17" s="252"/>
    </row>
    <row r="18" spans="1:31" ht="12" hidden="1" thickBot="1" x14ac:dyDescent="0.25">
      <c r="A18" s="639"/>
      <c r="B18" s="640"/>
      <c r="C18" s="641">
        <f>Setup!B17</f>
        <v>14</v>
      </c>
      <c r="D18" s="651">
        <f>C30</f>
        <v>8</v>
      </c>
      <c r="E18" s="643">
        <f>C18</f>
        <v>14</v>
      </c>
      <c r="F18" s="643">
        <f>C18</f>
        <v>14</v>
      </c>
      <c r="G18" s="643">
        <f>C14</f>
        <v>16</v>
      </c>
      <c r="H18" s="678"/>
      <c r="I18" s="640"/>
      <c r="J18" s="417"/>
      <c r="K18" s="596"/>
      <c r="L18" s="595">
        <f>Setup!I3</f>
        <v>0</v>
      </c>
      <c r="M18" s="596"/>
      <c r="N18" s="678"/>
      <c r="O18" s="56"/>
      <c r="P18" s="314"/>
      <c r="Q18" s="315"/>
      <c r="R18" s="328"/>
      <c r="S18" s="58"/>
      <c r="T18" s="58"/>
      <c r="X18" s="252"/>
      <c r="Y18" s="252"/>
      <c r="Z18" s="58"/>
      <c r="AD18" s="252"/>
      <c r="AE18" s="252"/>
    </row>
    <row r="19" spans="1:31" x14ac:dyDescent="0.2">
      <c r="A19" s="634" t="s">
        <v>116</v>
      </c>
      <c r="B19" s="635"/>
      <c r="C19" s="636" t="str">
        <f>Setup!B18</f>
        <v>Tommy</v>
      </c>
      <c r="D19" s="650" t="str">
        <f>C7</f>
        <v>Brian P</v>
      </c>
      <c r="E19" s="638" t="str">
        <f>C9</f>
        <v xml:space="preserve">Pat </v>
      </c>
      <c r="F19" s="638" t="str">
        <f>C13</f>
        <v>Keith</v>
      </c>
      <c r="G19" s="638" t="str">
        <f>C5</f>
        <v>John</v>
      </c>
      <c r="H19" s="678"/>
      <c r="I19" s="640"/>
      <c r="J19" s="417" t="str">
        <f>Setup!B4</f>
        <v>John</v>
      </c>
      <c r="K19" s="582">
        <f>ROUND(Setup!H4,0)</f>
        <v>7</v>
      </c>
      <c r="L19" s="580">
        <f>ROUND(Setup!I4,0)</f>
        <v>14</v>
      </c>
      <c r="M19" s="582">
        <f>ROUND(Setup!J4,0)</f>
        <v>5</v>
      </c>
      <c r="N19" s="678"/>
      <c r="O19" s="56"/>
      <c r="P19" s="314"/>
      <c r="Q19" s="315"/>
      <c r="R19" s="327"/>
      <c r="S19" s="58"/>
      <c r="T19" s="58"/>
      <c r="X19" s="252"/>
      <c r="Y19" s="252"/>
      <c r="Z19" s="58"/>
      <c r="AD19" s="252"/>
      <c r="AE19" s="252"/>
    </row>
    <row r="20" spans="1:31" hidden="1" x14ac:dyDescent="0.2">
      <c r="A20" s="639"/>
      <c r="B20" s="640"/>
      <c r="C20" s="641">
        <f>Setup!B19</f>
        <v>5</v>
      </c>
      <c r="D20" s="651">
        <f>C8</f>
        <v>6</v>
      </c>
      <c r="E20" s="643">
        <f>C10</f>
        <v>6</v>
      </c>
      <c r="F20" s="643">
        <f>C14</f>
        <v>16</v>
      </c>
      <c r="G20" s="643">
        <f>C6</f>
        <v>7</v>
      </c>
      <c r="H20" s="678"/>
      <c r="I20" s="640"/>
      <c r="J20" s="417"/>
      <c r="K20" s="448">
        <f>Setup!H5</f>
        <v>0</v>
      </c>
      <c r="L20" s="595">
        <f>Setup!I5</f>
        <v>0</v>
      </c>
      <c r="M20" s="448">
        <f>Setup!J5</f>
        <v>0</v>
      </c>
      <c r="N20" s="678"/>
      <c r="O20" s="56"/>
      <c r="P20" s="314"/>
      <c r="Q20" s="315"/>
      <c r="R20" s="328"/>
      <c r="S20" s="58"/>
      <c r="T20" s="58"/>
      <c r="X20" s="252"/>
      <c r="Y20" s="252"/>
      <c r="Z20" s="58"/>
      <c r="AD20" s="252"/>
      <c r="AE20" s="252"/>
    </row>
    <row r="21" spans="1:31" x14ac:dyDescent="0.2">
      <c r="A21" s="639"/>
      <c r="B21" s="640"/>
      <c r="C21" s="641" t="str">
        <f>Setup!B20</f>
        <v>Dave</v>
      </c>
      <c r="D21" s="651" t="str">
        <f>C23</f>
        <v>Hunter</v>
      </c>
      <c r="E21" s="643" t="str">
        <f>C15</f>
        <v>Tony W</v>
      </c>
      <c r="F21" s="643" t="str">
        <f>C33</f>
        <v>Chris</v>
      </c>
      <c r="G21" s="643" t="str">
        <f>C17</f>
        <v>Manny</v>
      </c>
      <c r="H21" s="678"/>
      <c r="I21" s="640"/>
      <c r="J21" s="417" t="str">
        <f>Setup!B6</f>
        <v>Brian P</v>
      </c>
      <c r="K21" s="582">
        <f>ROUND(Setup!H6,0)</f>
        <v>6</v>
      </c>
      <c r="L21" s="580">
        <f>ROUND(Setup!I6,0)</f>
        <v>12</v>
      </c>
      <c r="M21" s="582">
        <f>ROUND(Setup!J6,0)</f>
        <v>4</v>
      </c>
      <c r="N21" s="678"/>
      <c r="O21" s="56"/>
      <c r="P21" s="314"/>
      <c r="Q21" s="315"/>
      <c r="R21" s="327"/>
      <c r="S21" s="58"/>
      <c r="T21" s="58"/>
      <c r="X21" s="252"/>
      <c r="Y21" s="252"/>
      <c r="Z21" s="58"/>
      <c r="AD21" s="252"/>
      <c r="AE21" s="252"/>
    </row>
    <row r="22" spans="1:31" hidden="1" x14ac:dyDescent="0.2">
      <c r="A22" s="639"/>
      <c r="B22" s="640"/>
      <c r="C22" s="641">
        <f>Setup!B21</f>
        <v>5</v>
      </c>
      <c r="D22" s="651">
        <f>C24</f>
        <v>7</v>
      </c>
      <c r="E22" s="643">
        <f>C16</f>
        <v>10</v>
      </c>
      <c r="F22" s="643">
        <f>C34</f>
        <v>15</v>
      </c>
      <c r="G22" s="643">
        <f>C18</f>
        <v>14</v>
      </c>
      <c r="H22" s="678"/>
      <c r="I22" s="640"/>
      <c r="J22" s="417"/>
      <c r="K22" s="448">
        <f>Setup!H7</f>
        <v>0</v>
      </c>
      <c r="L22" s="595">
        <f>Setup!I7</f>
        <v>0</v>
      </c>
      <c r="M22" s="448">
        <f>Setup!J7</f>
        <v>0</v>
      </c>
      <c r="N22" s="678"/>
      <c r="O22" s="56"/>
      <c r="P22" s="314"/>
      <c r="Q22" s="315"/>
      <c r="R22" s="328"/>
      <c r="S22" s="58"/>
      <c r="T22" s="58"/>
      <c r="X22" s="252"/>
      <c r="Y22" s="252"/>
      <c r="Z22" s="58"/>
      <c r="AD22" s="252"/>
      <c r="AE22" s="252"/>
    </row>
    <row r="23" spans="1:31" x14ac:dyDescent="0.2">
      <c r="A23" s="629"/>
      <c r="B23" s="640"/>
      <c r="C23" s="641" t="str">
        <f>Setup!B22</f>
        <v>Hunter</v>
      </c>
      <c r="D23" s="651" t="str">
        <f>C31</f>
        <v>Brian S</v>
      </c>
      <c r="E23" s="643" t="str">
        <f>C19</f>
        <v>Tommy</v>
      </c>
      <c r="F23" s="643" t="str">
        <f>C7</f>
        <v>Brian P</v>
      </c>
      <c r="G23" s="643" t="str">
        <f>C31</f>
        <v>Brian S</v>
      </c>
      <c r="H23" s="678"/>
      <c r="I23" s="640"/>
      <c r="J23" s="417" t="str">
        <f>Setup!B8</f>
        <v xml:space="preserve">Pat </v>
      </c>
      <c r="K23" s="582">
        <f>ROUND(Setup!H8,0)</f>
        <v>6</v>
      </c>
      <c r="L23" s="580">
        <f>ROUND(Setup!I8,0)</f>
        <v>13</v>
      </c>
      <c r="M23" s="582">
        <f>ROUND(Setup!J8,0)</f>
        <v>5</v>
      </c>
      <c r="N23" s="678"/>
      <c r="O23" s="56"/>
      <c r="P23" s="314"/>
      <c r="Q23" s="315"/>
      <c r="R23" s="327"/>
      <c r="S23" s="58"/>
      <c r="T23" s="58"/>
      <c r="Z23" s="58"/>
    </row>
    <row r="24" spans="1:31" hidden="1" x14ac:dyDescent="0.2">
      <c r="A24" s="629"/>
      <c r="B24" s="640"/>
      <c r="C24" s="641">
        <f>Setup!B23</f>
        <v>7</v>
      </c>
      <c r="D24" s="651">
        <f>C32</f>
        <v>13</v>
      </c>
      <c r="E24" s="643">
        <f>C20</f>
        <v>5</v>
      </c>
      <c r="F24" s="643">
        <f>C8</f>
        <v>6</v>
      </c>
      <c r="G24" s="643">
        <f>C32</f>
        <v>13</v>
      </c>
      <c r="H24" s="678"/>
      <c r="I24" s="640"/>
      <c r="J24" s="417"/>
      <c r="K24" s="448">
        <f>Setup!H9</f>
        <v>0</v>
      </c>
      <c r="L24" s="595">
        <f>Setup!I9</f>
        <v>0</v>
      </c>
      <c r="M24" s="448">
        <f>Setup!J9</f>
        <v>0</v>
      </c>
      <c r="N24" s="678"/>
      <c r="O24" s="56"/>
      <c r="P24" s="314"/>
      <c r="Q24" s="315"/>
      <c r="R24" s="328"/>
      <c r="S24" s="58"/>
      <c r="T24" s="58"/>
      <c r="Z24" s="58"/>
    </row>
    <row r="25" spans="1:31" ht="12" thickBot="1" x14ac:dyDescent="0.25">
      <c r="A25" s="652"/>
      <c r="B25" s="645"/>
      <c r="C25" s="646" t="str">
        <f>Setup!B24</f>
        <v>Gerald C</v>
      </c>
      <c r="D25" s="653" t="str">
        <f>C15</f>
        <v>Tony W</v>
      </c>
      <c r="E25" s="648" t="str">
        <f>C29</f>
        <v>Patrick</v>
      </c>
      <c r="F25" s="648" t="str">
        <f>C19</f>
        <v>Tommy</v>
      </c>
      <c r="G25" s="648" t="str">
        <f>F25</f>
        <v>Tommy</v>
      </c>
      <c r="H25" s="678"/>
      <c r="I25" s="640"/>
      <c r="J25" s="417" t="str">
        <f>Setup!B10</f>
        <v>Rick</v>
      </c>
      <c r="K25" s="582">
        <f>ROUND(Setup!H10,0)</f>
        <v>7</v>
      </c>
      <c r="L25" s="580">
        <f>ROUND(Setup!I10,0)</f>
        <v>15</v>
      </c>
      <c r="M25" s="582">
        <f>ROUND(Setup!J10,0)</f>
        <v>6</v>
      </c>
      <c r="N25" s="678"/>
      <c r="O25" s="56"/>
      <c r="P25" s="314"/>
      <c r="Q25" s="315"/>
      <c r="R25" s="327"/>
      <c r="S25" s="58"/>
      <c r="T25" s="58"/>
      <c r="Z25" s="58"/>
    </row>
    <row r="26" spans="1:31" ht="12" hidden="1" thickBot="1" x14ac:dyDescent="0.25">
      <c r="A26" s="629"/>
      <c r="B26" s="640"/>
      <c r="C26" s="641">
        <f>Setup!B25</f>
        <v>12</v>
      </c>
      <c r="D26" s="651">
        <f>C16</f>
        <v>10</v>
      </c>
      <c r="E26" s="643">
        <f>C30</f>
        <v>8</v>
      </c>
      <c r="F26" s="643">
        <f>C20</f>
        <v>5</v>
      </c>
      <c r="G26" s="643">
        <f>F26</f>
        <v>5</v>
      </c>
      <c r="H26" s="678"/>
      <c r="I26" s="640"/>
      <c r="J26" s="417"/>
      <c r="K26" s="448">
        <f>Setup!H11</f>
        <v>0</v>
      </c>
      <c r="L26" s="595">
        <f>Setup!I11</f>
        <v>0</v>
      </c>
      <c r="M26" s="448">
        <f>Setup!J11</f>
        <v>0</v>
      </c>
      <c r="N26" s="678"/>
      <c r="O26" s="56"/>
      <c r="P26" s="314"/>
      <c r="Q26" s="314"/>
      <c r="R26" s="58"/>
      <c r="S26" s="58"/>
      <c r="T26" s="58"/>
      <c r="Z26" s="58"/>
    </row>
    <row r="27" spans="1:31" x14ac:dyDescent="0.2">
      <c r="A27" s="634" t="s">
        <v>117</v>
      </c>
      <c r="B27" s="635"/>
      <c r="C27" s="636" t="str">
        <f>Setup!B26</f>
        <v>Bob</v>
      </c>
      <c r="D27" s="650" t="str">
        <f>C9</f>
        <v xml:space="preserve">Pat </v>
      </c>
      <c r="E27" s="638" t="str">
        <f>C3</f>
        <v>Mil</v>
      </c>
      <c r="F27" s="638" t="str">
        <f>C25</f>
        <v>Gerald C</v>
      </c>
      <c r="G27" s="638" t="str">
        <f>C3</f>
        <v>Mil</v>
      </c>
      <c r="H27" s="678"/>
      <c r="I27" s="640"/>
      <c r="J27" s="417" t="str">
        <f>Setup!B12</f>
        <v>Keith</v>
      </c>
      <c r="K27" s="582">
        <f>ROUND(Setup!H12,0)</f>
        <v>16</v>
      </c>
      <c r="L27" s="580">
        <f>ROUND(Setup!I12,0)</f>
        <v>32</v>
      </c>
      <c r="M27" s="582">
        <f>ROUND(Setup!J12,0)</f>
        <v>12</v>
      </c>
      <c r="N27" s="678"/>
      <c r="O27" s="56"/>
      <c r="P27" s="314"/>
      <c r="Q27" s="314"/>
      <c r="R27" s="58"/>
      <c r="S27" s="58"/>
      <c r="T27" s="58"/>
      <c r="Z27" s="58"/>
    </row>
    <row r="28" spans="1:31" hidden="1" x14ac:dyDescent="0.2">
      <c r="A28" s="629"/>
      <c r="B28" s="640"/>
      <c r="C28" s="641">
        <f>Setup!B27</f>
        <v>10</v>
      </c>
      <c r="D28" s="651">
        <f>C10</f>
        <v>6</v>
      </c>
      <c r="E28" s="643">
        <f>C4</f>
        <v>6</v>
      </c>
      <c r="F28" s="643">
        <f>C26</f>
        <v>12</v>
      </c>
      <c r="G28" s="643">
        <f>C4</f>
        <v>6</v>
      </c>
      <c r="H28" s="678"/>
      <c r="I28" s="640"/>
      <c r="J28" s="417"/>
      <c r="K28" s="448">
        <f>Setup!H13</f>
        <v>0</v>
      </c>
      <c r="L28" s="595">
        <f>Setup!I13</f>
        <v>0</v>
      </c>
      <c r="M28" s="448">
        <f>Setup!J13</f>
        <v>0</v>
      </c>
      <c r="N28" s="678"/>
      <c r="O28" s="56"/>
      <c r="P28" s="314"/>
      <c r="Q28" s="314"/>
      <c r="R28" s="58"/>
      <c r="S28" s="58"/>
      <c r="T28" s="58"/>
      <c r="Z28" s="58"/>
    </row>
    <row r="29" spans="1:31" x14ac:dyDescent="0.2">
      <c r="A29" s="629"/>
      <c r="B29" s="640"/>
      <c r="C29" s="641" t="str">
        <f>Setup!B28</f>
        <v>Patrick</v>
      </c>
      <c r="D29" s="651" t="str">
        <f>C33</f>
        <v>Chris</v>
      </c>
      <c r="E29" s="643" t="str">
        <f>C31</f>
        <v>Brian S</v>
      </c>
      <c r="F29" s="643" t="str">
        <f>C5</f>
        <v>John</v>
      </c>
      <c r="G29" s="643" t="str">
        <f>C21</f>
        <v>Dave</v>
      </c>
      <c r="H29" s="678"/>
      <c r="I29" s="640"/>
      <c r="J29" s="417" t="str">
        <f>Setup!B14</f>
        <v>Tony W</v>
      </c>
      <c r="K29" s="582">
        <f>ROUND(Setup!H14,0)</f>
        <v>10</v>
      </c>
      <c r="L29" s="580">
        <f>ROUND(Setup!I14,0)</f>
        <v>19</v>
      </c>
      <c r="M29" s="582">
        <f>ROUND(Setup!J14,0)</f>
        <v>7</v>
      </c>
      <c r="N29" s="678"/>
      <c r="O29" s="56"/>
      <c r="P29" s="314"/>
      <c r="Q29" s="314"/>
      <c r="R29" s="58"/>
      <c r="S29" s="58"/>
      <c r="T29" s="58"/>
      <c r="Z29" s="58"/>
    </row>
    <row r="30" spans="1:31" hidden="1" x14ac:dyDescent="0.2">
      <c r="A30" s="629"/>
      <c r="B30" s="640"/>
      <c r="C30" s="641">
        <f>Setup!B29</f>
        <v>8</v>
      </c>
      <c r="D30" s="651">
        <f>C34</f>
        <v>15</v>
      </c>
      <c r="E30" s="643">
        <f>C32</f>
        <v>13</v>
      </c>
      <c r="F30" s="643">
        <f>C6</f>
        <v>7</v>
      </c>
      <c r="G30" s="643">
        <f>C22</f>
        <v>5</v>
      </c>
      <c r="H30" s="678"/>
      <c r="I30" s="640"/>
      <c r="J30" s="417"/>
      <c r="K30" s="448">
        <f>Setup!H15</f>
        <v>0</v>
      </c>
      <c r="L30" s="595">
        <f>Setup!I15</f>
        <v>0</v>
      </c>
      <c r="M30" s="448">
        <f>Setup!J15</f>
        <v>0</v>
      </c>
      <c r="N30" s="678"/>
      <c r="O30" s="56"/>
      <c r="P30" s="314"/>
      <c r="Q30" s="314"/>
      <c r="R30" s="58"/>
      <c r="S30" s="58"/>
      <c r="T30" s="58"/>
      <c r="Z30" s="58"/>
    </row>
    <row r="31" spans="1:31" x14ac:dyDescent="0.2">
      <c r="A31" s="629"/>
      <c r="B31" s="640"/>
      <c r="C31" s="641" t="str">
        <f>Setup!B30</f>
        <v>Brian S</v>
      </c>
      <c r="D31" s="651" t="str">
        <f>C25</f>
        <v>Gerald C</v>
      </c>
      <c r="E31" s="643" t="str">
        <f>C13</f>
        <v>Keith</v>
      </c>
      <c r="F31" s="643" t="str">
        <f>C15</f>
        <v>Tony W</v>
      </c>
      <c r="G31" s="643" t="str">
        <f>F31</f>
        <v>Tony W</v>
      </c>
      <c r="H31" s="678"/>
      <c r="I31" s="640"/>
      <c r="J31" s="417" t="str">
        <f>Setup!B16</f>
        <v>Manny</v>
      </c>
      <c r="K31" s="582">
        <f>ROUND(Setup!H16,0)</f>
        <v>14</v>
      </c>
      <c r="L31" s="580">
        <f>ROUND(Setup!I16,0)</f>
        <v>28</v>
      </c>
      <c r="M31" s="582">
        <f>ROUND(Setup!J16,0)</f>
        <v>10</v>
      </c>
      <c r="N31" s="678"/>
      <c r="O31" s="56"/>
      <c r="P31" s="314"/>
      <c r="Q31" s="314"/>
      <c r="R31" s="58"/>
      <c r="S31" s="58"/>
      <c r="T31" s="58"/>
      <c r="Z31" s="58"/>
    </row>
    <row r="32" spans="1:31" hidden="1" x14ac:dyDescent="0.2">
      <c r="A32" s="629"/>
      <c r="B32" s="640"/>
      <c r="C32" s="641">
        <f>Setup!B31</f>
        <v>13</v>
      </c>
      <c r="D32" s="651">
        <f>C26</f>
        <v>12</v>
      </c>
      <c r="E32" s="643">
        <f>C14</f>
        <v>16</v>
      </c>
      <c r="F32" s="643">
        <f>C16</f>
        <v>10</v>
      </c>
      <c r="G32" s="643">
        <f>F32</f>
        <v>10</v>
      </c>
      <c r="H32" s="678"/>
      <c r="I32" s="640"/>
      <c r="J32" s="417"/>
      <c r="K32" s="448"/>
      <c r="L32" s="595"/>
      <c r="M32" s="448"/>
      <c r="N32" s="678"/>
      <c r="O32" s="56"/>
      <c r="P32" s="314"/>
      <c r="Q32" s="314"/>
      <c r="R32" s="58"/>
      <c r="S32" s="58"/>
      <c r="T32" s="58"/>
      <c r="Z32" s="58"/>
    </row>
    <row r="33" spans="1:26" ht="12" thickBot="1" x14ac:dyDescent="0.25">
      <c r="A33" s="652"/>
      <c r="B33" s="645"/>
      <c r="C33" s="646" t="str">
        <f>Setup!B32</f>
        <v>Chris</v>
      </c>
      <c r="D33" s="653" t="str">
        <f>C17</f>
        <v>Manny</v>
      </c>
      <c r="E33" s="648" t="str">
        <f>C25</f>
        <v>Gerald C</v>
      </c>
      <c r="F33" s="648" t="str">
        <f>C27</f>
        <v>Bob</v>
      </c>
      <c r="G33" s="648" t="str">
        <f>C33</f>
        <v>Chris</v>
      </c>
      <c r="H33" s="678"/>
      <c r="I33" s="640"/>
      <c r="J33" s="417" t="str">
        <f>Setup!B18</f>
        <v>Tommy</v>
      </c>
      <c r="K33" s="582">
        <f>ROUND(Setup!H18,0)</f>
        <v>5</v>
      </c>
      <c r="L33" s="580">
        <f>ROUND(Setup!I18,0)</f>
        <v>10</v>
      </c>
      <c r="M33" s="582">
        <f>ROUND(Setup!J18,0)</f>
        <v>4</v>
      </c>
      <c r="N33" s="678"/>
      <c r="O33" s="56"/>
      <c r="P33" s="314"/>
      <c r="Q33" s="314"/>
      <c r="R33" s="58"/>
      <c r="S33" s="58"/>
      <c r="T33" s="58"/>
      <c r="Z33" s="58"/>
    </row>
    <row r="34" spans="1:26" hidden="1" x14ac:dyDescent="0.2">
      <c r="A34" s="629"/>
      <c r="B34" s="640"/>
      <c r="C34" s="641">
        <f>Setup!B33</f>
        <v>15</v>
      </c>
      <c r="D34" s="651">
        <f>C18</f>
        <v>14</v>
      </c>
      <c r="E34" s="643">
        <f>C26</f>
        <v>12</v>
      </c>
      <c r="F34" s="643">
        <f>C28</f>
        <v>10</v>
      </c>
      <c r="G34" s="418">
        <f>C34</f>
        <v>15</v>
      </c>
      <c r="H34" s="678"/>
      <c r="I34" s="640"/>
      <c r="J34" s="417"/>
      <c r="K34" s="448"/>
      <c r="L34" s="595"/>
      <c r="M34" s="448"/>
      <c r="N34" s="678"/>
      <c r="O34" s="56"/>
      <c r="P34" s="314"/>
      <c r="Q34" s="314"/>
      <c r="R34" s="58"/>
      <c r="S34" s="58"/>
      <c r="T34" s="58"/>
      <c r="Z34" s="58"/>
    </row>
    <row r="35" spans="1:26" x14ac:dyDescent="0.2">
      <c r="A35" s="649"/>
      <c r="B35" s="640"/>
      <c r="C35" s="678"/>
      <c r="D35" s="678"/>
      <c r="E35" s="678"/>
      <c r="F35" s="678"/>
      <c r="G35" s="678"/>
      <c r="H35" s="678"/>
      <c r="I35" s="640"/>
      <c r="J35" s="417" t="str">
        <f>Setup!B20</f>
        <v>Dave</v>
      </c>
      <c r="K35" s="582">
        <f>ROUND(Setup!H20,0)</f>
        <v>5</v>
      </c>
      <c r="L35" s="580">
        <f>ROUND(Setup!I20,0)</f>
        <v>10</v>
      </c>
      <c r="M35" s="582">
        <f>ROUND(Setup!J20,0)</f>
        <v>4</v>
      </c>
      <c r="N35" s="678"/>
      <c r="O35" s="56"/>
      <c r="P35" s="314"/>
      <c r="Q35" s="314"/>
      <c r="R35" s="58"/>
      <c r="S35" s="58"/>
      <c r="T35" s="58"/>
      <c r="Z35" s="58"/>
    </row>
    <row r="36" spans="1:26" hidden="1" x14ac:dyDescent="0.2">
      <c r="A36" s="640"/>
      <c r="B36" s="640"/>
      <c r="C36" s="678"/>
      <c r="D36" s="678"/>
      <c r="E36" s="678"/>
      <c r="F36" s="678"/>
      <c r="G36" s="678"/>
      <c r="H36" s="678"/>
      <c r="I36" s="640"/>
      <c r="J36" s="417"/>
      <c r="K36" s="448"/>
      <c r="L36" s="595"/>
      <c r="M36" s="448"/>
      <c r="N36" s="678"/>
      <c r="O36" s="56"/>
      <c r="P36" s="314"/>
      <c r="Q36" s="314"/>
      <c r="R36" s="58"/>
      <c r="S36" s="58"/>
      <c r="T36" s="58"/>
      <c r="Z36" s="58"/>
    </row>
    <row r="37" spans="1:26" x14ac:dyDescent="0.2">
      <c r="A37" s="640"/>
      <c r="B37" s="640"/>
      <c r="C37" s="678"/>
      <c r="D37" s="678"/>
      <c r="E37" s="678"/>
      <c r="F37" s="678"/>
      <c r="G37" s="678"/>
      <c r="H37" s="678"/>
      <c r="I37" s="640"/>
      <c r="J37" s="417" t="str">
        <f>Setup!B22</f>
        <v>Hunter</v>
      </c>
      <c r="K37" s="582">
        <f>ROUND(Setup!H22,0)</f>
        <v>7</v>
      </c>
      <c r="L37" s="580">
        <f>ROUND(Setup!I22,0)</f>
        <v>15</v>
      </c>
      <c r="M37" s="582">
        <f>ROUND(Setup!J22,0)</f>
        <v>6</v>
      </c>
      <c r="N37" s="678"/>
      <c r="O37" s="56"/>
      <c r="P37" s="314"/>
      <c r="Q37" s="314"/>
      <c r="R37" s="58"/>
      <c r="S37" s="58"/>
      <c r="T37" s="58"/>
      <c r="Z37" s="58"/>
    </row>
    <row r="38" spans="1:26" hidden="1" x14ac:dyDescent="0.2">
      <c r="A38" s="640"/>
      <c r="B38" s="640"/>
      <c r="C38" s="678"/>
      <c r="D38" s="678"/>
      <c r="E38" s="678"/>
      <c r="F38" s="678"/>
      <c r="G38" s="678"/>
      <c r="H38" s="678"/>
      <c r="I38" s="640"/>
      <c r="J38" s="417"/>
      <c r="K38" s="448"/>
      <c r="L38" s="595"/>
      <c r="M38" s="448"/>
      <c r="N38" s="678"/>
      <c r="O38" s="56"/>
      <c r="P38" s="314"/>
      <c r="Q38" s="314"/>
      <c r="R38" s="58"/>
      <c r="S38" s="58"/>
      <c r="T38" s="58"/>
      <c r="Z38" s="58"/>
    </row>
    <row r="39" spans="1:26" x14ac:dyDescent="0.2">
      <c r="A39" s="640"/>
      <c r="B39" s="640"/>
      <c r="C39" s="678"/>
      <c r="D39" s="678"/>
      <c r="E39" s="678"/>
      <c r="F39" s="678"/>
      <c r="G39" s="678"/>
      <c r="H39" s="678"/>
      <c r="I39" s="640"/>
      <c r="J39" s="417" t="str">
        <f>Setup!B24</f>
        <v>Gerald C</v>
      </c>
      <c r="K39" s="582">
        <f>ROUND(Setup!H24,0)</f>
        <v>12</v>
      </c>
      <c r="L39" s="580">
        <f>ROUND(Setup!I24,0)</f>
        <v>24</v>
      </c>
      <c r="M39" s="582">
        <f>ROUND(Setup!J24,0)</f>
        <v>9</v>
      </c>
      <c r="N39" s="678"/>
      <c r="O39" s="56"/>
      <c r="P39" s="314"/>
      <c r="Q39" s="314"/>
      <c r="R39" s="58"/>
      <c r="S39" s="58"/>
      <c r="T39" s="58"/>
      <c r="Z39" s="58"/>
    </row>
    <row r="40" spans="1:26" hidden="1" x14ac:dyDescent="0.2">
      <c r="A40" s="640"/>
      <c r="B40" s="640"/>
      <c r="C40" s="678"/>
      <c r="D40" s="678"/>
      <c r="E40" s="678"/>
      <c r="F40" s="678"/>
      <c r="G40" s="678"/>
      <c r="H40" s="678"/>
      <c r="I40" s="640"/>
      <c r="J40" s="417"/>
      <c r="K40" s="448"/>
      <c r="L40" s="595"/>
      <c r="M40" s="448"/>
      <c r="N40" s="678"/>
      <c r="O40" s="56"/>
      <c r="P40" s="314"/>
      <c r="Q40" s="314"/>
      <c r="R40" s="58"/>
      <c r="S40" s="58"/>
      <c r="T40" s="58"/>
      <c r="Z40" s="58"/>
    </row>
    <row r="41" spans="1:26" x14ac:dyDescent="0.2">
      <c r="A41" s="640"/>
      <c r="B41" s="640"/>
      <c r="C41" s="678"/>
      <c r="D41" s="678"/>
      <c r="E41" s="678"/>
      <c r="F41" s="678"/>
      <c r="G41" s="678"/>
      <c r="H41" s="678"/>
      <c r="I41" s="640"/>
      <c r="J41" s="417" t="str">
        <f>Setup!B26</f>
        <v>Bob</v>
      </c>
      <c r="K41" s="582">
        <f>ROUND(Setup!H26,0)</f>
        <v>10</v>
      </c>
      <c r="L41" s="580">
        <f>ROUND(Setup!I26,0)</f>
        <v>20</v>
      </c>
      <c r="M41" s="582">
        <f>ROUND(Setup!J26,0)</f>
        <v>7</v>
      </c>
      <c r="N41" s="678"/>
      <c r="O41" s="56"/>
      <c r="P41" s="314"/>
      <c r="Q41" s="314"/>
      <c r="R41" s="58"/>
      <c r="S41" s="58"/>
      <c r="T41" s="58"/>
      <c r="Z41" s="58"/>
    </row>
    <row r="42" spans="1:26" hidden="1" x14ac:dyDescent="0.2">
      <c r="A42" s="58"/>
      <c r="B42" s="58"/>
      <c r="C42" s="309"/>
      <c r="D42" s="321"/>
      <c r="E42" s="309"/>
      <c r="F42" s="309"/>
      <c r="G42" s="678"/>
      <c r="H42" s="678"/>
      <c r="I42" s="640"/>
      <c r="J42" s="417"/>
      <c r="K42" s="448"/>
      <c r="L42" s="595"/>
      <c r="M42" s="448"/>
      <c r="N42" s="678"/>
      <c r="O42" s="56"/>
      <c r="P42" s="314"/>
      <c r="Q42" s="314"/>
      <c r="R42" s="58"/>
      <c r="S42" s="58"/>
      <c r="T42" s="58"/>
      <c r="Z42" s="58"/>
    </row>
    <row r="43" spans="1:26" ht="12" thickBot="1" x14ac:dyDescent="0.25">
      <c r="A43" s="640"/>
      <c r="B43" s="640"/>
      <c r="C43" s="678"/>
      <c r="D43" s="678"/>
      <c r="E43" s="678"/>
      <c r="F43" s="678"/>
      <c r="G43" s="678"/>
      <c r="H43" s="678"/>
      <c r="I43" s="640"/>
      <c r="J43" s="417" t="str">
        <f>Setup!B28</f>
        <v>Patrick</v>
      </c>
      <c r="K43" s="582">
        <f>ROUND(Setup!H28,0)</f>
        <v>8</v>
      </c>
      <c r="L43" s="580">
        <f>ROUND(Setup!I28,0)</f>
        <v>15</v>
      </c>
      <c r="M43" s="582">
        <f>ROUND(Setup!J28,0)</f>
        <v>6</v>
      </c>
      <c r="N43" s="678"/>
      <c r="O43" s="56"/>
      <c r="P43" s="314"/>
      <c r="Q43" s="314"/>
      <c r="R43" s="58"/>
      <c r="S43" s="58"/>
      <c r="T43" s="58"/>
      <c r="Z43" s="58"/>
    </row>
    <row r="44" spans="1:26" ht="12" thickBot="1" x14ac:dyDescent="0.25">
      <c r="A44" s="744"/>
      <c r="B44" s="744"/>
      <c r="C44" s="654" t="s">
        <v>94</v>
      </c>
      <c r="D44" s="659" t="s">
        <v>120</v>
      </c>
      <c r="E44" s="670" t="s">
        <v>123</v>
      </c>
      <c r="F44" s="664" t="s">
        <v>2</v>
      </c>
      <c r="G44" s="678"/>
      <c r="H44" s="678"/>
      <c r="I44" s="640"/>
      <c r="J44" s="417" t="str">
        <f>Setup!B30</f>
        <v>Brian S</v>
      </c>
      <c r="K44" s="582">
        <f>ROUND(Setup!H30,0)</f>
        <v>13</v>
      </c>
      <c r="L44" s="582">
        <f>ROUND(Setup!I30,0)</f>
        <v>26</v>
      </c>
      <c r="M44" s="582">
        <f>ROUND(Setup!J30,0)</f>
        <v>10</v>
      </c>
      <c r="N44" s="678"/>
      <c r="O44" s="56"/>
      <c r="P44" s="314"/>
      <c r="Q44" s="314"/>
      <c r="R44" s="58"/>
      <c r="S44" s="58"/>
      <c r="T44" s="58"/>
      <c r="Z44" s="58"/>
    </row>
    <row r="45" spans="1:26" ht="12" thickBot="1" x14ac:dyDescent="0.25">
      <c r="A45" s="744"/>
      <c r="B45" s="744"/>
      <c r="C45" s="655" t="str">
        <f>Courses!A5</f>
        <v>Eagle Mountain</v>
      </c>
      <c r="D45" s="660" t="str">
        <f>Courses!A7</f>
        <v>Green</v>
      </c>
      <c r="E45" s="671">
        <f>Courses!A9</f>
        <v>6269</v>
      </c>
      <c r="F45" s="665">
        <f>Courses!L7+Courses!L11</f>
        <v>71</v>
      </c>
      <c r="G45" s="678"/>
      <c r="H45" s="678"/>
      <c r="I45" s="640"/>
      <c r="J45" s="504" t="str">
        <f>Setup!B32</f>
        <v>Chris</v>
      </c>
      <c r="K45" s="583">
        <f>ROUND(Setup!H32,0)</f>
        <v>15</v>
      </c>
      <c r="L45" s="583">
        <f>ROUND(Setup!I32,0)</f>
        <v>30</v>
      </c>
      <c r="M45" s="583">
        <f>ROUND(Setup!J32,0)</f>
        <v>11</v>
      </c>
      <c r="N45" s="678"/>
      <c r="O45" s="56"/>
      <c r="P45" s="314"/>
      <c r="Q45" s="314"/>
      <c r="R45" s="58"/>
      <c r="S45" s="58"/>
      <c r="T45" s="58"/>
      <c r="Z45" s="58"/>
    </row>
    <row r="46" spans="1:26" x14ac:dyDescent="0.2">
      <c r="A46" s="744"/>
      <c r="B46" s="744"/>
      <c r="C46" s="656" t="str">
        <f>Courses!A15</f>
        <v>Wekopa Cholla</v>
      </c>
      <c r="D46" s="661" t="str">
        <f>Courses!A17</f>
        <v>White</v>
      </c>
      <c r="E46" s="672">
        <f>Courses!A19</f>
        <v>6114</v>
      </c>
      <c r="F46" s="666">
        <f>Courses!L17+Courses!L21</f>
        <v>72</v>
      </c>
      <c r="G46" s="678"/>
      <c r="H46" s="678"/>
      <c r="I46" s="640"/>
      <c r="J46" s="640"/>
      <c r="K46" s="749"/>
      <c r="L46" s="749"/>
      <c r="M46" s="749"/>
      <c r="N46" s="678"/>
      <c r="O46" s="56"/>
      <c r="P46" s="314"/>
      <c r="Q46" s="314"/>
      <c r="R46" s="58"/>
      <c r="S46" s="58"/>
      <c r="T46" s="58"/>
      <c r="Z46" s="58"/>
    </row>
    <row r="47" spans="1:26" ht="22.5" x14ac:dyDescent="0.2">
      <c r="A47" s="744"/>
      <c r="B47" s="744"/>
      <c r="C47" s="657" t="str">
        <f>Courses!A25</f>
        <v>Wekopa Saguaro</v>
      </c>
      <c r="D47" s="657" t="str">
        <f>Courses!A27</f>
        <v>White</v>
      </c>
      <c r="E47" s="673">
        <f>Courses!A29</f>
        <v>6252</v>
      </c>
      <c r="F47" s="667">
        <f>Courses!L27+Courses!L31</f>
        <v>71</v>
      </c>
      <c r="G47" s="678"/>
      <c r="H47" s="678"/>
      <c r="I47" s="640"/>
      <c r="J47" s="640"/>
      <c r="K47" s="749"/>
      <c r="L47" s="749"/>
      <c r="M47" s="749"/>
      <c r="N47" s="678"/>
      <c r="O47" s="56"/>
      <c r="P47" s="314"/>
      <c r="Q47" s="314"/>
      <c r="R47" s="58"/>
      <c r="S47" s="58"/>
      <c r="T47" s="58"/>
      <c r="Z47" s="58"/>
    </row>
    <row r="48" spans="1:26" x14ac:dyDescent="0.2">
      <c r="A48" s="744"/>
      <c r="B48" s="744"/>
      <c r="C48" s="656" t="str">
        <f>Courses!A35</f>
        <v>Kierland A/M</v>
      </c>
      <c r="D48" s="662" t="str">
        <f>Courses!A37</f>
        <v>Copper</v>
      </c>
      <c r="E48" s="674">
        <f>Courses!A39</f>
        <v>6319</v>
      </c>
      <c r="F48" s="668">
        <f>Courses!L37+Courses!L41</f>
        <v>72</v>
      </c>
      <c r="G48" s="678"/>
      <c r="H48" s="678"/>
      <c r="I48" s="640"/>
      <c r="J48" s="640"/>
      <c r="K48" s="749"/>
      <c r="L48" s="749"/>
      <c r="M48" s="749"/>
      <c r="N48" s="678"/>
      <c r="O48" s="56"/>
      <c r="P48" s="314"/>
      <c r="Q48" s="314"/>
      <c r="R48" s="58"/>
      <c r="S48" s="58"/>
      <c r="T48" s="58"/>
      <c r="Z48" s="58"/>
    </row>
    <row r="49" spans="1:31" ht="12" thickBot="1" x14ac:dyDescent="0.25">
      <c r="A49" s="744"/>
      <c r="B49" s="744"/>
      <c r="C49" s="658" t="str">
        <f>Courses!A56</f>
        <v>Troon N MNMT</v>
      </c>
      <c r="D49" s="663" t="str">
        <f>Courses!A58</f>
        <v>Silver</v>
      </c>
      <c r="E49" s="675">
        <f>Courses!A60</f>
        <v>6220</v>
      </c>
      <c r="F49" s="669">
        <f>Courses!L58+Courses!L62</f>
        <v>72</v>
      </c>
      <c r="G49" s="678"/>
      <c r="H49" s="678"/>
      <c r="I49" s="640"/>
      <c r="J49" s="640"/>
      <c r="K49" s="749"/>
      <c r="L49" s="749"/>
      <c r="M49" s="749"/>
      <c r="N49" s="678"/>
      <c r="O49" s="56"/>
      <c r="P49" s="314"/>
      <c r="Q49" s="314"/>
      <c r="R49" s="58"/>
      <c r="S49" s="58"/>
      <c r="T49" s="58"/>
      <c r="Z49" s="58"/>
    </row>
    <row r="50" spans="1:31" x14ac:dyDescent="0.2">
      <c r="A50" s="744"/>
      <c r="B50" s="744"/>
      <c r="C50" s="752"/>
      <c r="D50" s="746"/>
      <c r="E50" s="753"/>
      <c r="F50" s="678"/>
      <c r="G50" s="678"/>
      <c r="H50" s="678"/>
      <c r="I50" s="640"/>
      <c r="J50" s="640"/>
      <c r="K50" s="678"/>
      <c r="L50" s="749"/>
      <c r="M50" s="749"/>
      <c r="N50" s="678"/>
      <c r="O50" s="56"/>
      <c r="P50" s="314"/>
      <c r="Q50" s="314"/>
      <c r="R50" s="58"/>
      <c r="S50" s="58"/>
      <c r="T50" s="58"/>
      <c r="Z50" s="58"/>
    </row>
    <row r="51" spans="1:31" hidden="1" x14ac:dyDescent="0.2">
      <c r="A51" s="744"/>
      <c r="B51" s="744"/>
      <c r="C51" s="752"/>
      <c r="D51" s="746"/>
      <c r="E51" s="753"/>
      <c r="F51" s="678"/>
      <c r="G51" s="678"/>
      <c r="H51" s="678"/>
      <c r="I51" s="640"/>
      <c r="J51" s="640"/>
      <c r="K51" s="678"/>
      <c r="L51" s="749"/>
      <c r="M51" s="749"/>
      <c r="N51" s="678"/>
      <c r="O51" s="56"/>
      <c r="P51" s="314"/>
      <c r="Q51" s="314"/>
      <c r="R51" s="58"/>
      <c r="S51" s="58"/>
      <c r="T51" s="58"/>
      <c r="Z51" s="58"/>
    </row>
    <row r="52" spans="1:31" hidden="1" x14ac:dyDescent="0.2">
      <c r="A52" s="744"/>
      <c r="B52" s="744"/>
      <c r="C52" s="752"/>
      <c r="D52" s="746"/>
      <c r="E52" s="753"/>
      <c r="F52" s="678"/>
      <c r="G52" s="678"/>
      <c r="H52" s="678"/>
      <c r="I52" s="640"/>
      <c r="J52" s="640"/>
      <c r="K52" s="678"/>
      <c r="L52" s="749"/>
      <c r="M52" s="749"/>
      <c r="N52" s="678"/>
      <c r="O52" s="56"/>
      <c r="P52" s="314"/>
      <c r="Q52" s="314"/>
      <c r="R52" s="58"/>
      <c r="S52" s="58"/>
      <c r="T52" s="58"/>
      <c r="Z52" s="58"/>
    </row>
    <row r="53" spans="1:31" hidden="1" x14ac:dyDescent="0.2">
      <c r="A53" s="744"/>
      <c r="B53" s="744"/>
      <c r="C53" s="752"/>
      <c r="D53" s="746"/>
      <c r="E53" s="753"/>
      <c r="F53" s="678"/>
      <c r="G53" s="678"/>
      <c r="H53" s="678"/>
      <c r="I53" s="640"/>
      <c r="J53" s="640"/>
      <c r="K53" s="678"/>
      <c r="L53" s="749"/>
      <c r="M53" s="749"/>
      <c r="N53" s="678"/>
      <c r="O53" s="56"/>
      <c r="P53" s="314"/>
      <c r="Q53" s="314"/>
      <c r="R53" s="58"/>
      <c r="S53" s="58"/>
      <c r="T53" s="58"/>
      <c r="Z53" s="58"/>
    </row>
    <row r="54" spans="1:31" hidden="1" x14ac:dyDescent="0.2">
      <c r="A54" s="744"/>
      <c r="B54" s="744"/>
      <c r="C54" s="752"/>
      <c r="D54" s="746"/>
      <c r="E54" s="753"/>
      <c r="F54" s="678"/>
      <c r="G54" s="678"/>
      <c r="H54" s="678"/>
      <c r="I54" s="640"/>
      <c r="J54" s="640"/>
      <c r="K54" s="678"/>
      <c r="L54" s="749"/>
      <c r="M54" s="749"/>
      <c r="N54" s="678"/>
      <c r="O54" s="56"/>
      <c r="P54" s="314"/>
      <c r="Q54" s="314"/>
      <c r="R54" s="58"/>
      <c r="S54" s="58"/>
      <c r="T54" s="58"/>
      <c r="Z54" s="58"/>
    </row>
    <row r="55" spans="1:31" hidden="1" x14ac:dyDescent="0.2">
      <c r="A55" s="744"/>
      <c r="B55" s="744"/>
      <c r="C55" s="752"/>
      <c r="D55" s="746"/>
      <c r="E55" s="753"/>
      <c r="F55" s="678"/>
      <c r="G55" s="678"/>
      <c r="H55" s="678"/>
      <c r="I55" s="640"/>
      <c r="J55" s="640"/>
      <c r="K55" s="678"/>
      <c r="L55" s="749"/>
      <c r="M55" s="749"/>
      <c r="N55" s="678"/>
      <c r="O55" s="56"/>
      <c r="P55" s="314"/>
      <c r="Q55" s="314"/>
      <c r="R55" s="58"/>
      <c r="S55" s="58"/>
      <c r="T55" s="58"/>
      <c r="Z55" s="58"/>
    </row>
    <row r="56" spans="1:31" hidden="1" x14ac:dyDescent="0.2">
      <c r="A56" s="744"/>
      <c r="B56" s="744"/>
      <c r="C56" s="752"/>
      <c r="D56" s="678"/>
      <c r="E56" s="753"/>
      <c r="F56" s="678"/>
      <c r="G56" s="678"/>
      <c r="H56" s="678"/>
      <c r="I56" s="640"/>
      <c r="J56" s="640"/>
      <c r="K56" s="678"/>
      <c r="L56" s="678"/>
      <c r="M56" s="746"/>
      <c r="N56" s="678"/>
      <c r="O56" s="56"/>
      <c r="P56" s="314"/>
      <c r="Q56" s="314"/>
      <c r="R56" s="58"/>
      <c r="S56" s="58"/>
      <c r="T56" s="58"/>
      <c r="Z56" s="58"/>
    </row>
    <row r="57" spans="1:31" hidden="1" x14ac:dyDescent="0.2">
      <c r="A57" s="744"/>
      <c r="B57" s="744"/>
      <c r="C57" s="745"/>
      <c r="D57" s="746"/>
      <c r="E57" s="753"/>
      <c r="F57" s="746"/>
      <c r="G57" s="678"/>
      <c r="H57" s="678"/>
      <c r="I57" s="640"/>
      <c r="J57" s="750"/>
      <c r="K57" s="678"/>
      <c r="L57" s="748"/>
      <c r="M57" s="748"/>
      <c r="N57" s="678"/>
      <c r="O57" s="56"/>
      <c r="P57" s="314"/>
      <c r="Q57" s="314"/>
      <c r="R57" s="58"/>
      <c r="S57" s="58"/>
      <c r="T57" s="58"/>
      <c r="Z57" s="58"/>
    </row>
    <row r="58" spans="1:31" hidden="1" x14ac:dyDescent="0.2">
      <c r="A58" s="744"/>
      <c r="B58" s="744"/>
      <c r="C58" s="752"/>
      <c r="D58" s="678"/>
      <c r="E58" s="753"/>
      <c r="F58" s="678"/>
      <c r="G58" s="678"/>
      <c r="H58" s="678"/>
      <c r="I58" s="640"/>
      <c r="J58" s="750"/>
      <c r="K58" s="678"/>
      <c r="L58" s="748"/>
      <c r="M58" s="748"/>
      <c r="N58" s="678"/>
      <c r="O58" s="56"/>
      <c r="P58" s="314"/>
      <c r="Q58" s="314"/>
      <c r="R58" s="58"/>
      <c r="S58" s="58"/>
      <c r="T58" s="58"/>
      <c r="Z58" s="58"/>
    </row>
    <row r="59" spans="1:31" hidden="1" x14ac:dyDescent="0.2">
      <c r="A59" s="744"/>
      <c r="B59" s="744"/>
      <c r="C59" s="678"/>
      <c r="D59" s="678"/>
      <c r="E59" s="678"/>
      <c r="F59" s="678"/>
      <c r="G59" s="678"/>
      <c r="H59" s="678"/>
      <c r="I59" s="640"/>
      <c r="J59" s="750"/>
      <c r="K59" s="678"/>
      <c r="L59" s="748"/>
      <c r="M59" s="748"/>
      <c r="N59" s="678"/>
      <c r="O59" s="56"/>
      <c r="P59" s="314"/>
      <c r="Q59" s="314"/>
      <c r="R59" s="58"/>
      <c r="S59" s="58"/>
      <c r="T59" s="58"/>
      <c r="Z59" s="58"/>
    </row>
    <row r="60" spans="1:31" hidden="1" x14ac:dyDescent="0.2">
      <c r="A60" s="744"/>
      <c r="B60" s="744"/>
      <c r="C60" s="678"/>
      <c r="D60" s="678"/>
      <c r="E60" s="678"/>
      <c r="F60" s="678"/>
      <c r="G60" s="678"/>
      <c r="H60" s="678"/>
      <c r="I60" s="640"/>
      <c r="J60" s="750"/>
      <c r="K60" s="678"/>
      <c r="L60" s="678"/>
      <c r="M60" s="678"/>
      <c r="N60" s="678"/>
      <c r="O60" s="56"/>
      <c r="P60" s="314"/>
      <c r="Q60" s="314"/>
      <c r="R60" s="58"/>
      <c r="S60" s="58"/>
      <c r="T60" s="58"/>
      <c r="Z60" s="58"/>
    </row>
    <row r="61" spans="1:31" ht="12" thickBot="1" x14ac:dyDescent="0.25">
      <c r="A61" s="744"/>
      <c r="B61" s="744"/>
      <c r="C61" s="751" t="s">
        <v>16</v>
      </c>
      <c r="D61" s="774" t="s">
        <v>118</v>
      </c>
      <c r="E61" s="774"/>
      <c r="F61" s="774"/>
      <c r="G61" s="744"/>
      <c r="H61" s="744"/>
      <c r="I61" s="744"/>
      <c r="J61" s="751" t="s">
        <v>16</v>
      </c>
      <c r="K61" s="774" t="s">
        <v>118</v>
      </c>
      <c r="L61" s="774"/>
      <c r="M61" s="774"/>
      <c r="N61" s="744"/>
    </row>
    <row r="62" spans="1:31" s="216" customFormat="1" ht="12" thickBot="1" x14ac:dyDescent="0.25">
      <c r="A62" s="751"/>
      <c r="B62" s="413" t="s">
        <v>75</v>
      </c>
      <c r="C62" s="414" t="str">
        <f t="shared" ref="C62:C90" si="0">C2</f>
        <v>Eagle Mountain</v>
      </c>
      <c r="D62" s="501" t="s">
        <v>28</v>
      </c>
      <c r="E62" s="320" t="s">
        <v>29</v>
      </c>
      <c r="F62" s="387" t="s">
        <v>29</v>
      </c>
      <c r="G62" s="745"/>
      <c r="H62" s="745"/>
      <c r="I62" s="413" t="s">
        <v>75</v>
      </c>
      <c r="J62" s="415" t="str">
        <f t="shared" ref="J62:J89" si="1">D2</f>
        <v>Wekopa Cholla</v>
      </c>
      <c r="K62" s="386" t="s">
        <v>28</v>
      </c>
      <c r="L62" s="320" t="s">
        <v>29</v>
      </c>
      <c r="M62" s="387" t="s">
        <v>29</v>
      </c>
      <c r="N62" s="745"/>
      <c r="T62" s="215"/>
      <c r="Z62" s="215"/>
      <c r="AA62" s="320" t="s">
        <v>75</v>
      </c>
      <c r="AB62" s="260" t="s">
        <v>83</v>
      </c>
      <c r="AC62" s="217" t="s">
        <v>28</v>
      </c>
      <c r="AD62" s="218" t="s">
        <v>29</v>
      </c>
      <c r="AE62" s="219" t="s">
        <v>29</v>
      </c>
    </row>
    <row r="63" spans="1:31" x14ac:dyDescent="0.2">
      <c r="A63" s="744"/>
      <c r="B63" s="182">
        <f>C64</f>
        <v>6</v>
      </c>
      <c r="C63" s="316" t="str">
        <f t="shared" si="0"/>
        <v>Mil</v>
      </c>
      <c r="D63" s="509" t="str">
        <f>C65</f>
        <v>John</v>
      </c>
      <c r="E63" s="182" t="str">
        <f>C67</f>
        <v>Brian P</v>
      </c>
      <c r="F63" s="263" t="str">
        <f>C69</f>
        <v xml:space="preserve">Pat </v>
      </c>
      <c r="G63" s="746"/>
      <c r="H63" s="746"/>
      <c r="I63" s="182">
        <f>J64</f>
        <v>7</v>
      </c>
      <c r="J63" s="316" t="str">
        <f t="shared" si="1"/>
        <v>Rick</v>
      </c>
      <c r="K63" s="509" t="str">
        <f>J65</f>
        <v>Mil</v>
      </c>
      <c r="L63" s="182" t="str">
        <f>J67</f>
        <v>Tommy</v>
      </c>
      <c r="M63" s="263" t="str">
        <f>J69</f>
        <v>Bob</v>
      </c>
      <c r="N63" s="746"/>
      <c r="T63" s="59"/>
      <c r="Z63" s="59"/>
      <c r="AA63" s="182">
        <f>AB64</f>
        <v>0</v>
      </c>
      <c r="AB63" s="60">
        <f t="shared" ref="AB63:AB74" si="2">L3</f>
        <v>13</v>
      </c>
      <c r="AC63" s="179">
        <f>AB65</f>
        <v>5</v>
      </c>
      <c r="AD63" s="180">
        <f>AB67</f>
        <v>9</v>
      </c>
      <c r="AE63" s="181">
        <f>AB69</f>
        <v>13</v>
      </c>
    </row>
    <row r="64" spans="1:31" hidden="1" x14ac:dyDescent="0.2">
      <c r="A64" s="744"/>
      <c r="B64" s="183"/>
      <c r="C64" s="317">
        <f t="shared" si="0"/>
        <v>6</v>
      </c>
      <c r="D64" s="395"/>
      <c r="E64" s="183"/>
      <c r="F64" s="264"/>
      <c r="G64" s="746"/>
      <c r="H64" s="746"/>
      <c r="I64" s="183"/>
      <c r="J64" s="317">
        <f t="shared" si="1"/>
        <v>7</v>
      </c>
      <c r="K64" s="395"/>
      <c r="L64" s="183"/>
      <c r="M64" s="264"/>
      <c r="N64" s="746"/>
      <c r="T64" s="59"/>
      <c r="Z64" s="59"/>
      <c r="AA64" s="183">
        <f t="shared" ref="AA64:AA85" si="3">AB65</f>
        <v>5</v>
      </c>
      <c r="AB64" s="61">
        <f t="shared" si="2"/>
        <v>0</v>
      </c>
      <c r="AC64" s="256"/>
      <c r="AD64" s="208"/>
      <c r="AE64" s="203"/>
    </row>
    <row r="65" spans="1:31" x14ac:dyDescent="0.2">
      <c r="A65" s="744"/>
      <c r="B65" s="183">
        <f t="shared" ref="B65:B85" si="4">C66</f>
        <v>7</v>
      </c>
      <c r="C65" s="317" t="str">
        <f t="shared" si="0"/>
        <v>John</v>
      </c>
      <c r="D65" s="395" t="str">
        <f>C63</f>
        <v>Mil</v>
      </c>
      <c r="E65" s="183" t="str">
        <f>C69</f>
        <v xml:space="preserve">Pat </v>
      </c>
      <c r="F65" s="264" t="str">
        <f>C67</f>
        <v>Brian P</v>
      </c>
      <c r="G65" s="746"/>
      <c r="H65" s="746"/>
      <c r="I65" s="183">
        <f t="shared" ref="I65:I85" si="5">J66</f>
        <v>6</v>
      </c>
      <c r="J65" s="317" t="str">
        <f t="shared" si="1"/>
        <v>Mil</v>
      </c>
      <c r="K65" s="395" t="str">
        <f>J63</f>
        <v>Rick</v>
      </c>
      <c r="L65" s="183" t="str">
        <f>J69</f>
        <v>Bob</v>
      </c>
      <c r="M65" s="264" t="str">
        <f>J67</f>
        <v>Tommy</v>
      </c>
      <c r="N65" s="746"/>
      <c r="T65" s="59"/>
      <c r="Z65" s="59"/>
      <c r="AA65" s="183">
        <f t="shared" si="3"/>
        <v>0</v>
      </c>
      <c r="AB65" s="61">
        <f t="shared" si="2"/>
        <v>5</v>
      </c>
      <c r="AC65" s="256">
        <f>AB63</f>
        <v>13</v>
      </c>
      <c r="AD65" s="208">
        <f>AB69</f>
        <v>13</v>
      </c>
      <c r="AE65" s="203">
        <f>AB67</f>
        <v>9</v>
      </c>
    </row>
    <row r="66" spans="1:31" hidden="1" x14ac:dyDescent="0.2">
      <c r="A66" s="744"/>
      <c r="B66" s="183"/>
      <c r="C66" s="317">
        <f t="shared" si="0"/>
        <v>7</v>
      </c>
      <c r="D66" s="395"/>
      <c r="E66" s="183"/>
      <c r="F66" s="264"/>
      <c r="G66" s="746"/>
      <c r="H66" s="746"/>
      <c r="I66" s="183"/>
      <c r="J66" s="317">
        <f t="shared" si="1"/>
        <v>6</v>
      </c>
      <c r="K66" s="395"/>
      <c r="L66" s="183"/>
      <c r="M66" s="264"/>
      <c r="N66" s="746"/>
      <c r="T66" s="59"/>
      <c r="Z66" s="59"/>
      <c r="AA66" s="183">
        <f t="shared" si="3"/>
        <v>9</v>
      </c>
      <c r="AB66" s="61">
        <f t="shared" si="2"/>
        <v>0</v>
      </c>
      <c r="AC66" s="256"/>
      <c r="AD66" s="208"/>
      <c r="AE66" s="203"/>
    </row>
    <row r="67" spans="1:31" x14ac:dyDescent="0.2">
      <c r="A67" s="744"/>
      <c r="B67" s="183">
        <f t="shared" si="4"/>
        <v>6</v>
      </c>
      <c r="C67" s="317" t="str">
        <f t="shared" si="0"/>
        <v>Brian P</v>
      </c>
      <c r="D67" s="395" t="str">
        <f>C69</f>
        <v xml:space="preserve">Pat </v>
      </c>
      <c r="E67" s="183" t="str">
        <f>C63</f>
        <v>Mil</v>
      </c>
      <c r="F67" s="264" t="str">
        <f>C65</f>
        <v>John</v>
      </c>
      <c r="G67" s="746"/>
      <c r="H67" s="746"/>
      <c r="I67" s="183">
        <f t="shared" si="5"/>
        <v>5</v>
      </c>
      <c r="J67" s="317" t="str">
        <f t="shared" si="1"/>
        <v>Tommy</v>
      </c>
      <c r="K67" s="395" t="str">
        <f>J69</f>
        <v>Bob</v>
      </c>
      <c r="L67" s="183" t="str">
        <f>J63</f>
        <v>Rick</v>
      </c>
      <c r="M67" s="264" t="str">
        <f>J65</f>
        <v>Mil</v>
      </c>
      <c r="N67" s="746"/>
      <c r="T67" s="59"/>
      <c r="Z67" s="59"/>
      <c r="AA67" s="183">
        <f t="shared" si="3"/>
        <v>0</v>
      </c>
      <c r="AB67" s="61">
        <f t="shared" si="2"/>
        <v>9</v>
      </c>
      <c r="AC67" s="256">
        <f>AB69</f>
        <v>13</v>
      </c>
      <c r="AD67" s="208">
        <f>AB63</f>
        <v>13</v>
      </c>
      <c r="AE67" s="203">
        <f>AB65</f>
        <v>5</v>
      </c>
    </row>
    <row r="68" spans="1:31" hidden="1" x14ac:dyDescent="0.2">
      <c r="A68" s="744"/>
      <c r="B68" s="183"/>
      <c r="C68" s="317">
        <f t="shared" si="0"/>
        <v>6</v>
      </c>
      <c r="D68" s="395"/>
      <c r="E68" s="183"/>
      <c r="F68" s="264"/>
      <c r="G68" s="746"/>
      <c r="H68" s="746"/>
      <c r="I68" s="183"/>
      <c r="J68" s="317">
        <f t="shared" si="1"/>
        <v>5</v>
      </c>
      <c r="K68" s="395"/>
      <c r="L68" s="183"/>
      <c r="M68" s="264"/>
      <c r="N68" s="746"/>
      <c r="T68" s="59"/>
      <c r="Z68" s="59"/>
      <c r="AA68" s="183">
        <f t="shared" si="3"/>
        <v>13</v>
      </c>
      <c r="AB68" s="61">
        <f t="shared" si="2"/>
        <v>0</v>
      </c>
      <c r="AC68" s="256"/>
      <c r="AD68" s="208"/>
      <c r="AE68" s="203"/>
    </row>
    <row r="69" spans="1:31" ht="12" thickBot="1" x14ac:dyDescent="0.25">
      <c r="A69" s="744"/>
      <c r="B69" s="332">
        <f t="shared" si="4"/>
        <v>6</v>
      </c>
      <c r="C69" s="412" t="str">
        <f t="shared" si="0"/>
        <v xml:space="preserve">Pat </v>
      </c>
      <c r="D69" s="510" t="str">
        <f>C67</f>
        <v>Brian P</v>
      </c>
      <c r="E69" s="184" t="str">
        <f>C65</f>
        <v>John</v>
      </c>
      <c r="F69" s="505" t="str">
        <f>C63</f>
        <v>Mil</v>
      </c>
      <c r="G69" s="746"/>
      <c r="H69" s="746"/>
      <c r="I69" s="183">
        <f t="shared" si="5"/>
        <v>10</v>
      </c>
      <c r="J69" s="317" t="str">
        <f t="shared" si="1"/>
        <v>Bob</v>
      </c>
      <c r="K69" s="510" t="str">
        <f>J67</f>
        <v>Tommy</v>
      </c>
      <c r="L69" s="184" t="str">
        <f>J65</f>
        <v>Mil</v>
      </c>
      <c r="M69" s="505" t="str">
        <f>J63</f>
        <v>Rick</v>
      </c>
      <c r="N69" s="746"/>
      <c r="T69" s="59"/>
      <c r="Z69" s="59"/>
      <c r="AA69" s="183">
        <f t="shared" si="3"/>
        <v>0</v>
      </c>
      <c r="AB69" s="61">
        <f t="shared" si="2"/>
        <v>13</v>
      </c>
      <c r="AC69" s="256">
        <f>AB67</f>
        <v>9</v>
      </c>
      <c r="AD69" s="208">
        <f>AB65</f>
        <v>5</v>
      </c>
      <c r="AE69" s="203">
        <f>AB63</f>
        <v>13</v>
      </c>
    </row>
    <row r="70" spans="1:31" ht="12" hidden="1" thickBot="1" x14ac:dyDescent="0.25">
      <c r="A70" s="744"/>
      <c r="B70" s="709"/>
      <c r="C70" s="470">
        <f t="shared" si="0"/>
        <v>6</v>
      </c>
      <c r="D70" s="209"/>
      <c r="E70" s="202"/>
      <c r="F70" s="210"/>
      <c r="G70" s="746"/>
      <c r="H70" s="746"/>
      <c r="I70" s="709"/>
      <c r="J70" s="470">
        <f t="shared" si="1"/>
        <v>10</v>
      </c>
      <c r="K70" s="209"/>
      <c r="L70" s="202"/>
      <c r="M70" s="210"/>
      <c r="N70" s="746"/>
      <c r="T70" s="59"/>
      <c r="Z70" s="59"/>
      <c r="AA70" s="183">
        <f t="shared" si="3"/>
        <v>13</v>
      </c>
      <c r="AB70" s="62">
        <f t="shared" si="2"/>
        <v>0</v>
      </c>
      <c r="AC70" s="257"/>
      <c r="AD70" s="209"/>
      <c r="AE70" s="210"/>
    </row>
    <row r="71" spans="1:31" x14ac:dyDescent="0.2">
      <c r="A71" s="744"/>
      <c r="B71" s="396">
        <f t="shared" si="4"/>
        <v>7</v>
      </c>
      <c r="C71" s="503" t="str">
        <f t="shared" si="0"/>
        <v>Rick</v>
      </c>
      <c r="D71" s="182" t="str">
        <f>C73</f>
        <v>Keith</v>
      </c>
      <c r="E71" s="263" t="str">
        <f>C75</f>
        <v>Tony W</v>
      </c>
      <c r="F71" s="263" t="str">
        <f>C77</f>
        <v>Manny</v>
      </c>
      <c r="G71" s="746"/>
      <c r="H71" s="746"/>
      <c r="I71" s="182">
        <f t="shared" si="5"/>
        <v>5</v>
      </c>
      <c r="J71" s="316" t="str">
        <f t="shared" si="1"/>
        <v>Dave</v>
      </c>
      <c r="K71" s="182" t="str">
        <f>J73</f>
        <v>Keith</v>
      </c>
      <c r="L71" s="263" t="str">
        <f>J75</f>
        <v>John</v>
      </c>
      <c r="M71" s="263" t="str">
        <f>J77</f>
        <v>Patrick</v>
      </c>
      <c r="N71" s="746"/>
      <c r="T71" s="59"/>
      <c r="Z71" s="59"/>
      <c r="AA71" s="183">
        <f t="shared" si="3"/>
        <v>0</v>
      </c>
      <c r="AB71" s="60">
        <f t="shared" si="2"/>
        <v>13</v>
      </c>
      <c r="AC71" s="179">
        <f>AB73</f>
        <v>0</v>
      </c>
      <c r="AD71" s="180" t="e">
        <f>AB75</f>
        <v>#REF!</v>
      </c>
      <c r="AE71" s="181" t="str">
        <f>AB77</f>
        <v>Par 3</v>
      </c>
    </row>
    <row r="72" spans="1:31" hidden="1" x14ac:dyDescent="0.2">
      <c r="A72" s="744"/>
      <c r="B72" s="397"/>
      <c r="C72" s="417">
        <f t="shared" si="0"/>
        <v>7</v>
      </c>
      <c r="D72" s="183"/>
      <c r="E72" s="264"/>
      <c r="F72" s="264"/>
      <c r="G72" s="746"/>
      <c r="H72" s="746"/>
      <c r="I72" s="183"/>
      <c r="J72" s="317">
        <f t="shared" si="1"/>
        <v>5</v>
      </c>
      <c r="K72" s="183"/>
      <c r="L72" s="264"/>
      <c r="M72" s="264"/>
      <c r="N72" s="746"/>
      <c r="T72" s="59"/>
      <c r="Z72" s="59"/>
      <c r="AA72" s="183">
        <f t="shared" si="3"/>
        <v>0</v>
      </c>
      <c r="AB72" s="61">
        <f t="shared" si="2"/>
        <v>0</v>
      </c>
      <c r="AC72" s="256"/>
      <c r="AD72" s="208"/>
      <c r="AE72" s="203"/>
    </row>
    <row r="73" spans="1:31" x14ac:dyDescent="0.2">
      <c r="A73" s="744"/>
      <c r="B73" s="397">
        <f t="shared" si="4"/>
        <v>16</v>
      </c>
      <c r="C73" s="417" t="str">
        <f t="shared" si="0"/>
        <v>Keith</v>
      </c>
      <c r="D73" s="183" t="str">
        <f>C71</f>
        <v>Rick</v>
      </c>
      <c r="E73" s="264" t="str">
        <f>C77</f>
        <v>Manny</v>
      </c>
      <c r="F73" s="264" t="str">
        <f>C75</f>
        <v>Tony W</v>
      </c>
      <c r="G73" s="746"/>
      <c r="H73" s="746"/>
      <c r="I73" s="183">
        <f t="shared" si="5"/>
        <v>16</v>
      </c>
      <c r="J73" s="317" t="str">
        <f t="shared" si="1"/>
        <v>Keith</v>
      </c>
      <c r="K73" s="183" t="str">
        <f>J71</f>
        <v>Dave</v>
      </c>
      <c r="L73" s="264" t="str">
        <f>J77</f>
        <v>Patrick</v>
      </c>
      <c r="M73" s="264" t="str">
        <f>J75</f>
        <v>John</v>
      </c>
      <c r="N73" s="746"/>
      <c r="T73" s="59"/>
      <c r="Z73" s="59"/>
      <c r="AA73" s="183">
        <f t="shared" si="3"/>
        <v>0</v>
      </c>
      <c r="AB73" s="61">
        <f t="shared" si="2"/>
        <v>0</v>
      </c>
      <c r="AC73" s="256">
        <f>AB71</f>
        <v>13</v>
      </c>
      <c r="AD73" s="208" t="str">
        <f>AB77</f>
        <v>Par 3</v>
      </c>
      <c r="AE73" s="203" t="e">
        <f>AB75</f>
        <v>#REF!</v>
      </c>
    </row>
    <row r="74" spans="1:31" hidden="1" x14ac:dyDescent="0.2">
      <c r="A74" s="744"/>
      <c r="B74" s="397"/>
      <c r="C74" s="417">
        <f t="shared" si="0"/>
        <v>16</v>
      </c>
      <c r="D74" s="183"/>
      <c r="E74" s="264"/>
      <c r="F74" s="264"/>
      <c r="G74" s="746"/>
      <c r="H74" s="746"/>
      <c r="I74" s="183"/>
      <c r="J74" s="317">
        <f t="shared" si="1"/>
        <v>16</v>
      </c>
      <c r="K74" s="183"/>
      <c r="L74" s="264"/>
      <c r="M74" s="264"/>
      <c r="N74" s="746"/>
      <c r="T74" s="59"/>
      <c r="Z74" s="59"/>
      <c r="AA74" s="183" t="e">
        <f t="shared" si="3"/>
        <v>#REF!</v>
      </c>
      <c r="AB74" s="61">
        <f t="shared" si="2"/>
        <v>0</v>
      </c>
      <c r="AC74" s="256"/>
      <c r="AD74" s="208"/>
      <c r="AE74" s="203"/>
    </row>
    <row r="75" spans="1:31" x14ac:dyDescent="0.2">
      <c r="A75" s="744"/>
      <c r="B75" s="397">
        <f t="shared" si="4"/>
        <v>10</v>
      </c>
      <c r="C75" s="417" t="str">
        <f t="shared" si="0"/>
        <v>Tony W</v>
      </c>
      <c r="D75" s="183" t="str">
        <f>C77</f>
        <v>Manny</v>
      </c>
      <c r="E75" s="264" t="str">
        <f>C71</f>
        <v>Rick</v>
      </c>
      <c r="F75" s="264" t="str">
        <f>C73</f>
        <v>Keith</v>
      </c>
      <c r="G75" s="746"/>
      <c r="H75" s="746"/>
      <c r="I75" s="183">
        <f t="shared" si="5"/>
        <v>7</v>
      </c>
      <c r="J75" s="317" t="str">
        <f t="shared" si="1"/>
        <v>John</v>
      </c>
      <c r="K75" s="183" t="str">
        <f>J77</f>
        <v>Patrick</v>
      </c>
      <c r="L75" s="264" t="str">
        <f>J71</f>
        <v>Dave</v>
      </c>
      <c r="M75" s="264" t="str">
        <f>J73</f>
        <v>Keith</v>
      </c>
      <c r="N75" s="746"/>
      <c r="T75" s="59"/>
      <c r="Z75" s="59"/>
      <c r="AA75" s="183" t="e">
        <f t="shared" si="3"/>
        <v>#REF!</v>
      </c>
      <c r="AB75" s="61" t="e">
        <f>#REF!</f>
        <v>#REF!</v>
      </c>
      <c r="AC75" s="256" t="str">
        <f>AB77</f>
        <v>Par 3</v>
      </c>
      <c r="AD75" s="208">
        <f>AB71</f>
        <v>13</v>
      </c>
      <c r="AE75" s="203">
        <f>AB73</f>
        <v>0</v>
      </c>
    </row>
    <row r="76" spans="1:31" hidden="1" x14ac:dyDescent="0.2">
      <c r="A76" s="744"/>
      <c r="B76" s="397"/>
      <c r="C76" s="417">
        <f t="shared" si="0"/>
        <v>10</v>
      </c>
      <c r="D76" s="183"/>
      <c r="E76" s="264"/>
      <c r="F76" s="264"/>
      <c r="G76" s="746"/>
      <c r="H76" s="746"/>
      <c r="I76" s="183"/>
      <c r="J76" s="317">
        <f t="shared" si="1"/>
        <v>7</v>
      </c>
      <c r="K76" s="183"/>
      <c r="L76" s="264"/>
      <c r="M76" s="264"/>
      <c r="N76" s="746"/>
      <c r="T76" s="59"/>
      <c r="Z76" s="59"/>
      <c r="AA76" s="183" t="str">
        <f t="shared" si="3"/>
        <v>Par 3</v>
      </c>
      <c r="AB76" s="61" t="e">
        <f>#REF!</f>
        <v>#REF!</v>
      </c>
      <c r="AC76" s="256"/>
      <c r="AD76" s="208"/>
      <c r="AE76" s="203"/>
    </row>
    <row r="77" spans="1:31" ht="12" thickBot="1" x14ac:dyDescent="0.25">
      <c r="A77" s="744"/>
      <c r="B77" s="397">
        <f t="shared" si="4"/>
        <v>14</v>
      </c>
      <c r="C77" s="417" t="str">
        <f t="shared" si="0"/>
        <v>Manny</v>
      </c>
      <c r="D77" s="183" t="str">
        <f>C75</f>
        <v>Tony W</v>
      </c>
      <c r="E77" s="264" t="str">
        <f>C73</f>
        <v>Keith</v>
      </c>
      <c r="F77" s="264" t="str">
        <f>C71</f>
        <v>Rick</v>
      </c>
      <c r="G77" s="746"/>
      <c r="H77" s="746"/>
      <c r="I77" s="183">
        <f t="shared" si="5"/>
        <v>8</v>
      </c>
      <c r="J77" s="317" t="str">
        <f t="shared" si="1"/>
        <v>Patrick</v>
      </c>
      <c r="K77" s="183" t="str">
        <f>J75</f>
        <v>John</v>
      </c>
      <c r="L77" s="264" t="str">
        <f>J73</f>
        <v>Keith</v>
      </c>
      <c r="M77" s="264" t="str">
        <f>J71</f>
        <v>Dave</v>
      </c>
      <c r="N77" s="746"/>
      <c r="T77" s="59"/>
      <c r="Z77" s="59"/>
      <c r="AA77" s="183">
        <f t="shared" si="3"/>
        <v>0</v>
      </c>
      <c r="AB77" s="62" t="str">
        <f>M15</f>
        <v>Par 3</v>
      </c>
      <c r="AC77" s="258" t="e">
        <f>AB75</f>
        <v>#REF!</v>
      </c>
      <c r="AD77" s="211">
        <f>AB73</f>
        <v>0</v>
      </c>
      <c r="AE77" s="212">
        <f>AB71</f>
        <v>13</v>
      </c>
    </row>
    <row r="78" spans="1:31" ht="12" hidden="1" thickBot="1" x14ac:dyDescent="0.25">
      <c r="A78" s="744"/>
      <c r="B78" s="398"/>
      <c r="C78" s="506">
        <f t="shared" si="0"/>
        <v>14</v>
      </c>
      <c r="D78" s="183"/>
      <c r="E78" s="264"/>
      <c r="F78" s="264"/>
      <c r="G78" s="746"/>
      <c r="H78" s="746"/>
      <c r="I78" s="332"/>
      <c r="J78" s="412">
        <f t="shared" si="1"/>
        <v>8</v>
      </c>
      <c r="K78" s="183"/>
      <c r="L78" s="264"/>
      <c r="M78" s="264"/>
      <c r="N78" s="746"/>
      <c r="T78" s="59"/>
      <c r="Z78" s="59"/>
      <c r="AA78" s="183">
        <f t="shared" si="3"/>
        <v>8</v>
      </c>
      <c r="AB78" s="60">
        <f>M16</f>
        <v>0</v>
      </c>
      <c r="AC78" s="259"/>
      <c r="AD78" s="213"/>
      <c r="AE78" s="214"/>
    </row>
    <row r="79" spans="1:31" x14ac:dyDescent="0.2">
      <c r="A79" s="744"/>
      <c r="B79" s="182">
        <f t="shared" si="4"/>
        <v>5</v>
      </c>
      <c r="C79" s="60" t="str">
        <f t="shared" si="0"/>
        <v>Tommy</v>
      </c>
      <c r="D79" s="182" t="str">
        <f>C81</f>
        <v>Dave</v>
      </c>
      <c r="E79" s="263" t="str">
        <f>C83</f>
        <v>Hunter</v>
      </c>
      <c r="F79" s="263" t="str">
        <f>C85</f>
        <v>Gerald C</v>
      </c>
      <c r="G79" s="746"/>
      <c r="H79" s="746"/>
      <c r="I79" s="182">
        <f t="shared" si="5"/>
        <v>6</v>
      </c>
      <c r="J79" s="316" t="str">
        <f t="shared" si="1"/>
        <v>Brian P</v>
      </c>
      <c r="K79" s="182" t="str">
        <f>J81</f>
        <v>Hunter</v>
      </c>
      <c r="L79" s="263" t="str">
        <f>J83</f>
        <v>Brian S</v>
      </c>
      <c r="M79" s="263" t="str">
        <f>J85</f>
        <v>Tony W</v>
      </c>
      <c r="N79" s="746"/>
      <c r="T79" s="59"/>
      <c r="Z79" s="59"/>
      <c r="AA79" s="183">
        <f t="shared" si="3"/>
        <v>13</v>
      </c>
      <c r="AB79" s="61">
        <f t="shared" ref="AB79:AB86" si="6">K43</f>
        <v>8</v>
      </c>
      <c r="AC79" s="256">
        <f>AB81</f>
        <v>15</v>
      </c>
      <c r="AD79" s="208">
        <f>AB83</f>
        <v>0</v>
      </c>
      <c r="AE79" s="203">
        <f>AB85</f>
        <v>0</v>
      </c>
    </row>
    <row r="80" spans="1:31" hidden="1" x14ac:dyDescent="0.2">
      <c r="A80" s="744"/>
      <c r="B80" s="183"/>
      <c r="C80" s="61">
        <f t="shared" si="0"/>
        <v>5</v>
      </c>
      <c r="D80" s="183"/>
      <c r="E80" s="264"/>
      <c r="F80" s="264"/>
      <c r="G80" s="746"/>
      <c r="H80" s="746"/>
      <c r="I80" s="183"/>
      <c r="J80" s="317">
        <f t="shared" si="1"/>
        <v>6</v>
      </c>
      <c r="K80" s="183"/>
      <c r="L80" s="264"/>
      <c r="M80" s="264"/>
      <c r="N80" s="746"/>
      <c r="T80" s="59"/>
      <c r="Z80" s="59"/>
      <c r="AA80" s="183">
        <f t="shared" si="3"/>
        <v>15</v>
      </c>
      <c r="AB80" s="61">
        <f t="shared" si="6"/>
        <v>13</v>
      </c>
      <c r="AC80" s="256"/>
      <c r="AD80" s="208"/>
      <c r="AE80" s="203"/>
    </row>
    <row r="81" spans="1:31" x14ac:dyDescent="0.2">
      <c r="A81" s="744"/>
      <c r="B81" s="183">
        <f t="shared" si="4"/>
        <v>5</v>
      </c>
      <c r="C81" s="61" t="str">
        <f t="shared" si="0"/>
        <v>Dave</v>
      </c>
      <c r="D81" s="183" t="str">
        <f>C79</f>
        <v>Tommy</v>
      </c>
      <c r="E81" s="264" t="str">
        <f>C85</f>
        <v>Gerald C</v>
      </c>
      <c r="F81" s="264" t="str">
        <f>C83</f>
        <v>Hunter</v>
      </c>
      <c r="G81" s="746"/>
      <c r="H81" s="746"/>
      <c r="I81" s="183">
        <f t="shared" si="5"/>
        <v>7</v>
      </c>
      <c r="J81" s="317" t="str">
        <f t="shared" si="1"/>
        <v>Hunter</v>
      </c>
      <c r="K81" s="183" t="str">
        <f>J79</f>
        <v>Brian P</v>
      </c>
      <c r="L81" s="264" t="str">
        <f>J85</f>
        <v>Tony W</v>
      </c>
      <c r="M81" s="264" t="str">
        <f>J83</f>
        <v>Brian S</v>
      </c>
      <c r="N81" s="746"/>
      <c r="T81" s="59"/>
      <c r="Z81" s="59"/>
      <c r="AA81" s="183">
        <f t="shared" si="3"/>
        <v>0</v>
      </c>
      <c r="AB81" s="61">
        <f t="shared" si="6"/>
        <v>15</v>
      </c>
      <c r="AC81" s="256">
        <f>AB79</f>
        <v>8</v>
      </c>
      <c r="AD81" s="208">
        <f>AB85</f>
        <v>0</v>
      </c>
      <c r="AE81" s="203">
        <f>AB83</f>
        <v>0</v>
      </c>
    </row>
    <row r="82" spans="1:31" hidden="1" x14ac:dyDescent="0.2">
      <c r="A82" s="744"/>
      <c r="B82" s="183"/>
      <c r="C82" s="61">
        <f t="shared" si="0"/>
        <v>5</v>
      </c>
      <c r="D82" s="183"/>
      <c r="E82" s="264"/>
      <c r="F82" s="264"/>
      <c r="G82" s="746"/>
      <c r="H82" s="746"/>
      <c r="I82" s="183"/>
      <c r="J82" s="317">
        <f t="shared" si="1"/>
        <v>7</v>
      </c>
      <c r="K82" s="183"/>
      <c r="L82" s="264"/>
      <c r="M82" s="264"/>
      <c r="N82" s="746"/>
      <c r="T82" s="59"/>
      <c r="Z82" s="59"/>
      <c r="AA82" s="183">
        <f t="shared" si="3"/>
        <v>0</v>
      </c>
      <c r="AB82" s="61">
        <f t="shared" si="6"/>
        <v>0</v>
      </c>
      <c r="AC82" s="256"/>
      <c r="AD82" s="208"/>
      <c r="AE82" s="203"/>
    </row>
    <row r="83" spans="1:31" x14ac:dyDescent="0.2">
      <c r="A83" s="744"/>
      <c r="B83" s="183">
        <f t="shared" si="4"/>
        <v>7</v>
      </c>
      <c r="C83" s="61" t="str">
        <f t="shared" si="0"/>
        <v>Hunter</v>
      </c>
      <c r="D83" s="183" t="str">
        <f>C85</f>
        <v>Gerald C</v>
      </c>
      <c r="E83" s="264" t="str">
        <f>C79</f>
        <v>Tommy</v>
      </c>
      <c r="F83" s="264" t="str">
        <f>C81</f>
        <v>Dave</v>
      </c>
      <c r="G83" s="746"/>
      <c r="H83" s="746"/>
      <c r="I83" s="183">
        <f t="shared" si="5"/>
        <v>13</v>
      </c>
      <c r="J83" s="317" t="str">
        <f t="shared" si="1"/>
        <v>Brian S</v>
      </c>
      <c r="K83" s="183" t="str">
        <f>J85</f>
        <v>Tony W</v>
      </c>
      <c r="L83" s="264" t="str">
        <f>J79</f>
        <v>Brian P</v>
      </c>
      <c r="M83" s="264" t="str">
        <f>J81</f>
        <v>Hunter</v>
      </c>
      <c r="N83" s="746"/>
      <c r="T83" s="59"/>
      <c r="Z83" s="59"/>
      <c r="AA83" s="183">
        <f t="shared" si="3"/>
        <v>0</v>
      </c>
      <c r="AB83" s="61">
        <f t="shared" si="6"/>
        <v>0</v>
      </c>
      <c r="AC83" s="256">
        <f>AB85</f>
        <v>0</v>
      </c>
      <c r="AD83" s="208">
        <f>AB79</f>
        <v>8</v>
      </c>
      <c r="AE83" s="203">
        <f>AB81</f>
        <v>15</v>
      </c>
    </row>
    <row r="84" spans="1:31" hidden="1" x14ac:dyDescent="0.2">
      <c r="A84" s="744"/>
      <c r="B84" s="183"/>
      <c r="C84" s="61">
        <f t="shared" si="0"/>
        <v>7</v>
      </c>
      <c r="D84" s="183"/>
      <c r="E84" s="264"/>
      <c r="F84" s="264"/>
      <c r="G84" s="746"/>
      <c r="H84" s="746"/>
      <c r="I84" s="183"/>
      <c r="J84" s="317">
        <f t="shared" si="1"/>
        <v>13</v>
      </c>
      <c r="K84" s="183"/>
      <c r="L84" s="264"/>
      <c r="M84" s="264"/>
      <c r="N84" s="746"/>
      <c r="T84" s="59"/>
      <c r="Z84" s="59"/>
      <c r="AA84" s="183">
        <f t="shared" si="3"/>
        <v>0</v>
      </c>
      <c r="AB84" s="61">
        <f t="shared" si="6"/>
        <v>0</v>
      </c>
      <c r="AC84" s="256"/>
      <c r="AD84" s="208"/>
      <c r="AE84" s="203"/>
    </row>
    <row r="85" spans="1:31" ht="12" thickBot="1" x14ac:dyDescent="0.25">
      <c r="A85" s="744"/>
      <c r="B85" s="183">
        <f t="shared" si="4"/>
        <v>12</v>
      </c>
      <c r="C85" s="61" t="str">
        <f t="shared" si="0"/>
        <v>Gerald C</v>
      </c>
      <c r="D85" s="332" t="str">
        <f>C83</f>
        <v>Hunter</v>
      </c>
      <c r="E85" s="505" t="str">
        <f>C81</f>
        <v>Dave</v>
      </c>
      <c r="F85" s="505" t="str">
        <f>C79</f>
        <v>Tommy</v>
      </c>
      <c r="G85" s="746"/>
      <c r="H85" s="746"/>
      <c r="I85" s="184">
        <f t="shared" si="5"/>
        <v>10</v>
      </c>
      <c r="J85" s="318" t="str">
        <f t="shared" si="1"/>
        <v>Tony W</v>
      </c>
      <c r="K85" s="332" t="str">
        <f>J83</f>
        <v>Brian S</v>
      </c>
      <c r="L85" s="505" t="str">
        <f>J81</f>
        <v>Hunter</v>
      </c>
      <c r="M85" s="505" t="str">
        <f>J79</f>
        <v>Brian P</v>
      </c>
      <c r="N85" s="746"/>
      <c r="T85" s="59"/>
      <c r="Z85" s="59"/>
      <c r="AA85" s="184">
        <f t="shared" si="3"/>
        <v>0</v>
      </c>
      <c r="AB85" s="62">
        <f t="shared" si="6"/>
        <v>0</v>
      </c>
      <c r="AC85" s="258">
        <f>AB83</f>
        <v>0</v>
      </c>
      <c r="AD85" s="211">
        <f>AB81</f>
        <v>15</v>
      </c>
      <c r="AE85" s="212">
        <f>AB79</f>
        <v>8</v>
      </c>
    </row>
    <row r="86" spans="1:31" ht="12" hidden="1" thickBot="1" x14ac:dyDescent="0.25">
      <c r="A86" s="744"/>
      <c r="B86" s="508"/>
      <c r="C86" s="63">
        <f t="shared" si="0"/>
        <v>12</v>
      </c>
      <c r="D86" s="183"/>
      <c r="E86" s="264"/>
      <c r="F86" s="264"/>
      <c r="G86" s="746"/>
      <c r="H86" s="746"/>
      <c r="I86" s="64"/>
      <c r="J86" s="319">
        <f t="shared" si="1"/>
        <v>10</v>
      </c>
      <c r="K86" s="183"/>
      <c r="L86" s="264"/>
      <c r="M86" s="264"/>
      <c r="N86" s="746"/>
      <c r="T86" s="59"/>
      <c r="Z86" s="59"/>
      <c r="AB86" s="261">
        <f t="shared" si="6"/>
        <v>0</v>
      </c>
    </row>
    <row r="87" spans="1:31" x14ac:dyDescent="0.2">
      <c r="A87" s="744"/>
      <c r="B87" s="182">
        <f>C88</f>
        <v>10</v>
      </c>
      <c r="C87" s="60" t="str">
        <f t="shared" si="0"/>
        <v>Bob</v>
      </c>
      <c r="D87" s="182" t="str">
        <f>C89</f>
        <v>Patrick</v>
      </c>
      <c r="E87" s="263" t="str">
        <f>C91</f>
        <v>Brian S</v>
      </c>
      <c r="F87" s="263" t="str">
        <f>C93</f>
        <v>Chris</v>
      </c>
      <c r="G87" s="746"/>
      <c r="H87" s="746"/>
      <c r="I87" s="183">
        <f>J88</f>
        <v>6</v>
      </c>
      <c r="J87" s="317" t="str">
        <f t="shared" si="1"/>
        <v xml:space="preserve">Pat </v>
      </c>
      <c r="K87" s="182" t="str">
        <f>J89</f>
        <v>Chris</v>
      </c>
      <c r="L87" s="263" t="str">
        <f>J91</f>
        <v>Gerald C</v>
      </c>
      <c r="M87" s="263" t="str">
        <f>J93</f>
        <v>Manny</v>
      </c>
      <c r="N87" s="746"/>
      <c r="T87" s="59"/>
      <c r="Z87" s="58"/>
      <c r="AB87" s="58"/>
    </row>
    <row r="88" spans="1:31" hidden="1" x14ac:dyDescent="0.2">
      <c r="A88" s="744"/>
      <c r="B88" s="183"/>
      <c r="C88" s="61">
        <f t="shared" si="0"/>
        <v>10</v>
      </c>
      <c r="D88" s="183"/>
      <c r="E88" s="264"/>
      <c r="F88" s="264"/>
      <c r="G88" s="746"/>
      <c r="H88" s="746"/>
      <c r="I88" s="183"/>
      <c r="J88" s="317">
        <f t="shared" si="1"/>
        <v>6</v>
      </c>
      <c r="K88" s="183"/>
      <c r="L88" s="264"/>
      <c r="M88" s="264"/>
      <c r="N88" s="746"/>
      <c r="T88" s="59"/>
    </row>
    <row r="89" spans="1:31" x14ac:dyDescent="0.2">
      <c r="A89" s="744"/>
      <c r="B89" s="183">
        <f>C90</f>
        <v>8</v>
      </c>
      <c r="C89" s="61" t="str">
        <f t="shared" si="0"/>
        <v>Patrick</v>
      </c>
      <c r="D89" s="183" t="str">
        <f>C87</f>
        <v>Bob</v>
      </c>
      <c r="E89" s="264" t="str">
        <f>C93</f>
        <v>Chris</v>
      </c>
      <c r="F89" s="264" t="str">
        <f>C91</f>
        <v>Brian S</v>
      </c>
      <c r="G89" s="746"/>
      <c r="H89" s="746"/>
      <c r="I89" s="183">
        <f>J90</f>
        <v>15</v>
      </c>
      <c r="J89" s="317" t="str">
        <f t="shared" si="1"/>
        <v>Chris</v>
      </c>
      <c r="K89" s="183" t="str">
        <f>J87</f>
        <v xml:space="preserve">Pat </v>
      </c>
      <c r="L89" s="264" t="str">
        <f>J93</f>
        <v>Manny</v>
      </c>
      <c r="M89" s="264" t="str">
        <f>J91</f>
        <v>Gerald C</v>
      </c>
      <c r="N89" s="746"/>
      <c r="T89" s="59"/>
    </row>
    <row r="90" spans="1:31" hidden="1" x14ac:dyDescent="0.2">
      <c r="A90" s="744"/>
      <c r="B90" s="183"/>
      <c r="C90" s="61">
        <f t="shared" si="0"/>
        <v>8</v>
      </c>
      <c r="D90" s="183"/>
      <c r="E90" s="264"/>
      <c r="F90" s="264"/>
      <c r="G90" s="746"/>
      <c r="H90" s="746"/>
      <c r="I90" s="183"/>
      <c r="J90" s="317">
        <f>D30</f>
        <v>15</v>
      </c>
      <c r="K90" s="183"/>
      <c r="L90" s="264"/>
      <c r="M90" s="264"/>
      <c r="N90" s="746"/>
      <c r="T90" s="59"/>
    </row>
    <row r="91" spans="1:31" x14ac:dyDescent="0.2">
      <c r="A91" s="744"/>
      <c r="B91" s="183">
        <f>C92</f>
        <v>13</v>
      </c>
      <c r="C91" s="61" t="str">
        <f>C31</f>
        <v>Brian S</v>
      </c>
      <c r="D91" s="183" t="str">
        <f>C93</f>
        <v>Chris</v>
      </c>
      <c r="E91" s="264" t="str">
        <f>C87</f>
        <v>Bob</v>
      </c>
      <c r="F91" s="264" t="str">
        <f>C89</f>
        <v>Patrick</v>
      </c>
      <c r="G91" s="746"/>
      <c r="H91" s="746"/>
      <c r="I91" s="183">
        <f>J92</f>
        <v>12</v>
      </c>
      <c r="J91" s="317" t="str">
        <f>D31</f>
        <v>Gerald C</v>
      </c>
      <c r="K91" s="183" t="str">
        <f>J93</f>
        <v>Manny</v>
      </c>
      <c r="L91" s="264" t="str">
        <f>J87</f>
        <v xml:space="preserve">Pat </v>
      </c>
      <c r="M91" s="264" t="str">
        <f>J89</f>
        <v>Chris</v>
      </c>
      <c r="N91" s="746"/>
      <c r="T91" s="59"/>
    </row>
    <row r="92" spans="1:31" hidden="1" x14ac:dyDescent="0.2">
      <c r="A92" s="744"/>
      <c r="B92" s="183"/>
      <c r="C92" s="61">
        <f>C32</f>
        <v>13</v>
      </c>
      <c r="D92" s="183"/>
      <c r="E92" s="264"/>
      <c r="F92" s="264"/>
      <c r="G92" s="746"/>
      <c r="H92" s="746"/>
      <c r="I92" s="183"/>
      <c r="J92" s="317">
        <f>D32</f>
        <v>12</v>
      </c>
      <c r="K92" s="183"/>
      <c r="L92" s="264"/>
      <c r="M92" s="264"/>
      <c r="N92" s="746"/>
      <c r="T92" s="59"/>
    </row>
    <row r="93" spans="1:31" ht="12" thickBot="1" x14ac:dyDescent="0.25">
      <c r="A93" s="744"/>
      <c r="B93" s="184">
        <f>C94</f>
        <v>15</v>
      </c>
      <c r="C93" s="62" t="str">
        <f>C33</f>
        <v>Chris</v>
      </c>
      <c r="D93" s="184" t="str">
        <f>C91</f>
        <v>Brian S</v>
      </c>
      <c r="E93" s="265" t="str">
        <f>C89</f>
        <v>Patrick</v>
      </c>
      <c r="F93" s="265" t="str">
        <f>C87</f>
        <v>Bob</v>
      </c>
      <c r="G93" s="746"/>
      <c r="H93" s="746"/>
      <c r="I93" s="184">
        <f>J94</f>
        <v>14</v>
      </c>
      <c r="J93" s="318" t="str">
        <f>D33</f>
        <v>Manny</v>
      </c>
      <c r="K93" s="184" t="str">
        <f>J91</f>
        <v>Gerald C</v>
      </c>
      <c r="L93" s="265" t="str">
        <f>J89</f>
        <v>Chris</v>
      </c>
      <c r="M93" s="265" t="str">
        <f>J87</f>
        <v xml:space="preserve">Pat </v>
      </c>
      <c r="N93" s="746"/>
      <c r="T93" s="59"/>
    </row>
    <row r="94" spans="1:31" ht="12" hidden="1" thickBot="1" x14ac:dyDescent="0.25">
      <c r="A94" s="744"/>
      <c r="B94" s="416"/>
      <c r="C94" s="507">
        <f>C34</f>
        <v>15</v>
      </c>
      <c r="D94" s="707"/>
      <c r="E94" s="708"/>
      <c r="F94" s="708"/>
      <c r="G94" s="746"/>
      <c r="H94" s="746"/>
      <c r="I94" s="710"/>
      <c r="J94" s="189">
        <f>D34</f>
        <v>14</v>
      </c>
      <c r="K94" s="707"/>
      <c r="L94" s="708"/>
      <c r="M94" s="708"/>
      <c r="N94" s="746"/>
      <c r="T94" s="59"/>
    </row>
    <row r="95" spans="1:31" x14ac:dyDescent="0.2">
      <c r="A95" s="744"/>
      <c r="B95" s="746"/>
      <c r="C95" s="640"/>
      <c r="D95" s="746"/>
      <c r="E95" s="746"/>
      <c r="F95" s="746"/>
      <c r="G95" s="746"/>
      <c r="H95" s="746"/>
      <c r="I95" s="746"/>
      <c r="J95" s="640"/>
      <c r="K95" s="746"/>
      <c r="L95" s="746"/>
      <c r="M95" s="746"/>
      <c r="N95" s="746"/>
      <c r="T95" s="59"/>
    </row>
    <row r="96" spans="1:31" ht="12" thickBot="1" x14ac:dyDescent="0.25">
      <c r="A96" s="744"/>
      <c r="B96" s="744"/>
      <c r="C96" s="751" t="s">
        <v>16</v>
      </c>
      <c r="D96" s="774" t="s">
        <v>118</v>
      </c>
      <c r="E96" s="774"/>
      <c r="F96" s="774"/>
      <c r="G96" s="640"/>
      <c r="H96" s="640"/>
      <c r="I96" s="640"/>
      <c r="J96" s="751" t="s">
        <v>16</v>
      </c>
      <c r="K96" s="774" t="s">
        <v>118</v>
      </c>
      <c r="L96" s="774"/>
      <c r="M96" s="774"/>
      <c r="N96" s="640"/>
    </row>
    <row r="97" spans="1:16" ht="12" thickBot="1" x14ac:dyDescent="0.25">
      <c r="A97" s="744"/>
      <c r="B97" s="320" t="s">
        <v>75</v>
      </c>
      <c r="C97" s="220" t="str">
        <f t="shared" ref="C97:C129" si="7">E2</f>
        <v>Wekopa Saguaro</v>
      </c>
      <c r="D97" s="511" t="s">
        <v>28</v>
      </c>
      <c r="E97" s="320" t="s">
        <v>29</v>
      </c>
      <c r="F97" s="512" t="s">
        <v>29</v>
      </c>
      <c r="G97" s="640"/>
      <c r="H97" s="640"/>
      <c r="I97" s="320" t="s">
        <v>75</v>
      </c>
      <c r="J97" s="260" t="str">
        <f t="shared" ref="J97:J129" si="8">F2</f>
        <v>Kierland A/M</v>
      </c>
      <c r="K97" s="511" t="s">
        <v>28</v>
      </c>
      <c r="L97" s="320" t="s">
        <v>29</v>
      </c>
      <c r="M97" s="512" t="s">
        <v>29</v>
      </c>
      <c r="N97" s="640"/>
      <c r="O97" s="58"/>
      <c r="P97" s="58"/>
    </row>
    <row r="98" spans="1:16" x14ac:dyDescent="0.2">
      <c r="A98" s="744"/>
      <c r="B98" s="182">
        <f t="shared" ref="B98:B120" si="9">C99</f>
        <v>7</v>
      </c>
      <c r="C98" s="60" t="str">
        <f t="shared" si="7"/>
        <v>John</v>
      </c>
      <c r="D98" s="509" t="str">
        <f>C100</f>
        <v>Rick</v>
      </c>
      <c r="E98" s="182" t="str">
        <f>C102</f>
        <v>Hunter</v>
      </c>
      <c r="F98" s="263" t="str">
        <f>C104</f>
        <v>Chris</v>
      </c>
      <c r="G98" s="640"/>
      <c r="H98" s="640"/>
      <c r="I98" s="182">
        <f t="shared" ref="I98:I120" si="10">J99</f>
        <v>5</v>
      </c>
      <c r="J98" s="60" t="str">
        <f t="shared" si="8"/>
        <v>Dave</v>
      </c>
      <c r="K98" s="509" t="str">
        <f>J100</f>
        <v>Rick</v>
      </c>
      <c r="L98" s="182" t="str">
        <f>J102</f>
        <v>Brian S</v>
      </c>
      <c r="M98" s="263" t="str">
        <f>J104</f>
        <v xml:space="preserve">Pat </v>
      </c>
      <c r="N98" s="640"/>
      <c r="O98" s="58"/>
      <c r="P98" s="58"/>
    </row>
    <row r="99" spans="1:16" hidden="1" x14ac:dyDescent="0.2">
      <c r="A99" s="744"/>
      <c r="B99" s="183"/>
      <c r="C99" s="61">
        <f t="shared" si="7"/>
        <v>7</v>
      </c>
      <c r="D99" s="395"/>
      <c r="E99" s="183"/>
      <c r="F99" s="264"/>
      <c r="G99" s="640"/>
      <c r="H99" s="640"/>
      <c r="I99" s="183"/>
      <c r="J99" s="61">
        <f t="shared" si="8"/>
        <v>5</v>
      </c>
      <c r="K99" s="395"/>
      <c r="L99" s="183"/>
      <c r="M99" s="264"/>
      <c r="N99" s="640"/>
      <c r="O99" s="58"/>
      <c r="P99" s="58"/>
    </row>
    <row r="100" spans="1:16" x14ac:dyDescent="0.2">
      <c r="A100" s="744"/>
      <c r="B100" s="183">
        <f t="shared" si="9"/>
        <v>7</v>
      </c>
      <c r="C100" s="61" t="str">
        <f t="shared" si="7"/>
        <v>Rick</v>
      </c>
      <c r="D100" s="395" t="str">
        <f>C98</f>
        <v>John</v>
      </c>
      <c r="E100" s="183" t="str">
        <f>C104</f>
        <v>Chris</v>
      </c>
      <c r="F100" s="264" t="str">
        <f>C102</f>
        <v>Hunter</v>
      </c>
      <c r="G100" s="640"/>
      <c r="H100" s="640"/>
      <c r="I100" s="183">
        <f t="shared" si="10"/>
        <v>7</v>
      </c>
      <c r="J100" s="61" t="str">
        <f t="shared" si="8"/>
        <v>Rick</v>
      </c>
      <c r="K100" s="395" t="str">
        <f>J98</f>
        <v>Dave</v>
      </c>
      <c r="L100" s="183" t="str">
        <f>J104</f>
        <v xml:space="preserve">Pat </v>
      </c>
      <c r="M100" s="264" t="str">
        <f>J102</f>
        <v>Brian S</v>
      </c>
      <c r="N100" s="640"/>
      <c r="O100" s="58"/>
      <c r="P100" s="58"/>
    </row>
    <row r="101" spans="1:16" hidden="1" x14ac:dyDescent="0.2">
      <c r="A101" s="744"/>
      <c r="B101" s="183"/>
      <c r="C101" s="61">
        <f t="shared" si="7"/>
        <v>7</v>
      </c>
      <c r="D101" s="395"/>
      <c r="E101" s="183"/>
      <c r="F101" s="264"/>
      <c r="G101" s="640"/>
      <c r="H101" s="640"/>
      <c r="I101" s="183"/>
      <c r="J101" s="61">
        <f t="shared" si="8"/>
        <v>7</v>
      </c>
      <c r="K101" s="395"/>
      <c r="L101" s="183"/>
      <c r="M101" s="264"/>
      <c r="N101" s="640"/>
      <c r="O101" s="58"/>
      <c r="P101" s="58"/>
    </row>
    <row r="102" spans="1:16" x14ac:dyDescent="0.2">
      <c r="A102" s="744"/>
      <c r="B102" s="183">
        <f t="shared" si="9"/>
        <v>7</v>
      </c>
      <c r="C102" s="61" t="str">
        <f t="shared" si="7"/>
        <v>Hunter</v>
      </c>
      <c r="D102" s="395" t="str">
        <f>C104</f>
        <v>Chris</v>
      </c>
      <c r="E102" s="183" t="str">
        <f>C98</f>
        <v>John</v>
      </c>
      <c r="F102" s="264" t="str">
        <f>C100</f>
        <v>Rick</v>
      </c>
      <c r="G102" s="640"/>
      <c r="H102" s="640"/>
      <c r="I102" s="183">
        <f t="shared" si="10"/>
        <v>13</v>
      </c>
      <c r="J102" s="61" t="str">
        <f t="shared" si="8"/>
        <v>Brian S</v>
      </c>
      <c r="K102" s="395" t="str">
        <f>J104</f>
        <v xml:space="preserve">Pat </v>
      </c>
      <c r="L102" s="183" t="str">
        <f>J98</f>
        <v>Dave</v>
      </c>
      <c r="M102" s="264" t="str">
        <f>J100</f>
        <v>Rick</v>
      </c>
      <c r="N102" s="640"/>
      <c r="O102" s="58"/>
      <c r="P102" s="58"/>
    </row>
    <row r="103" spans="1:16" hidden="1" x14ac:dyDescent="0.2">
      <c r="A103" s="744"/>
      <c r="B103" s="183"/>
      <c r="C103" s="61">
        <f t="shared" si="7"/>
        <v>7</v>
      </c>
      <c r="D103" s="395"/>
      <c r="E103" s="183"/>
      <c r="F103" s="264"/>
      <c r="G103" s="640"/>
      <c r="H103" s="640"/>
      <c r="I103" s="183"/>
      <c r="J103" s="61">
        <f t="shared" si="8"/>
        <v>13</v>
      </c>
      <c r="K103" s="395"/>
      <c r="L103" s="183"/>
      <c r="M103" s="264"/>
      <c r="N103" s="640"/>
      <c r="O103" s="58"/>
      <c r="P103" s="58"/>
    </row>
    <row r="104" spans="1:16" ht="12" thickBot="1" x14ac:dyDescent="0.25">
      <c r="A104" s="744"/>
      <c r="B104" s="183">
        <f t="shared" si="9"/>
        <v>15</v>
      </c>
      <c r="C104" s="61" t="str">
        <f t="shared" si="7"/>
        <v>Chris</v>
      </c>
      <c r="D104" s="510" t="str">
        <f>C102</f>
        <v>Hunter</v>
      </c>
      <c r="E104" s="184" t="str">
        <f>C100</f>
        <v>Rick</v>
      </c>
      <c r="F104" s="505" t="str">
        <f>C98</f>
        <v>John</v>
      </c>
      <c r="G104" s="640"/>
      <c r="H104" s="640"/>
      <c r="I104" s="183">
        <f t="shared" si="10"/>
        <v>6</v>
      </c>
      <c r="J104" s="61" t="str">
        <f t="shared" si="8"/>
        <v xml:space="preserve">Pat </v>
      </c>
      <c r="K104" s="510" t="str">
        <f>J102</f>
        <v>Brian S</v>
      </c>
      <c r="L104" s="184" t="str">
        <f>J100</f>
        <v>Rick</v>
      </c>
      <c r="M104" s="505" t="str">
        <f>J98</f>
        <v>Dave</v>
      </c>
      <c r="N104" s="640"/>
      <c r="O104" s="58"/>
      <c r="P104" s="58"/>
    </row>
    <row r="105" spans="1:16" ht="12" hidden="1" thickBot="1" x14ac:dyDescent="0.25">
      <c r="A105" s="744"/>
      <c r="B105" s="332"/>
      <c r="C105" s="63">
        <f t="shared" si="7"/>
        <v>15</v>
      </c>
      <c r="D105" s="209"/>
      <c r="E105" s="202"/>
      <c r="F105" s="210"/>
      <c r="G105" s="640"/>
      <c r="H105" s="640"/>
      <c r="I105" s="332"/>
      <c r="J105" s="62">
        <f t="shared" si="8"/>
        <v>6</v>
      </c>
      <c r="K105" s="209"/>
      <c r="L105" s="202"/>
      <c r="M105" s="210"/>
      <c r="N105" s="640"/>
      <c r="O105" s="58"/>
      <c r="P105" s="58"/>
    </row>
    <row r="106" spans="1:16" x14ac:dyDescent="0.2">
      <c r="A106" s="744"/>
      <c r="B106" s="182">
        <f t="shared" si="9"/>
        <v>10</v>
      </c>
      <c r="C106" s="60" t="str">
        <f t="shared" si="7"/>
        <v>Bob</v>
      </c>
      <c r="D106" s="182" t="str">
        <f>C108</f>
        <v>Dave</v>
      </c>
      <c r="E106" s="263" t="str">
        <f>C110</f>
        <v>Brian P</v>
      </c>
      <c r="F106" s="263" t="str">
        <f>C112</f>
        <v>Manny</v>
      </c>
      <c r="G106" s="640"/>
      <c r="H106" s="640"/>
      <c r="I106" s="396">
        <f t="shared" si="10"/>
        <v>6</v>
      </c>
      <c r="J106" s="60" t="str">
        <f t="shared" si="8"/>
        <v>Mil</v>
      </c>
      <c r="K106" s="182" t="str">
        <f>J108</f>
        <v>Hunter</v>
      </c>
      <c r="L106" s="263" t="str">
        <f>J110</f>
        <v>Patrick</v>
      </c>
      <c r="M106" s="263" t="str">
        <f>J112</f>
        <v>Manny</v>
      </c>
      <c r="N106" s="640"/>
      <c r="O106" s="58"/>
      <c r="P106" s="58"/>
    </row>
    <row r="107" spans="1:16" hidden="1" x14ac:dyDescent="0.2">
      <c r="A107" s="744"/>
      <c r="B107" s="183"/>
      <c r="C107" s="61">
        <f t="shared" si="7"/>
        <v>10</v>
      </c>
      <c r="D107" s="183"/>
      <c r="E107" s="264"/>
      <c r="F107" s="264"/>
      <c r="G107" s="640"/>
      <c r="H107" s="640"/>
      <c r="I107" s="397"/>
      <c r="J107" s="61">
        <f t="shared" si="8"/>
        <v>6</v>
      </c>
      <c r="K107" s="183"/>
      <c r="L107" s="264"/>
      <c r="M107" s="264"/>
      <c r="N107" s="640"/>
      <c r="O107" s="58"/>
      <c r="P107" s="58"/>
    </row>
    <row r="108" spans="1:16" x14ac:dyDescent="0.2">
      <c r="A108" s="744"/>
      <c r="B108" s="183">
        <f t="shared" si="9"/>
        <v>5</v>
      </c>
      <c r="C108" s="61" t="str">
        <f t="shared" si="7"/>
        <v>Dave</v>
      </c>
      <c r="D108" s="183" t="str">
        <f>C106</f>
        <v>Bob</v>
      </c>
      <c r="E108" s="264" t="str">
        <f>C112</f>
        <v>Manny</v>
      </c>
      <c r="F108" s="264" t="str">
        <f>C110</f>
        <v>Brian P</v>
      </c>
      <c r="G108" s="640"/>
      <c r="H108" s="640"/>
      <c r="I108" s="397">
        <f t="shared" si="10"/>
        <v>7</v>
      </c>
      <c r="J108" s="61" t="str">
        <f t="shared" si="8"/>
        <v>Hunter</v>
      </c>
      <c r="K108" s="183" t="str">
        <f>J106</f>
        <v>Mil</v>
      </c>
      <c r="L108" s="264" t="str">
        <f>J112</f>
        <v>Manny</v>
      </c>
      <c r="M108" s="264" t="str">
        <f>J110</f>
        <v>Patrick</v>
      </c>
      <c r="N108" s="640"/>
      <c r="O108" s="58"/>
      <c r="P108" s="58"/>
    </row>
    <row r="109" spans="1:16" hidden="1" x14ac:dyDescent="0.2">
      <c r="A109" s="744"/>
      <c r="B109" s="183"/>
      <c r="C109" s="61">
        <f t="shared" si="7"/>
        <v>5</v>
      </c>
      <c r="D109" s="183"/>
      <c r="E109" s="264"/>
      <c r="F109" s="264"/>
      <c r="G109" s="640"/>
      <c r="H109" s="640"/>
      <c r="I109" s="397"/>
      <c r="J109" s="61">
        <f t="shared" si="8"/>
        <v>7</v>
      </c>
      <c r="K109" s="183"/>
      <c r="L109" s="264"/>
      <c r="M109" s="264"/>
      <c r="N109" s="640"/>
      <c r="O109" s="58"/>
      <c r="P109" s="58"/>
    </row>
    <row r="110" spans="1:16" x14ac:dyDescent="0.2">
      <c r="A110" s="744"/>
      <c r="B110" s="183">
        <f t="shared" si="9"/>
        <v>6</v>
      </c>
      <c r="C110" s="61" t="str">
        <f t="shared" si="7"/>
        <v>Brian P</v>
      </c>
      <c r="D110" s="183" t="str">
        <f>C112</f>
        <v>Manny</v>
      </c>
      <c r="E110" s="264" t="str">
        <f>C106</f>
        <v>Bob</v>
      </c>
      <c r="F110" s="264" t="str">
        <f>C108</f>
        <v>Dave</v>
      </c>
      <c r="G110" s="640"/>
      <c r="H110" s="640"/>
      <c r="I110" s="397">
        <f t="shared" si="10"/>
        <v>8</v>
      </c>
      <c r="J110" s="61" t="str">
        <f t="shared" si="8"/>
        <v>Patrick</v>
      </c>
      <c r="K110" s="183" t="str">
        <f>J112</f>
        <v>Manny</v>
      </c>
      <c r="L110" s="264" t="str">
        <f>J106</f>
        <v>Mil</v>
      </c>
      <c r="M110" s="264" t="str">
        <f>J108</f>
        <v>Hunter</v>
      </c>
      <c r="N110" s="640"/>
      <c r="O110" s="58"/>
      <c r="P110" s="58"/>
    </row>
    <row r="111" spans="1:16" hidden="1" x14ac:dyDescent="0.2">
      <c r="A111" s="744"/>
      <c r="B111" s="332"/>
      <c r="C111" s="63">
        <f t="shared" si="7"/>
        <v>6</v>
      </c>
      <c r="D111" s="183"/>
      <c r="E111" s="264"/>
      <c r="F111" s="264"/>
      <c r="G111" s="640"/>
      <c r="H111" s="640"/>
      <c r="I111" s="398"/>
      <c r="J111" s="63">
        <f t="shared" si="8"/>
        <v>8</v>
      </c>
      <c r="K111" s="183"/>
      <c r="L111" s="264"/>
      <c r="M111" s="264"/>
      <c r="N111" s="640"/>
      <c r="O111" s="58"/>
      <c r="P111" s="58"/>
    </row>
    <row r="112" spans="1:16" ht="12" thickBot="1" x14ac:dyDescent="0.25">
      <c r="A112" s="744"/>
      <c r="B112" s="183">
        <f t="shared" si="9"/>
        <v>14</v>
      </c>
      <c r="C112" s="61" t="str">
        <f t="shared" si="7"/>
        <v>Manny</v>
      </c>
      <c r="D112" s="183" t="str">
        <f>C110</f>
        <v>Brian P</v>
      </c>
      <c r="E112" s="264" t="str">
        <f>C108</f>
        <v>Dave</v>
      </c>
      <c r="F112" s="264" t="str">
        <f>C106</f>
        <v>Bob</v>
      </c>
      <c r="G112" s="640"/>
      <c r="H112" s="640"/>
      <c r="I112" s="397">
        <f t="shared" si="10"/>
        <v>14</v>
      </c>
      <c r="J112" s="61" t="str">
        <f t="shared" si="8"/>
        <v>Manny</v>
      </c>
      <c r="K112" s="183" t="str">
        <f>J110</f>
        <v>Patrick</v>
      </c>
      <c r="L112" s="264" t="str">
        <f>J108</f>
        <v>Hunter</v>
      </c>
      <c r="M112" s="264" t="str">
        <f>J106</f>
        <v>Mil</v>
      </c>
      <c r="N112" s="640"/>
      <c r="O112" s="58"/>
      <c r="P112" s="58"/>
    </row>
    <row r="113" spans="1:16" ht="12" hidden="1" thickBot="1" x14ac:dyDescent="0.25">
      <c r="A113" s="744"/>
      <c r="B113" s="332"/>
      <c r="C113" s="63">
        <f t="shared" si="7"/>
        <v>14</v>
      </c>
      <c r="D113" s="183"/>
      <c r="E113" s="264"/>
      <c r="F113" s="264"/>
      <c r="G113" s="640"/>
      <c r="H113" s="640"/>
      <c r="I113" s="398"/>
      <c r="J113" s="63">
        <f t="shared" si="8"/>
        <v>14</v>
      </c>
      <c r="K113" s="183"/>
      <c r="L113" s="264"/>
      <c r="M113" s="264"/>
      <c r="N113" s="640"/>
      <c r="O113" s="58"/>
      <c r="P113" s="58"/>
    </row>
    <row r="114" spans="1:16" x14ac:dyDescent="0.2">
      <c r="A114" s="744"/>
      <c r="B114" s="182">
        <f t="shared" si="9"/>
        <v>6</v>
      </c>
      <c r="C114" s="60" t="str">
        <f t="shared" si="7"/>
        <v xml:space="preserve">Pat </v>
      </c>
      <c r="D114" s="182" t="str">
        <f>C116</f>
        <v>Tony W</v>
      </c>
      <c r="E114" s="263" t="str">
        <f>C118</f>
        <v>Tommy</v>
      </c>
      <c r="F114" s="263" t="str">
        <f>C120</f>
        <v>Patrick</v>
      </c>
      <c r="G114" s="640"/>
      <c r="H114" s="640"/>
      <c r="I114" s="396">
        <f t="shared" si="10"/>
        <v>16</v>
      </c>
      <c r="J114" s="60" t="str">
        <f t="shared" si="8"/>
        <v>Keith</v>
      </c>
      <c r="K114" s="182" t="str">
        <f>J116</f>
        <v>Chris</v>
      </c>
      <c r="L114" s="263" t="str">
        <f>J118</f>
        <v>Brian P</v>
      </c>
      <c r="M114" s="263" t="str">
        <f>J120</f>
        <v>Tommy</v>
      </c>
      <c r="N114" s="640"/>
      <c r="O114" s="58"/>
      <c r="P114" s="58"/>
    </row>
    <row r="115" spans="1:16" hidden="1" x14ac:dyDescent="0.2">
      <c r="A115" s="744"/>
      <c r="B115" s="183"/>
      <c r="C115" s="61">
        <f t="shared" si="7"/>
        <v>6</v>
      </c>
      <c r="D115" s="183"/>
      <c r="E115" s="264"/>
      <c r="F115" s="264"/>
      <c r="G115" s="640"/>
      <c r="H115" s="640"/>
      <c r="I115" s="397"/>
      <c r="J115" s="61">
        <f t="shared" si="8"/>
        <v>16</v>
      </c>
      <c r="K115" s="183"/>
      <c r="L115" s="264"/>
      <c r="M115" s="264"/>
      <c r="N115" s="640"/>
      <c r="O115" s="58"/>
      <c r="P115" s="58"/>
    </row>
    <row r="116" spans="1:16" x14ac:dyDescent="0.2">
      <c r="A116" s="744"/>
      <c r="B116" s="183">
        <f t="shared" si="9"/>
        <v>10</v>
      </c>
      <c r="C116" s="61" t="str">
        <f t="shared" si="7"/>
        <v>Tony W</v>
      </c>
      <c r="D116" s="183" t="str">
        <f>C114</f>
        <v xml:space="preserve">Pat </v>
      </c>
      <c r="E116" s="264" t="str">
        <f>C120</f>
        <v>Patrick</v>
      </c>
      <c r="F116" s="264" t="str">
        <f>C118</f>
        <v>Tommy</v>
      </c>
      <c r="G116" s="640"/>
      <c r="H116" s="640"/>
      <c r="I116" s="397">
        <f t="shared" si="10"/>
        <v>15</v>
      </c>
      <c r="J116" s="61" t="str">
        <f t="shared" si="8"/>
        <v>Chris</v>
      </c>
      <c r="K116" s="183" t="str">
        <f>J114</f>
        <v>Keith</v>
      </c>
      <c r="L116" s="264" t="str">
        <f>J120</f>
        <v>Tommy</v>
      </c>
      <c r="M116" s="264" t="str">
        <f>J118</f>
        <v>Brian P</v>
      </c>
      <c r="N116" s="640"/>
      <c r="O116" s="58"/>
      <c r="P116" s="58"/>
    </row>
    <row r="117" spans="1:16" hidden="1" x14ac:dyDescent="0.2">
      <c r="A117" s="744"/>
      <c r="B117" s="183"/>
      <c r="C117" s="61">
        <f t="shared" si="7"/>
        <v>10</v>
      </c>
      <c r="D117" s="183"/>
      <c r="E117" s="264"/>
      <c r="F117" s="264"/>
      <c r="G117" s="640"/>
      <c r="H117" s="640"/>
      <c r="I117" s="397"/>
      <c r="J117" s="61">
        <f t="shared" si="8"/>
        <v>15</v>
      </c>
      <c r="K117" s="183"/>
      <c r="L117" s="264"/>
      <c r="M117" s="264"/>
      <c r="N117" s="640"/>
      <c r="O117" s="58"/>
      <c r="P117" s="58"/>
    </row>
    <row r="118" spans="1:16" x14ac:dyDescent="0.2">
      <c r="A118" s="744"/>
      <c r="B118" s="183">
        <f t="shared" si="9"/>
        <v>5</v>
      </c>
      <c r="C118" s="61" t="str">
        <f t="shared" si="7"/>
        <v>Tommy</v>
      </c>
      <c r="D118" s="183" t="str">
        <f>C120</f>
        <v>Patrick</v>
      </c>
      <c r="E118" s="264" t="str">
        <f>C114</f>
        <v xml:space="preserve">Pat </v>
      </c>
      <c r="F118" s="264" t="str">
        <f>C116</f>
        <v>Tony W</v>
      </c>
      <c r="G118" s="640"/>
      <c r="H118" s="640"/>
      <c r="I118" s="397">
        <f t="shared" si="10"/>
        <v>6</v>
      </c>
      <c r="J118" s="61" t="str">
        <f t="shared" si="8"/>
        <v>Brian P</v>
      </c>
      <c r="K118" s="183" t="str">
        <f>J120</f>
        <v>Tommy</v>
      </c>
      <c r="L118" s="264" t="str">
        <f>J114</f>
        <v>Keith</v>
      </c>
      <c r="M118" s="264" t="str">
        <f>J116</f>
        <v>Chris</v>
      </c>
      <c r="N118" s="640"/>
      <c r="O118" s="58"/>
      <c r="P118" s="58"/>
    </row>
    <row r="119" spans="1:16" hidden="1" x14ac:dyDescent="0.2">
      <c r="A119" s="744"/>
      <c r="B119" s="183"/>
      <c r="C119" s="61">
        <f t="shared" si="7"/>
        <v>5</v>
      </c>
      <c r="D119" s="183"/>
      <c r="E119" s="264"/>
      <c r="F119" s="264"/>
      <c r="G119" s="640"/>
      <c r="H119" s="640"/>
      <c r="I119" s="397"/>
      <c r="J119" s="61">
        <f t="shared" si="8"/>
        <v>6</v>
      </c>
      <c r="K119" s="183"/>
      <c r="L119" s="264"/>
      <c r="M119" s="264"/>
      <c r="N119" s="640"/>
      <c r="O119" s="58"/>
      <c r="P119" s="58"/>
    </row>
    <row r="120" spans="1:16" ht="12" thickBot="1" x14ac:dyDescent="0.25">
      <c r="A120" s="744"/>
      <c r="B120" s="184">
        <f t="shared" si="9"/>
        <v>8</v>
      </c>
      <c r="C120" s="62" t="str">
        <f t="shared" si="7"/>
        <v>Patrick</v>
      </c>
      <c r="D120" s="332" t="str">
        <f>C118</f>
        <v>Tommy</v>
      </c>
      <c r="E120" s="505" t="str">
        <f>C116</f>
        <v>Tony W</v>
      </c>
      <c r="F120" s="505" t="str">
        <f>C114</f>
        <v xml:space="preserve">Pat </v>
      </c>
      <c r="G120" s="640"/>
      <c r="H120" s="640"/>
      <c r="I120" s="397">
        <f t="shared" si="10"/>
        <v>5</v>
      </c>
      <c r="J120" s="61" t="str">
        <f t="shared" si="8"/>
        <v>Tommy</v>
      </c>
      <c r="K120" s="332" t="str">
        <f>J118</f>
        <v>Brian P</v>
      </c>
      <c r="L120" s="505" t="str">
        <f>J116</f>
        <v>Chris</v>
      </c>
      <c r="M120" s="505" t="str">
        <f>J114</f>
        <v>Keith</v>
      </c>
      <c r="N120" s="640"/>
      <c r="O120" s="58"/>
      <c r="P120" s="58"/>
    </row>
    <row r="121" spans="1:16" ht="12" hidden="1" thickBot="1" x14ac:dyDescent="0.25">
      <c r="A121" s="744"/>
      <c r="B121" s="64"/>
      <c r="C121" s="64">
        <f t="shared" si="7"/>
        <v>8</v>
      </c>
      <c r="D121" s="183"/>
      <c r="E121" s="264"/>
      <c r="F121" s="264"/>
      <c r="G121" s="640"/>
      <c r="H121" s="640"/>
      <c r="I121" s="506"/>
      <c r="J121" s="63">
        <f t="shared" si="8"/>
        <v>5</v>
      </c>
      <c r="K121" s="183"/>
      <c r="L121" s="264"/>
      <c r="M121" s="264"/>
      <c r="N121" s="640"/>
      <c r="O121" s="58"/>
      <c r="P121" s="58"/>
    </row>
    <row r="122" spans="1:16" x14ac:dyDescent="0.2">
      <c r="A122" s="744"/>
      <c r="B122" s="183">
        <f>C123</f>
        <v>6</v>
      </c>
      <c r="C122" s="61" t="str">
        <f t="shared" si="7"/>
        <v>Mil</v>
      </c>
      <c r="D122" s="182" t="str">
        <f>C124</f>
        <v>Brian S</v>
      </c>
      <c r="E122" s="263" t="str">
        <f>C126</f>
        <v>Keith</v>
      </c>
      <c r="F122" s="263" t="str">
        <f>C128</f>
        <v>Gerald C</v>
      </c>
      <c r="G122" s="640"/>
      <c r="H122" s="640"/>
      <c r="I122" s="396">
        <f>J123</f>
        <v>12</v>
      </c>
      <c r="J122" s="60" t="str">
        <f t="shared" si="8"/>
        <v>Gerald C</v>
      </c>
      <c r="K122" s="182" t="str">
        <f>J124</f>
        <v>John</v>
      </c>
      <c r="L122" s="263" t="str">
        <f>J126</f>
        <v>Tony W</v>
      </c>
      <c r="M122" s="263" t="str">
        <f>J128</f>
        <v>Bob</v>
      </c>
      <c r="N122" s="640"/>
      <c r="O122" s="58"/>
      <c r="P122" s="58"/>
    </row>
    <row r="123" spans="1:16" hidden="1" x14ac:dyDescent="0.2">
      <c r="A123" s="744"/>
      <c r="B123" s="183"/>
      <c r="C123" s="61">
        <f t="shared" si="7"/>
        <v>6</v>
      </c>
      <c r="D123" s="183"/>
      <c r="E123" s="264"/>
      <c r="F123" s="264"/>
      <c r="G123" s="640"/>
      <c r="H123" s="640"/>
      <c r="I123" s="397"/>
      <c r="J123" s="61">
        <f t="shared" si="8"/>
        <v>12</v>
      </c>
      <c r="K123" s="183"/>
      <c r="L123" s="264"/>
      <c r="M123" s="264"/>
      <c r="N123" s="640"/>
      <c r="O123" s="58"/>
      <c r="P123" s="58"/>
    </row>
    <row r="124" spans="1:16" x14ac:dyDescent="0.2">
      <c r="A124" s="744"/>
      <c r="B124" s="183">
        <f>C125</f>
        <v>13</v>
      </c>
      <c r="C124" s="61" t="str">
        <f t="shared" si="7"/>
        <v>Brian S</v>
      </c>
      <c r="D124" s="183" t="str">
        <f>C122</f>
        <v>Mil</v>
      </c>
      <c r="E124" s="264" t="str">
        <f>C128</f>
        <v>Gerald C</v>
      </c>
      <c r="F124" s="264" t="str">
        <f>C126</f>
        <v>Keith</v>
      </c>
      <c r="G124" s="640"/>
      <c r="H124" s="640"/>
      <c r="I124" s="397">
        <f>J125</f>
        <v>7</v>
      </c>
      <c r="J124" s="61" t="str">
        <f t="shared" si="8"/>
        <v>John</v>
      </c>
      <c r="K124" s="183" t="str">
        <f>J122</f>
        <v>Gerald C</v>
      </c>
      <c r="L124" s="264" t="str">
        <f>J128</f>
        <v>Bob</v>
      </c>
      <c r="M124" s="264" t="str">
        <f>J126</f>
        <v>Tony W</v>
      </c>
      <c r="N124" s="640"/>
      <c r="O124" s="58"/>
      <c r="P124" s="58"/>
    </row>
    <row r="125" spans="1:16" hidden="1" x14ac:dyDescent="0.2">
      <c r="A125" s="744"/>
      <c r="B125" s="183"/>
      <c r="C125" s="61">
        <f t="shared" si="7"/>
        <v>13</v>
      </c>
      <c r="D125" s="183"/>
      <c r="E125" s="264"/>
      <c r="F125" s="264"/>
      <c r="G125" s="640"/>
      <c r="H125" s="640"/>
      <c r="I125" s="397"/>
      <c r="J125" s="61">
        <f t="shared" si="8"/>
        <v>7</v>
      </c>
      <c r="K125" s="183"/>
      <c r="L125" s="264"/>
      <c r="M125" s="264"/>
      <c r="N125" s="640"/>
      <c r="O125" s="58"/>
      <c r="P125" s="58"/>
    </row>
    <row r="126" spans="1:16" x14ac:dyDescent="0.2">
      <c r="A126" s="744"/>
      <c r="B126" s="183">
        <f>C127</f>
        <v>16</v>
      </c>
      <c r="C126" s="61" t="str">
        <f t="shared" si="7"/>
        <v>Keith</v>
      </c>
      <c r="D126" s="183" t="str">
        <f>C128</f>
        <v>Gerald C</v>
      </c>
      <c r="E126" s="264" t="str">
        <f>C122</f>
        <v>Mil</v>
      </c>
      <c r="F126" s="264" t="str">
        <f>C124</f>
        <v>Brian S</v>
      </c>
      <c r="G126" s="640"/>
      <c r="H126" s="640"/>
      <c r="I126" s="397">
        <f>J127</f>
        <v>10</v>
      </c>
      <c r="J126" s="61" t="str">
        <f t="shared" si="8"/>
        <v>Tony W</v>
      </c>
      <c r="K126" s="183" t="str">
        <f>J128</f>
        <v>Bob</v>
      </c>
      <c r="L126" s="264" t="str">
        <f>J122</f>
        <v>Gerald C</v>
      </c>
      <c r="M126" s="264" t="str">
        <f>J124</f>
        <v>John</v>
      </c>
      <c r="N126" s="640"/>
      <c r="O126" s="58"/>
      <c r="P126" s="58"/>
    </row>
    <row r="127" spans="1:16" hidden="1" x14ac:dyDescent="0.2">
      <c r="A127" s="744"/>
      <c r="B127" s="183"/>
      <c r="C127" s="61">
        <f t="shared" si="7"/>
        <v>16</v>
      </c>
      <c r="D127" s="183"/>
      <c r="E127" s="264"/>
      <c r="F127" s="264"/>
      <c r="G127" s="640"/>
      <c r="H127" s="640"/>
      <c r="I127" s="397"/>
      <c r="J127" s="61">
        <f t="shared" si="8"/>
        <v>10</v>
      </c>
      <c r="K127" s="183"/>
      <c r="L127" s="264"/>
      <c r="M127" s="264"/>
      <c r="N127" s="640"/>
      <c r="O127" s="58"/>
      <c r="P127" s="58"/>
    </row>
    <row r="128" spans="1:16" ht="12" thickBot="1" x14ac:dyDescent="0.25">
      <c r="A128" s="744"/>
      <c r="B128" s="184">
        <f>C129</f>
        <v>12</v>
      </c>
      <c r="C128" s="62" t="str">
        <f t="shared" si="7"/>
        <v>Gerald C</v>
      </c>
      <c r="D128" s="184" t="str">
        <f>C126</f>
        <v>Keith</v>
      </c>
      <c r="E128" s="265" t="str">
        <f>C124</f>
        <v>Brian S</v>
      </c>
      <c r="F128" s="265" t="str">
        <f>C122</f>
        <v>Mil</v>
      </c>
      <c r="G128" s="640"/>
      <c r="H128" s="640"/>
      <c r="I128" s="399">
        <f>J129</f>
        <v>10</v>
      </c>
      <c r="J128" s="62" t="str">
        <f t="shared" si="8"/>
        <v>Bob</v>
      </c>
      <c r="K128" s="184" t="str">
        <f>J126</f>
        <v>Tony W</v>
      </c>
      <c r="L128" s="265" t="str">
        <f>J124</f>
        <v>John</v>
      </c>
      <c r="M128" s="265" t="str">
        <f>J122</f>
        <v>Gerald C</v>
      </c>
      <c r="N128" s="640"/>
      <c r="O128" s="58"/>
      <c r="P128" s="58"/>
    </row>
    <row r="129" spans="1:16" hidden="1" x14ac:dyDescent="0.2">
      <c r="B129" s="711"/>
      <c r="C129" s="255">
        <f t="shared" si="7"/>
        <v>12</v>
      </c>
      <c r="D129" s="707"/>
      <c r="E129" s="708"/>
      <c r="F129" s="708"/>
      <c r="G129" s="58"/>
      <c r="H129" s="58"/>
      <c r="I129" s="416"/>
      <c r="J129" s="64">
        <f t="shared" si="8"/>
        <v>10</v>
      </c>
      <c r="K129" s="707"/>
      <c r="L129" s="708"/>
      <c r="M129" s="708"/>
      <c r="N129" s="640"/>
      <c r="O129" s="58"/>
      <c r="P129" s="58"/>
    </row>
    <row r="130" spans="1:16" x14ac:dyDescent="0.2">
      <c r="A130" s="744"/>
      <c r="B130" s="744"/>
      <c r="C130" s="744"/>
      <c r="D130" s="746"/>
      <c r="E130" s="746"/>
      <c r="F130" s="746"/>
      <c r="G130" s="640"/>
      <c r="H130" s="640"/>
      <c r="I130" s="640"/>
      <c r="J130" s="640"/>
      <c r="K130" s="746"/>
      <c r="L130" s="746"/>
      <c r="M130" s="746"/>
      <c r="N130" s="640"/>
      <c r="O130" s="58"/>
      <c r="P130" s="58"/>
    </row>
    <row r="131" spans="1:16" x14ac:dyDescent="0.2">
      <c r="A131" s="744"/>
      <c r="B131" s="744"/>
      <c r="C131" s="744"/>
      <c r="D131" s="640"/>
      <c r="E131" s="640"/>
      <c r="F131" s="640"/>
      <c r="G131" s="640"/>
      <c r="H131" s="640"/>
      <c r="I131" s="640"/>
      <c r="J131" s="640"/>
      <c r="K131" s="746"/>
      <c r="L131" s="746"/>
      <c r="M131" s="746"/>
      <c r="N131" s="640"/>
      <c r="O131" s="58"/>
      <c r="P131" s="58"/>
    </row>
    <row r="132" spans="1:16" x14ac:dyDescent="0.2">
      <c r="A132" s="744"/>
      <c r="B132" s="744"/>
      <c r="C132" s="744"/>
      <c r="D132" s="640"/>
      <c r="E132" s="640"/>
      <c r="F132" s="640"/>
      <c r="G132" s="640"/>
      <c r="H132" s="640"/>
      <c r="I132" s="640"/>
      <c r="J132" s="640"/>
      <c r="K132" s="746"/>
      <c r="L132" s="746"/>
      <c r="M132" s="746"/>
      <c r="N132" s="640"/>
      <c r="O132" s="58"/>
      <c r="P132" s="58"/>
    </row>
    <row r="133" spans="1:16" x14ac:dyDescent="0.2">
      <c r="A133" s="744"/>
      <c r="B133" s="744"/>
      <c r="C133" s="744"/>
      <c r="D133" s="640"/>
      <c r="E133" s="640"/>
      <c r="F133" s="640"/>
      <c r="G133" s="640"/>
      <c r="H133" s="640"/>
      <c r="I133" s="640"/>
      <c r="J133" s="640"/>
      <c r="K133" s="746"/>
      <c r="L133" s="746"/>
      <c r="M133" s="746"/>
      <c r="N133" s="640"/>
      <c r="O133" s="58"/>
      <c r="P133" s="58"/>
    </row>
    <row r="134" spans="1:16" x14ac:dyDescent="0.2">
      <c r="A134" s="744"/>
      <c r="B134" s="744"/>
      <c r="C134" s="744"/>
      <c r="D134" s="640"/>
      <c r="E134" s="640"/>
      <c r="F134" s="640"/>
      <c r="G134" s="640"/>
      <c r="H134" s="640"/>
      <c r="I134" s="640"/>
      <c r="J134" s="640"/>
      <c r="K134" s="746"/>
      <c r="L134" s="746"/>
      <c r="M134" s="746"/>
      <c r="N134" s="640"/>
      <c r="O134" s="58"/>
      <c r="P134" s="58"/>
    </row>
    <row r="135" spans="1:16" x14ac:dyDescent="0.2">
      <c r="D135" s="58"/>
      <c r="E135" s="58"/>
      <c r="F135" s="58"/>
      <c r="G135" s="58"/>
      <c r="H135" s="58"/>
      <c r="I135" s="58"/>
      <c r="J135" s="58"/>
      <c r="K135" s="59"/>
      <c r="L135" s="59"/>
      <c r="M135" s="59"/>
      <c r="N135" s="58"/>
      <c r="O135" s="58"/>
      <c r="P135" s="58"/>
    </row>
    <row r="136" spans="1:16" x14ac:dyDescent="0.2">
      <c r="D136" s="58"/>
      <c r="E136" s="58"/>
      <c r="F136" s="58"/>
      <c r="G136" s="58"/>
      <c r="H136" s="58"/>
      <c r="I136" s="58"/>
      <c r="J136" s="58"/>
      <c r="K136" s="59"/>
      <c r="L136" s="59"/>
      <c r="M136" s="59"/>
      <c r="N136" s="58"/>
      <c r="O136" s="58"/>
      <c r="P136" s="58"/>
    </row>
    <row r="137" spans="1:16" x14ac:dyDescent="0.2">
      <c r="D137" s="58"/>
      <c r="E137" s="58"/>
      <c r="F137" s="58"/>
      <c r="G137" s="58"/>
      <c r="H137" s="58"/>
      <c r="I137" s="58"/>
      <c r="J137" s="58"/>
      <c r="K137" s="59"/>
      <c r="L137" s="59"/>
      <c r="M137" s="59"/>
      <c r="N137" s="58"/>
      <c r="O137" s="58"/>
      <c r="P137" s="58"/>
    </row>
    <row r="138" spans="1:16" x14ac:dyDescent="0.2">
      <c r="D138" s="58"/>
      <c r="E138" s="58"/>
      <c r="F138" s="58"/>
      <c r="G138" s="58"/>
      <c r="H138" s="58"/>
      <c r="I138" s="58"/>
      <c r="J138" s="58"/>
      <c r="K138" s="59"/>
      <c r="L138" s="59"/>
      <c r="M138" s="59"/>
      <c r="N138" s="58"/>
      <c r="O138" s="58"/>
      <c r="P138" s="58"/>
    </row>
    <row r="139" spans="1:16" x14ac:dyDescent="0.2">
      <c r="D139" s="58"/>
      <c r="E139" s="58"/>
      <c r="F139" s="58"/>
      <c r="G139" s="58"/>
      <c r="H139" s="58"/>
      <c r="I139" s="58"/>
      <c r="J139" s="58"/>
      <c r="K139" s="59"/>
      <c r="L139" s="59"/>
      <c r="M139" s="59"/>
      <c r="N139" s="58"/>
      <c r="O139" s="58"/>
      <c r="P139" s="58"/>
    </row>
    <row r="140" spans="1:16" x14ac:dyDescent="0.2">
      <c r="D140" s="58"/>
      <c r="E140" s="58"/>
      <c r="F140" s="58"/>
      <c r="G140" s="58"/>
      <c r="H140" s="58"/>
      <c r="I140" s="58"/>
      <c r="J140" s="58"/>
      <c r="K140" s="59"/>
      <c r="L140" s="59"/>
      <c r="M140" s="59"/>
      <c r="N140" s="58"/>
      <c r="O140" s="58"/>
      <c r="P140" s="58"/>
    </row>
    <row r="141" spans="1:16" x14ac:dyDescent="0.2">
      <c r="D141" s="58"/>
      <c r="E141" s="58"/>
      <c r="F141" s="58"/>
      <c r="G141" s="58"/>
      <c r="H141" s="58"/>
      <c r="I141" s="58"/>
      <c r="J141" s="58"/>
      <c r="K141" s="59"/>
      <c r="L141" s="59"/>
      <c r="M141" s="59"/>
      <c r="N141" s="58"/>
      <c r="O141" s="58"/>
      <c r="P141" s="58"/>
    </row>
    <row r="142" spans="1:16" x14ac:dyDescent="0.2">
      <c r="D142" s="58"/>
      <c r="E142" s="58"/>
      <c r="F142" s="58"/>
      <c r="G142" s="58"/>
      <c r="H142" s="58"/>
      <c r="I142" s="58"/>
      <c r="J142" s="58"/>
      <c r="K142" s="59"/>
      <c r="L142" s="59"/>
      <c r="M142" s="59"/>
      <c r="N142" s="58"/>
      <c r="O142" s="58"/>
      <c r="P142" s="58"/>
    </row>
    <row r="143" spans="1:16" x14ac:dyDescent="0.2">
      <c r="D143" s="58"/>
      <c r="E143" s="58"/>
      <c r="F143" s="58"/>
      <c r="G143" s="58"/>
      <c r="H143" s="58"/>
      <c r="I143" s="58"/>
      <c r="J143" s="58"/>
      <c r="K143" s="59"/>
      <c r="L143" s="59"/>
      <c r="M143" s="59"/>
      <c r="N143" s="58"/>
      <c r="O143" s="58"/>
      <c r="P143" s="58"/>
    </row>
    <row r="144" spans="1:16" x14ac:dyDescent="0.2">
      <c r="D144" s="58"/>
      <c r="E144" s="58"/>
      <c r="F144" s="58"/>
      <c r="G144" s="58"/>
      <c r="H144" s="58"/>
      <c r="I144" s="58"/>
      <c r="J144" s="58"/>
      <c r="K144" s="59"/>
      <c r="L144" s="59"/>
      <c r="M144" s="59"/>
      <c r="N144" s="58"/>
      <c r="O144" s="58"/>
      <c r="P144" s="58"/>
    </row>
    <row r="145" spans="4:16" x14ac:dyDescent="0.2">
      <c r="D145" s="58"/>
      <c r="E145" s="58"/>
      <c r="F145" s="58"/>
      <c r="G145" s="58"/>
      <c r="H145" s="58"/>
      <c r="I145" s="58"/>
      <c r="J145" s="58"/>
      <c r="K145" s="59"/>
      <c r="L145" s="59"/>
      <c r="M145" s="59"/>
      <c r="N145" s="58"/>
      <c r="O145" s="58"/>
      <c r="P145" s="58"/>
    </row>
    <row r="146" spans="4:16" x14ac:dyDescent="0.2">
      <c r="D146" s="58"/>
      <c r="E146" s="58"/>
      <c r="F146" s="58"/>
      <c r="G146" s="58"/>
      <c r="H146" s="58"/>
      <c r="I146" s="58"/>
      <c r="J146" s="58"/>
      <c r="K146" s="59"/>
      <c r="L146" s="59"/>
      <c r="M146" s="59"/>
      <c r="N146" s="58"/>
      <c r="O146" s="58"/>
      <c r="P146" s="58"/>
    </row>
    <row r="147" spans="4:16" x14ac:dyDescent="0.2">
      <c r="D147" s="58"/>
      <c r="E147" s="58"/>
      <c r="F147" s="58"/>
      <c r="G147" s="58"/>
      <c r="H147" s="58"/>
      <c r="I147" s="58"/>
      <c r="J147" s="58"/>
      <c r="K147" s="59"/>
      <c r="L147" s="59"/>
      <c r="M147" s="59"/>
      <c r="N147" s="58"/>
      <c r="O147" s="58"/>
      <c r="P147" s="58"/>
    </row>
    <row r="148" spans="4:16" x14ac:dyDescent="0.2">
      <c r="D148" s="58"/>
      <c r="E148" s="58"/>
      <c r="F148" s="58"/>
      <c r="G148" s="58"/>
      <c r="H148" s="58"/>
      <c r="I148" s="58"/>
      <c r="J148" s="58"/>
      <c r="K148" s="59"/>
      <c r="L148" s="59"/>
      <c r="M148" s="59"/>
      <c r="N148" s="58"/>
      <c r="O148" s="58"/>
      <c r="P148" s="58"/>
    </row>
    <row r="149" spans="4:16" x14ac:dyDescent="0.2">
      <c r="D149" s="58"/>
      <c r="E149" s="58"/>
      <c r="F149" s="58"/>
      <c r="G149" s="58"/>
      <c r="H149" s="58"/>
      <c r="I149" s="58"/>
      <c r="J149" s="58"/>
      <c r="K149" s="59"/>
      <c r="L149" s="59"/>
      <c r="M149" s="59"/>
      <c r="N149" s="58"/>
      <c r="O149" s="58"/>
      <c r="P149" s="58"/>
    </row>
    <row r="150" spans="4:16" x14ac:dyDescent="0.2">
      <c r="D150" s="58"/>
      <c r="E150" s="58"/>
      <c r="F150" s="58"/>
      <c r="G150" s="58"/>
      <c r="H150" s="58"/>
      <c r="I150" s="58"/>
      <c r="J150" s="58"/>
      <c r="K150" s="59"/>
      <c r="L150" s="59"/>
      <c r="M150" s="59"/>
      <c r="N150" s="58"/>
      <c r="O150" s="58"/>
      <c r="P150" s="58"/>
    </row>
    <row r="151" spans="4:16" x14ac:dyDescent="0.2">
      <c r="D151" s="58"/>
      <c r="E151" s="58"/>
      <c r="F151" s="58"/>
      <c r="G151" s="58"/>
      <c r="H151" s="58"/>
      <c r="I151" s="58"/>
      <c r="J151" s="58"/>
      <c r="K151" s="59"/>
      <c r="L151" s="59"/>
      <c r="M151" s="59"/>
      <c r="N151" s="58"/>
      <c r="O151" s="58"/>
      <c r="P151" s="58"/>
    </row>
    <row r="152" spans="4:16" x14ac:dyDescent="0.2">
      <c r="D152" s="58"/>
      <c r="E152" s="58"/>
      <c r="F152" s="58"/>
      <c r="G152" s="58"/>
      <c r="H152" s="58"/>
      <c r="I152" s="58"/>
      <c r="J152" s="58"/>
      <c r="K152" s="59"/>
      <c r="L152" s="59"/>
      <c r="M152" s="59"/>
      <c r="N152" s="58"/>
      <c r="O152" s="58"/>
      <c r="P152" s="58"/>
    </row>
    <row r="153" spans="4:16" x14ac:dyDescent="0.2">
      <c r="D153" s="58"/>
      <c r="E153" s="58"/>
      <c r="F153" s="58"/>
      <c r="G153" s="58"/>
      <c r="H153" s="58"/>
      <c r="I153" s="58"/>
      <c r="J153" s="58"/>
      <c r="K153" s="59"/>
      <c r="L153" s="59"/>
      <c r="M153" s="59"/>
      <c r="N153" s="58"/>
      <c r="O153" s="58"/>
      <c r="P153" s="58"/>
    </row>
    <row r="154" spans="4:16" x14ac:dyDescent="0.2">
      <c r="D154" s="58"/>
      <c r="E154" s="58"/>
      <c r="F154" s="58"/>
      <c r="G154" s="58"/>
      <c r="H154" s="58"/>
      <c r="I154" s="58"/>
      <c r="J154" s="58"/>
      <c r="K154" s="59"/>
      <c r="L154" s="59"/>
      <c r="M154" s="59"/>
      <c r="N154" s="58"/>
      <c r="O154" s="58"/>
      <c r="P154" s="58"/>
    </row>
    <row r="155" spans="4:16" x14ac:dyDescent="0.2">
      <c r="D155" s="58"/>
      <c r="E155" s="58"/>
      <c r="F155" s="58"/>
      <c r="G155" s="58"/>
      <c r="H155" s="58"/>
      <c r="I155" s="58"/>
      <c r="J155" s="58"/>
      <c r="K155" s="59"/>
      <c r="L155" s="59"/>
      <c r="M155" s="59"/>
      <c r="N155" s="58"/>
      <c r="O155" s="58"/>
      <c r="P155" s="58"/>
    </row>
    <row r="156" spans="4:16" x14ac:dyDescent="0.2">
      <c r="D156" s="58"/>
      <c r="E156" s="58"/>
      <c r="F156" s="58"/>
      <c r="G156" s="58"/>
      <c r="H156" s="58"/>
      <c r="I156" s="58"/>
      <c r="J156" s="58"/>
      <c r="K156" s="59"/>
      <c r="L156" s="59"/>
      <c r="M156" s="59"/>
      <c r="N156" s="58"/>
      <c r="O156" s="58"/>
      <c r="P156" s="58"/>
    </row>
    <row r="157" spans="4:16" x14ac:dyDescent="0.2">
      <c r="D157" s="58"/>
      <c r="E157" s="58"/>
      <c r="F157" s="58"/>
      <c r="G157" s="58"/>
      <c r="H157" s="58"/>
      <c r="I157" s="58"/>
      <c r="J157" s="58"/>
      <c r="K157" s="59"/>
      <c r="L157" s="59"/>
      <c r="M157" s="59"/>
      <c r="N157" s="58"/>
      <c r="O157" s="58"/>
      <c r="P157" s="58"/>
    </row>
    <row r="158" spans="4:16" x14ac:dyDescent="0.2">
      <c r="D158" s="58"/>
      <c r="E158" s="58"/>
      <c r="F158" s="58"/>
      <c r="G158" s="58"/>
      <c r="H158" s="58"/>
      <c r="I158" s="58"/>
      <c r="J158" s="58"/>
      <c r="K158" s="59"/>
      <c r="L158" s="59"/>
      <c r="M158" s="59"/>
      <c r="N158" s="58"/>
      <c r="O158" s="58"/>
      <c r="P158" s="58"/>
    </row>
    <row r="159" spans="4:16" x14ac:dyDescent="0.2">
      <c r="D159" s="58"/>
      <c r="E159" s="58"/>
      <c r="F159" s="58"/>
      <c r="G159" s="58"/>
      <c r="H159" s="58"/>
      <c r="I159" s="58"/>
      <c r="J159" s="58"/>
      <c r="K159" s="59"/>
      <c r="L159" s="59"/>
      <c r="M159" s="59"/>
      <c r="N159" s="58"/>
      <c r="O159" s="58"/>
      <c r="P159" s="58"/>
    </row>
    <row r="160" spans="4:16" x14ac:dyDescent="0.2">
      <c r="D160" s="58"/>
      <c r="E160" s="58"/>
      <c r="F160" s="58"/>
      <c r="G160" s="58"/>
      <c r="H160" s="58"/>
      <c r="I160" s="58"/>
      <c r="J160" s="58"/>
      <c r="K160" s="59"/>
      <c r="L160" s="59"/>
      <c r="M160" s="59"/>
      <c r="N160" s="58"/>
      <c r="O160" s="58"/>
      <c r="P160" s="58"/>
    </row>
    <row r="161" spans="4:16" x14ac:dyDescent="0.2">
      <c r="D161" s="58"/>
      <c r="E161" s="58"/>
      <c r="F161" s="58"/>
      <c r="G161" s="58"/>
      <c r="H161" s="58"/>
      <c r="I161" s="58"/>
      <c r="J161" s="58"/>
      <c r="K161" s="59"/>
      <c r="L161" s="59"/>
      <c r="M161" s="59"/>
      <c r="N161" s="58"/>
      <c r="O161" s="58"/>
      <c r="P161" s="58"/>
    </row>
    <row r="162" spans="4:16" x14ac:dyDescent="0.2">
      <c r="D162" s="58"/>
      <c r="E162" s="58"/>
      <c r="F162" s="58"/>
      <c r="G162" s="58"/>
      <c r="H162" s="58"/>
      <c r="I162" s="58"/>
      <c r="J162" s="58"/>
      <c r="K162" s="59"/>
      <c r="L162" s="59"/>
      <c r="M162" s="59"/>
      <c r="N162" s="58"/>
      <c r="O162" s="58"/>
      <c r="P162" s="58"/>
    </row>
    <row r="163" spans="4:16" x14ac:dyDescent="0.2">
      <c r="D163" s="58"/>
      <c r="E163" s="58"/>
      <c r="F163" s="58"/>
      <c r="G163" s="58"/>
      <c r="H163" s="58"/>
      <c r="I163" s="58"/>
      <c r="J163" s="58"/>
      <c r="K163" s="59"/>
      <c r="L163" s="59"/>
      <c r="M163" s="59"/>
      <c r="N163" s="58"/>
      <c r="O163" s="58"/>
      <c r="P163" s="58"/>
    </row>
    <row r="164" spans="4:16" x14ac:dyDescent="0.2">
      <c r="D164" s="58"/>
      <c r="E164" s="58"/>
      <c r="F164" s="58"/>
      <c r="G164" s="58"/>
      <c r="H164" s="58"/>
      <c r="I164" s="58"/>
      <c r="J164" s="58"/>
      <c r="K164" s="59"/>
      <c r="L164" s="59"/>
      <c r="M164" s="59"/>
      <c r="N164" s="58"/>
      <c r="O164" s="58"/>
      <c r="P164" s="58"/>
    </row>
    <row r="165" spans="4:16" x14ac:dyDescent="0.2">
      <c r="D165" s="58"/>
      <c r="E165" s="58"/>
      <c r="F165" s="58"/>
      <c r="G165" s="58"/>
      <c r="H165" s="58"/>
      <c r="I165" s="58"/>
      <c r="J165" s="58"/>
      <c r="K165" s="59"/>
      <c r="L165" s="59"/>
      <c r="M165" s="59"/>
      <c r="N165" s="58"/>
      <c r="O165" s="58"/>
      <c r="P165" s="58"/>
    </row>
  </sheetData>
  <sortState xmlns:xlrd2="http://schemas.microsoft.com/office/spreadsheetml/2017/richdata2" ref="C20:S28">
    <sortCondition descending="1" ref="C20:C28"/>
  </sortState>
  <mergeCells count="4">
    <mergeCell ref="D61:F61"/>
    <mergeCell ref="K61:M61"/>
    <mergeCell ref="D96:F96"/>
    <mergeCell ref="K96:M96"/>
  </mergeCells>
  <pageMargins left="0.2" right="0.2" top="0.25" bottom="0.25" header="0.3" footer="0.3"/>
  <pageSetup scale="9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zoomScale="110" zoomScaleNormal="110" workbookViewId="0">
      <selection activeCell="D46" sqref="D46"/>
    </sheetView>
  </sheetViews>
  <sheetFormatPr defaultColWidth="8.85546875" defaultRowHeight="15" x14ac:dyDescent="0.25"/>
  <cols>
    <col min="1" max="1" width="16.42578125" customWidth="1"/>
    <col min="2" max="2" width="11.85546875" style="313" customWidth="1"/>
    <col min="3" max="5" width="10.7109375" style="313" customWidth="1"/>
    <col min="6" max="6" width="11.85546875" style="313" customWidth="1"/>
    <col min="7" max="7" width="10.85546875" style="313" customWidth="1"/>
    <col min="10" max="10" width="8.85546875" hidden="1" customWidth="1"/>
    <col min="11" max="13" width="8.85546875" style="224" hidden="1" customWidth="1"/>
  </cols>
  <sheetData>
    <row r="1" spans="1:13" s="376" customFormat="1" ht="30.75" thickBot="1" x14ac:dyDescent="0.3">
      <c r="A1" s="377" t="s">
        <v>16</v>
      </c>
      <c r="B1" s="435" t="str">
        <f>Courses!A5</f>
        <v>Eagle Mountain</v>
      </c>
      <c r="C1" s="441" t="str">
        <f>Courses!A15</f>
        <v>Wekopa Cholla</v>
      </c>
      <c r="D1" s="440" t="str">
        <f>Courses!A25</f>
        <v>Wekopa Saguaro</v>
      </c>
      <c r="E1" s="676" t="str">
        <f>Courses!A35</f>
        <v>Kierland A/M</v>
      </c>
      <c r="F1" s="677" t="str">
        <f>Courses!A56</f>
        <v>Troon N MNMT</v>
      </c>
      <c r="G1" s="442" t="s">
        <v>147</v>
      </c>
      <c r="J1" s="313" t="s">
        <v>148</v>
      </c>
      <c r="K1" s="313" t="s">
        <v>149</v>
      </c>
      <c r="L1" s="313" t="s">
        <v>150</v>
      </c>
      <c r="M1" s="313" t="s">
        <v>15</v>
      </c>
    </row>
    <row r="2" spans="1:13" x14ac:dyDescent="0.25">
      <c r="A2" s="307" t="str">
        <f>'Day 1 - Match 1'!M6</f>
        <v>Mil</v>
      </c>
      <c r="B2" s="436">
        <f>SUM('Day 1 - Match 1:Day 1 - Match 2'!N6)</f>
        <v>87</v>
      </c>
      <c r="C2" s="436">
        <f>SUM('Day 2A - Match 4:Day 2A - Match 5'!N6)</f>
        <v>93</v>
      </c>
      <c r="D2" s="436">
        <f>SUM('Day 2B - Match 7:Day 2B - Match 8'!N6)</f>
        <v>98</v>
      </c>
      <c r="E2" s="436">
        <f>SUM('Day 3 - Match 10:Day 3 - Match 11'!N6)</f>
        <v>91</v>
      </c>
      <c r="F2" s="436">
        <f>SUM('Day 4 - Front 9:Day 4 - Back 9'!N6)</f>
        <v>101</v>
      </c>
      <c r="G2" s="443" t="str">
        <f>_xlfn.IFS(M2=1,"Winner",M2=2,"2nd",M2=3,"3rd",TRUE,"")</f>
        <v/>
      </c>
      <c r="J2" s="224">
        <f>AVERAGE(B2:F2)</f>
        <v>94</v>
      </c>
      <c r="K2" s="312">
        <f>Setup!I2</f>
        <v>11.885840707964602</v>
      </c>
      <c r="L2" s="312">
        <f>J2-K2</f>
        <v>82.114159292035396</v>
      </c>
      <c r="M2" s="224">
        <f>RANK(L2,L$2:L$33,1)</f>
        <v>9</v>
      </c>
    </row>
    <row r="3" spans="1:13" hidden="1" x14ac:dyDescent="0.25">
      <c r="A3" s="277"/>
      <c r="B3" s="437"/>
      <c r="C3" s="437"/>
      <c r="D3" s="437"/>
      <c r="E3" s="437"/>
      <c r="F3" s="437"/>
      <c r="G3" s="444"/>
    </row>
    <row r="4" spans="1:13" x14ac:dyDescent="0.25">
      <c r="A4" s="277" t="str">
        <f>'Day 1 - Match 1'!M8</f>
        <v>John</v>
      </c>
      <c r="B4" s="437">
        <f>SUM('Day 1 - Match 1:Day 1 - Match 2'!N8)</f>
        <v>83</v>
      </c>
      <c r="C4" s="437">
        <f>SUM('Day 2A - Match 4:Day 2A - Match 5'!N8)</f>
        <v>91</v>
      </c>
      <c r="D4" s="437">
        <f>SUM('Day 2B - Match 7:Day 2B - Match 8'!N8)</f>
        <v>101</v>
      </c>
      <c r="E4" s="437">
        <f>SUM('Day 3 - Match 10:Day 3 - Match 11'!N8)</f>
        <v>88</v>
      </c>
      <c r="F4" s="437">
        <f>SUM('Day 4 - Front 9:Day 4 - Back 9'!N8)</f>
        <v>83</v>
      </c>
      <c r="G4" s="444" t="str">
        <f>_xlfn.IFS(M4=1,"Winner",M4=2,"2nd",M4=3,"3rd",TRUE,"")</f>
        <v>3rd</v>
      </c>
      <c r="J4" s="224">
        <f>AVERAGE(B4:F4)</f>
        <v>89.2</v>
      </c>
      <c r="K4" s="312">
        <f>Setup!I4</f>
        <v>13.893451327433628</v>
      </c>
      <c r="L4" s="312">
        <f>J4-K4</f>
        <v>75.306548672566379</v>
      </c>
      <c r="M4" s="224">
        <f>RANK(L4,L$2:L$33,1)</f>
        <v>3</v>
      </c>
    </row>
    <row r="5" spans="1:13" hidden="1" x14ac:dyDescent="0.25">
      <c r="A5" s="277"/>
      <c r="B5" s="437"/>
      <c r="C5" s="437"/>
      <c r="D5" s="437"/>
      <c r="E5" s="437"/>
      <c r="F5" s="437"/>
      <c r="G5" s="444"/>
    </row>
    <row r="6" spans="1:13" x14ac:dyDescent="0.25">
      <c r="A6" s="277" t="str">
        <f>'Day 1 - Match 1'!M10</f>
        <v>Brian P</v>
      </c>
      <c r="B6" s="437">
        <f>SUM('Day 1 - Match 1:Day 1 - Match 2'!N10)</f>
        <v>94</v>
      </c>
      <c r="C6" s="437">
        <f>SUM('Day 2A - Match 4:Day 2A - Match 5'!N10)</f>
        <v>96</v>
      </c>
      <c r="D6" s="437">
        <f>SUM('Day 2B - Match 7:Day 2B - Match 8'!N10)</f>
        <v>100</v>
      </c>
      <c r="E6" s="437">
        <f>SUM('Day 3 - Match 10:Day 3 - Match 11'!N10)</f>
        <v>89</v>
      </c>
      <c r="F6" s="437">
        <f>SUM('Day 4 - Front 9:Day 4 - Back 9'!N10)</f>
        <v>88</v>
      </c>
      <c r="G6" s="444" t="str">
        <f>_xlfn.IFS(M6=1,"Winner",M6=2,"2nd",M6=3,"3rd",TRUE,"")</f>
        <v/>
      </c>
      <c r="J6" s="224">
        <f>AVERAGE(B6:F6)</f>
        <v>93.4</v>
      </c>
      <c r="K6" s="312">
        <f>Setup!I6</f>
        <v>11.908672566371681</v>
      </c>
      <c r="L6" s="312">
        <f>J6-K6</f>
        <v>81.491327433628328</v>
      </c>
      <c r="M6" s="224">
        <f>RANK(L6,L$2:L$33,1)</f>
        <v>8</v>
      </c>
    </row>
    <row r="7" spans="1:13" hidden="1" x14ac:dyDescent="0.25">
      <c r="A7" s="277"/>
      <c r="B7" s="437"/>
      <c r="C7" s="437"/>
      <c r="D7" s="437"/>
      <c r="E7" s="437"/>
      <c r="F7" s="437"/>
      <c r="G7" s="444"/>
    </row>
    <row r="8" spans="1:13" ht="15.75" thickBot="1" x14ac:dyDescent="0.3">
      <c r="A8" s="308" t="str">
        <f>'Day 1 - Match 1'!M12</f>
        <v xml:space="preserve">Pat </v>
      </c>
      <c r="B8" s="438">
        <f>SUM('Day 1 - Match 1:Day 1 - Match 2'!N12)</f>
        <v>89</v>
      </c>
      <c r="C8" s="438">
        <f>SUM('Day 2A - Match 4:Day 2A - Match 5'!N12)</f>
        <v>91</v>
      </c>
      <c r="D8" s="438">
        <f>SUM('Day 2B - Match 7:Day 2B - Match 8'!N12)</f>
        <v>88</v>
      </c>
      <c r="E8" s="438">
        <f>SUM('Day 3 - Match 10:Day 3 - Match 11'!N12)</f>
        <v>91</v>
      </c>
      <c r="F8" s="438">
        <f>SUM('Day 4 - Front 9:Day 4 - Back 9'!N12)</f>
        <v>90</v>
      </c>
      <c r="G8" s="444" t="str">
        <f>_xlfn.IFS(M8=1,"Winner",M8=2,"2nd",M8=3,"3rd",TRUE,"")</f>
        <v/>
      </c>
      <c r="J8" s="224">
        <f>AVERAGE(B8:F8)</f>
        <v>89.8</v>
      </c>
      <c r="K8" s="312">
        <f>Setup!I8</f>
        <v>12.901061946902654</v>
      </c>
      <c r="L8" s="312">
        <f>J8-K8</f>
        <v>76.898938053097339</v>
      </c>
      <c r="M8" s="224">
        <f>RANK(L8,L$2:L$33,1)</f>
        <v>4</v>
      </c>
    </row>
    <row r="9" spans="1:13" ht="15.75" hidden="1" thickBot="1" x14ac:dyDescent="0.3">
      <c r="A9" s="420"/>
      <c r="B9" s="439"/>
      <c r="C9" s="439"/>
      <c r="D9" s="439"/>
      <c r="E9" s="439"/>
      <c r="F9" s="439"/>
      <c r="G9" s="518"/>
    </row>
    <row r="10" spans="1:13" x14ac:dyDescent="0.25">
      <c r="A10" s="513" t="str">
        <f>'Day 1 - Match 1'!M14</f>
        <v>Rick</v>
      </c>
      <c r="B10" s="436">
        <f>SUM('Day 1 - Match 1:Day 1 - Match 2'!N14)</f>
        <v>91</v>
      </c>
      <c r="C10" s="436">
        <f>SUM('Day 2A - Match 4:Day 2A - Match 5'!N14)</f>
        <v>84</v>
      </c>
      <c r="D10" s="443">
        <f>SUM('Day 2B - Match 7:Day 2B - Match 8'!N14)</f>
        <v>95</v>
      </c>
      <c r="E10" s="520">
        <f>SUM('Day 3 - Match 10:Day 3 - Match 11'!N14)</f>
        <v>84</v>
      </c>
      <c r="F10" s="436">
        <f>SUM('Day 4 - Front 9:Day 4 - Back 9'!N14)</f>
        <v>94</v>
      </c>
      <c r="G10" s="443" t="str">
        <f>_xlfn.IFS(M10=1,"Winner",M10=2,"2nd",M10=3,"3rd",TRUE,"")</f>
        <v>2nd</v>
      </c>
      <c r="J10" s="224">
        <f>AVERAGE(B10:F10)</f>
        <v>89.6</v>
      </c>
      <c r="K10" s="312">
        <f>Setup!I10</f>
        <v>14.885840707964602</v>
      </c>
      <c r="L10" s="312">
        <f>J10-K10</f>
        <v>74.71415929203539</v>
      </c>
      <c r="M10" s="224">
        <f>RANK(L10,L$2:L$33,1)</f>
        <v>2</v>
      </c>
    </row>
    <row r="11" spans="1:13" hidden="1" x14ac:dyDescent="0.25">
      <c r="A11" s="514"/>
      <c r="B11" s="437"/>
      <c r="C11" s="437"/>
      <c r="D11" s="444"/>
      <c r="E11" s="521"/>
      <c r="F11" s="437"/>
      <c r="G11" s="444"/>
    </row>
    <row r="12" spans="1:13" x14ac:dyDescent="0.25">
      <c r="A12" s="514" t="str">
        <f>'Day 1 - Match 1'!M16</f>
        <v>Keith</v>
      </c>
      <c r="B12" s="437">
        <f>SUM('Day 1 - Match 1:Day 1 - Match 2'!N16)</f>
        <v>106</v>
      </c>
      <c r="C12" s="437">
        <f>SUM('Day 2A - Match 4:Day 2A - Match 5'!N16)</f>
        <v>119</v>
      </c>
      <c r="D12" s="444">
        <f>SUM('Day 2B - Match 7:Day 2B - Match 8'!N16)</f>
        <v>121</v>
      </c>
      <c r="E12" s="521">
        <f>SUM('Day 3 - Match 10:Day 3 - Match 11'!N16)</f>
        <v>102</v>
      </c>
      <c r="F12" s="437">
        <f>SUM('Day 4 - Front 9:Day 4 - Back 9'!N16)</f>
        <v>131</v>
      </c>
      <c r="G12" s="444" t="str">
        <f>_xlfn.IFS(M12=1,"Winner",M12=2,"2nd",M12=3,"3rd",TRUE,"")</f>
        <v/>
      </c>
      <c r="J12" s="224">
        <f>AVERAGE(B12:F12)</f>
        <v>115.8</v>
      </c>
      <c r="K12" s="312">
        <f>Setup!I12</f>
        <v>32</v>
      </c>
      <c r="L12" s="312">
        <f>J12-K12</f>
        <v>83.8</v>
      </c>
      <c r="M12" s="224">
        <f>RANK(L12,L$2:L$33,1)</f>
        <v>11</v>
      </c>
    </row>
    <row r="13" spans="1:13" hidden="1" x14ac:dyDescent="0.25">
      <c r="A13" s="514"/>
      <c r="B13" s="437"/>
      <c r="C13" s="437"/>
      <c r="D13" s="444"/>
      <c r="E13" s="521"/>
      <c r="F13" s="437"/>
      <c r="G13" s="444"/>
    </row>
    <row r="14" spans="1:13" x14ac:dyDescent="0.25">
      <c r="A14" s="514" t="str">
        <f>'Day 1 - Match 1'!M18</f>
        <v>Tony W</v>
      </c>
      <c r="B14" s="437">
        <f>SUM('Day 1 - Match 1:Day 1 - Match 2'!N18)</f>
        <v>100</v>
      </c>
      <c r="C14" s="437">
        <f>SUM('Day 2A - Match 4:Day 2A - Match 5'!N18)</f>
        <v>108</v>
      </c>
      <c r="D14" s="444">
        <f>SUM('Day 2B - Match 7:Day 2B - Match 8'!N18)</f>
        <v>110</v>
      </c>
      <c r="E14" s="521">
        <f>SUM('Day 3 - Match 10:Day 3 - Match 11'!N18)</f>
        <v>109</v>
      </c>
      <c r="F14" s="437">
        <f>SUM('Day 4 - Front 9:Day 4 - Back 9'!N18)</f>
        <v>107</v>
      </c>
      <c r="G14" s="444" t="str">
        <f>_xlfn.IFS(M14=1,"Winner",M14=2,"2nd",M14=3,"3rd",TRUE,"")</f>
        <v/>
      </c>
      <c r="J14" s="224">
        <f>AVERAGE(B14:F14)</f>
        <v>106.8</v>
      </c>
      <c r="K14" s="312">
        <f>Setup!I14</f>
        <v>19.494938053097346</v>
      </c>
      <c r="L14" s="312">
        <f>J14-K14</f>
        <v>87.305061946902654</v>
      </c>
      <c r="M14" s="224">
        <f>RANK(L14,L$2:L$33,1)</f>
        <v>15</v>
      </c>
    </row>
    <row r="15" spans="1:13" hidden="1" x14ac:dyDescent="0.25">
      <c r="A15" s="514"/>
      <c r="B15" s="437"/>
      <c r="C15" s="437"/>
      <c r="D15" s="444"/>
      <c r="E15" s="521"/>
      <c r="F15" s="437"/>
      <c r="G15" s="444"/>
    </row>
    <row r="16" spans="1:13" ht="15.75" thickBot="1" x14ac:dyDescent="0.3">
      <c r="A16" s="514" t="str">
        <f>'Day 1 - Match 1'!M20</f>
        <v>Manny</v>
      </c>
      <c r="B16" s="437">
        <f>SUM('Day 1 - Match 1:Day 1 - Match 2'!N20)</f>
        <v>118</v>
      </c>
      <c r="C16" s="437">
        <f>SUM('Day 2A - Match 4:Day 2A - Match 5'!N20)</f>
        <v>108</v>
      </c>
      <c r="D16" s="444">
        <f>SUM('Day 2B - Match 7:Day 2B - Match 8'!N20)</f>
        <v>126</v>
      </c>
      <c r="E16" s="521">
        <f>SUM('Day 3 - Match 10:Day 3 - Match 11'!N20)</f>
        <v>114</v>
      </c>
      <c r="F16" s="437">
        <f>SUM('Day 4 - Front 9:Day 4 - Back 9'!N20)</f>
        <v>113</v>
      </c>
      <c r="G16" s="444" t="str">
        <f>_xlfn.IFS(M16=1,"Winner",M16=2,"2nd",M16=3,"3rd",TRUE,"")</f>
        <v/>
      </c>
      <c r="J16" s="224">
        <f>AVERAGE(B16:F16)</f>
        <v>115.8</v>
      </c>
      <c r="K16" s="312">
        <f>Setup!I16</f>
        <v>27.786902654867255</v>
      </c>
      <c r="L16" s="312">
        <f>J16-K16</f>
        <v>88.013097345132735</v>
      </c>
      <c r="M16" s="224">
        <f>RANK(L16,L$2:L$33,1)</f>
        <v>16</v>
      </c>
    </row>
    <row r="17" spans="1:13" ht="15.75" hidden="1" thickBot="1" x14ac:dyDescent="0.3">
      <c r="A17" s="715"/>
      <c r="B17" s="516"/>
      <c r="C17" s="516"/>
      <c r="D17" s="518"/>
      <c r="E17" s="522"/>
      <c r="F17" s="516"/>
      <c r="G17" s="518"/>
    </row>
    <row r="18" spans="1:13" x14ac:dyDescent="0.25">
      <c r="A18" s="513" t="str">
        <f>'Day 1 - Match 1'!M22</f>
        <v>Tommy</v>
      </c>
      <c r="B18" s="436">
        <f>SUM('Day 1 - Match 1:Day 1 - Match 2'!N22)</f>
        <v>88</v>
      </c>
      <c r="C18" s="436">
        <f>SUM('Day 2A - Match 4:Day 2A - Match 5'!N22)</f>
        <v>80</v>
      </c>
      <c r="D18" s="443">
        <f>SUM('Day 2B - Match 7:Day 2B - Match 8'!N22)</f>
        <v>79</v>
      </c>
      <c r="E18" s="520">
        <f>SUM('Day 3 - Match 10:Day 3 - Match 11'!N22)</f>
        <v>86</v>
      </c>
      <c r="F18" s="436">
        <f>SUM('Day 4 - Front 9:Day 4 - Back 9'!N22)</f>
        <v>87</v>
      </c>
      <c r="G18" s="443" t="str">
        <f>_xlfn.IFS(M18=1,"Winner",M18=2,"2nd",M18=3,"3rd",TRUE,"")</f>
        <v>Winner</v>
      </c>
      <c r="J18" s="224">
        <f>AVERAGE(B18:F18)</f>
        <v>84</v>
      </c>
      <c r="K18" s="312">
        <f>Setup!I18</f>
        <v>10.36495575221239</v>
      </c>
      <c r="L18" s="312">
        <f>J18-K18</f>
        <v>73.635044247787604</v>
      </c>
      <c r="M18" s="224">
        <f>RANK(L18,L$2:L$33,1)</f>
        <v>1</v>
      </c>
    </row>
    <row r="19" spans="1:13" hidden="1" x14ac:dyDescent="0.25">
      <c r="A19" s="514"/>
      <c r="B19" s="437"/>
      <c r="C19" s="437"/>
      <c r="D19" s="444"/>
      <c r="E19" s="521"/>
      <c r="F19" s="437"/>
      <c r="G19" s="444"/>
    </row>
    <row r="20" spans="1:13" x14ac:dyDescent="0.25">
      <c r="A20" s="514" t="str">
        <f>'Day 1 - Match 1'!M24</f>
        <v>Dave</v>
      </c>
      <c r="B20" s="437">
        <f>SUM('Day 1 - Match 1:Day 1 - Match 2'!N24)</f>
        <v>88</v>
      </c>
      <c r="C20" s="437">
        <f>SUM('Day 2A - Match 4:Day 2A - Match 5'!N24)</f>
        <v>85</v>
      </c>
      <c r="D20" s="444">
        <f>SUM('Day 2B - Match 7:Day 2B - Match 8'!N24)</f>
        <v>89</v>
      </c>
      <c r="E20" s="521">
        <f>SUM('Day 3 - Match 10:Day 3 - Match 11'!N24)</f>
        <v>90</v>
      </c>
      <c r="F20" s="437">
        <f>SUM('Day 4 - Front 9:Day 4 - Back 9'!N24)</f>
        <v>88</v>
      </c>
      <c r="G20" s="444" t="str">
        <f>_xlfn.IFS(M20=1,"Winner",M20=2,"2nd",M20=3,"3rd",TRUE,"")</f>
        <v/>
      </c>
      <c r="J20" s="224">
        <f>AVERAGE(B20:F20)</f>
        <v>88</v>
      </c>
      <c r="K20" s="312">
        <f>Setup!I20</f>
        <v>9.7033628318584082</v>
      </c>
      <c r="L20" s="312">
        <f>J20-K20</f>
        <v>78.296637168141586</v>
      </c>
      <c r="M20" s="224">
        <f>RANK(L20,L$2:L$33,1)</f>
        <v>6</v>
      </c>
    </row>
    <row r="21" spans="1:13" hidden="1" x14ac:dyDescent="0.25">
      <c r="A21" s="514"/>
      <c r="B21" s="437"/>
      <c r="C21" s="437"/>
      <c r="D21" s="444"/>
      <c r="E21" s="521"/>
      <c r="F21" s="437"/>
      <c r="G21" s="444"/>
    </row>
    <row r="22" spans="1:13" x14ac:dyDescent="0.25">
      <c r="A22" s="514" t="str">
        <f>'Day 1 - Match 1'!M26</f>
        <v>Hunter</v>
      </c>
      <c r="B22" s="437">
        <f>SUM('Day 1 - Match 1:Day 1 - Match 2'!N26)</f>
        <v>104</v>
      </c>
      <c r="C22" s="437">
        <f>SUM('Day 2A - Match 4:Day 2A - Match 5'!N26)</f>
        <v>93</v>
      </c>
      <c r="D22" s="444">
        <f>SUM('Day 2B - Match 7:Day 2B - Match 8'!N26)</f>
        <v>96</v>
      </c>
      <c r="E22" s="521">
        <f>SUM('Day 3 - Match 10:Day 3 - Match 11'!N26)</f>
        <v>88</v>
      </c>
      <c r="F22" s="437">
        <f>SUM('Day 4 - Front 9:Day 4 - Back 9'!N26)</f>
        <v>120</v>
      </c>
      <c r="G22" s="444" t="str">
        <f>_xlfn.IFS(M22=1,"Winner",M22=2,"2nd",M22=3,"3rd",TRUE,"")</f>
        <v/>
      </c>
      <c r="J22" s="224">
        <f>AVERAGE(B22:F22)</f>
        <v>100.2</v>
      </c>
      <c r="K22" s="312">
        <f>Setup!I22</f>
        <v>14.775575221238938</v>
      </c>
      <c r="L22" s="312">
        <f>J22-K22</f>
        <v>85.424424778761065</v>
      </c>
      <c r="M22" s="224">
        <f>RANK(L22,L$2:L$33,1)</f>
        <v>12</v>
      </c>
    </row>
    <row r="23" spans="1:13" hidden="1" x14ac:dyDescent="0.25">
      <c r="A23" s="514"/>
      <c r="B23" s="437"/>
      <c r="C23" s="437"/>
      <c r="D23" s="444"/>
      <c r="E23" s="521"/>
      <c r="F23" s="437"/>
      <c r="G23" s="444"/>
    </row>
    <row r="24" spans="1:13" ht="15.75" thickBot="1" x14ac:dyDescent="0.3">
      <c r="A24" s="515" t="str">
        <f>'Day 1 - Match 1'!M28</f>
        <v>Gerald C</v>
      </c>
      <c r="B24" s="438">
        <f>SUM('Day 1 - Match 1:Day 1 - Match 2'!N28)</f>
        <v>112</v>
      </c>
      <c r="C24" s="438">
        <f>SUM('Day 2A - Match 4:Day 2A - Match 5'!N28)</f>
        <v>112</v>
      </c>
      <c r="D24" s="445">
        <f>SUM('Day 2B - Match 7:Day 2B - Match 8'!N28)</f>
        <v>114</v>
      </c>
      <c r="E24" s="523">
        <f>SUM('Day 3 - Match 10:Day 3 - Match 11'!N28)</f>
        <v>107</v>
      </c>
      <c r="F24" s="438">
        <f>SUM('Day 4 - Front 9:Day 4 - Back 9'!N28)</f>
        <v>112</v>
      </c>
      <c r="G24" s="445" t="str">
        <f>_xlfn.IFS(M24=1,"Winner",M24=2,"2nd",M24=3,"3rd",TRUE,"")</f>
        <v/>
      </c>
      <c r="J24" s="224">
        <f>AVERAGE(B24:F24)</f>
        <v>111.4</v>
      </c>
      <c r="K24" s="312">
        <f>Setup!I24</f>
        <v>24.34661946902655</v>
      </c>
      <c r="L24" s="312">
        <f>J24-K24</f>
        <v>87.053380530973456</v>
      </c>
      <c r="M24" s="224">
        <f>RANK(L24,L$2:L$33,1)</f>
        <v>13</v>
      </c>
    </row>
    <row r="25" spans="1:13" ht="15.75" hidden="1" thickBot="1" x14ac:dyDescent="0.3">
      <c r="A25" s="716"/>
      <c r="B25" s="517"/>
      <c r="C25" s="517"/>
      <c r="D25" s="519"/>
      <c r="E25" s="524"/>
      <c r="F25" s="517"/>
      <c r="G25" s="519"/>
    </row>
    <row r="26" spans="1:13" x14ac:dyDescent="0.25">
      <c r="A26" s="513" t="str">
        <f>'Day 1 - Match 1'!M30</f>
        <v>Bob</v>
      </c>
      <c r="B26" s="436">
        <f>SUM('Day 1 - Match 1:Day 1 - Match 2'!N30)</f>
        <v>100</v>
      </c>
      <c r="C26" s="436">
        <f>SUM('Day 2A - Match 4:Day 2A - Match 5'!N30)</f>
        <v>91</v>
      </c>
      <c r="D26" s="443">
        <f>SUM('Day 2B - Match 7:Day 2B - Match 8'!N30)</f>
        <v>98</v>
      </c>
      <c r="E26" s="520">
        <f>SUM('Day 3 - Match 10:Day 3 - Match 11'!N30)</f>
        <v>110</v>
      </c>
      <c r="F26" s="436">
        <f>SUM('Day 4 - Front 9:Day 4 - Back 9'!N30)</f>
        <v>90</v>
      </c>
      <c r="G26" s="444" t="str">
        <f>_xlfn.IFS(M26=1,"Winner",M26=2,"2nd",M26=3,"3rd",TRUE,"")</f>
        <v/>
      </c>
      <c r="J26" s="224">
        <f>AVERAGE(B26:F26)</f>
        <v>97.8</v>
      </c>
      <c r="K26" s="312">
        <f>Setup!I26</f>
        <v>19.958053097345136</v>
      </c>
      <c r="L26" s="312">
        <f>J26-K26</f>
        <v>77.841946902654854</v>
      </c>
      <c r="M26" s="224">
        <f>RANK(L26,L$2:L$33,1)</f>
        <v>5</v>
      </c>
    </row>
    <row r="27" spans="1:13" hidden="1" x14ac:dyDescent="0.25">
      <c r="A27" s="514"/>
      <c r="B27" s="437"/>
      <c r="C27" s="437"/>
      <c r="D27" s="444"/>
      <c r="E27" s="521"/>
      <c r="F27" s="437"/>
      <c r="G27" s="444"/>
    </row>
    <row r="28" spans="1:13" x14ac:dyDescent="0.25">
      <c r="A28" s="514" t="str">
        <f>'Day 1 - Match 1'!M32</f>
        <v>Patrick</v>
      </c>
      <c r="B28" s="437">
        <f>SUM('Day 1 - Match 1:Day 1 - Match 2'!N32)</f>
        <v>107</v>
      </c>
      <c r="C28" s="437">
        <f>SUM('Day 2A - Match 4:Day 2A - Match 5'!N32)</f>
        <v>103</v>
      </c>
      <c r="D28" s="444">
        <f>SUM('Day 2B - Match 7:Day 2B - Match 8'!N32)</f>
        <v>100</v>
      </c>
      <c r="E28" s="521">
        <f>SUM('Day 3 - Match 10:Day 3 - Match 11'!N32)</f>
        <v>100</v>
      </c>
      <c r="F28" s="437">
        <f>SUM('Day 4 - Front 9:Day 4 - Back 9'!N32)</f>
        <v>103</v>
      </c>
      <c r="G28" s="444" t="str">
        <f>_xlfn.IFS(M28=1,"Winner",M28=2,"2nd",M28=3,"3rd",TRUE,"")</f>
        <v/>
      </c>
      <c r="J28" s="224">
        <f>AVERAGE(B28:F28)</f>
        <v>102.6</v>
      </c>
      <c r="K28" s="312">
        <f>Setup!I28</f>
        <v>15.43716814159292</v>
      </c>
      <c r="L28" s="312">
        <f>J28-K28</f>
        <v>87.162831858407074</v>
      </c>
      <c r="M28" s="224">
        <f>RANK(L28,L$2:L$33,1)</f>
        <v>14</v>
      </c>
    </row>
    <row r="29" spans="1:13" hidden="1" x14ac:dyDescent="0.25">
      <c r="A29" s="514"/>
      <c r="B29" s="437"/>
      <c r="C29" s="437"/>
      <c r="D29" s="444"/>
      <c r="E29" s="521"/>
      <c r="F29" s="437"/>
      <c r="G29" s="444"/>
    </row>
    <row r="30" spans="1:13" x14ac:dyDescent="0.25">
      <c r="A30" s="514" t="str">
        <f>'Day 1 - Match 1'!M34</f>
        <v>Brian S</v>
      </c>
      <c r="B30" s="437">
        <f>SUM('Day 1 - Match 1:Day 1 - Match 2'!N34)</f>
        <v>101</v>
      </c>
      <c r="C30" s="437">
        <f>SUM('Day 2A - Match 4:Day 2A - Match 5'!N34)</f>
        <v>110</v>
      </c>
      <c r="D30" s="444">
        <f>SUM('Day 2B - Match 7:Day 2B - Match 8'!N34)</f>
        <v>105</v>
      </c>
      <c r="E30" s="521">
        <f>SUM('Day 3 - Match 10:Day 3 - Match 11'!N34)</f>
        <v>107</v>
      </c>
      <c r="F30" s="437">
        <f>SUM('Day 4 - Front 9:Day 4 - Back 9'!N34)</f>
        <v>114</v>
      </c>
      <c r="G30" s="444" t="str">
        <f>_xlfn.IFS(M30=1,"Winner",M30=2,"2nd",M30=3,"3rd",TRUE,"")</f>
        <v/>
      </c>
      <c r="J30" s="224">
        <f>AVERAGE(B30:F30)</f>
        <v>107.4</v>
      </c>
      <c r="K30" s="312">
        <f>Setup!I30</f>
        <v>26.1329203539823</v>
      </c>
      <c r="L30" s="312">
        <f>J30-K30</f>
        <v>81.267079646017706</v>
      </c>
      <c r="M30" s="224">
        <f>RANK(L30,L$2:L$33,1)</f>
        <v>7</v>
      </c>
    </row>
    <row r="31" spans="1:13" hidden="1" x14ac:dyDescent="0.25">
      <c r="A31" s="514"/>
      <c r="B31" s="437"/>
      <c r="C31" s="437"/>
      <c r="D31" s="444"/>
      <c r="E31" s="521"/>
      <c r="F31" s="437"/>
      <c r="G31" s="444"/>
    </row>
    <row r="32" spans="1:13" ht="15.75" thickBot="1" x14ac:dyDescent="0.3">
      <c r="A32" s="515" t="str">
        <f>'Day 1 - Match 1'!M36</f>
        <v>Chris</v>
      </c>
      <c r="B32" s="438">
        <f>SUM('Day 1 - Match 1:Day 1 - Match 2'!N36)</f>
        <v>113</v>
      </c>
      <c r="C32" s="438">
        <f>SUM('Day 2A - Match 4:Day 2A - Match 5'!N36)</f>
        <v>103</v>
      </c>
      <c r="D32" s="445">
        <f>SUM('Day 2B - Match 7:Day 2B - Match 8'!N36)</f>
        <v>117</v>
      </c>
      <c r="E32" s="523">
        <f>SUM('Day 3 - Match 10:Day 3 - Match 11'!N36)</f>
        <v>107</v>
      </c>
      <c r="F32" s="438">
        <f>SUM('Day 4 - Front 9:Day 4 - Back 9'!N36)</f>
        <v>122</v>
      </c>
      <c r="G32" s="445" t="str">
        <f>_xlfn.IFS(M32=1,"Winner",M32=2,"2nd",M32=3,"3rd",TRUE,"")</f>
        <v/>
      </c>
      <c r="J32" s="224">
        <f>AVERAGE(B32:F32)</f>
        <v>112.4</v>
      </c>
      <c r="K32" s="312">
        <f>Setup!I32</f>
        <v>29.881946902654871</v>
      </c>
      <c r="L32" s="312">
        <f>J32-K32</f>
        <v>82.518053097345131</v>
      </c>
      <c r="M32" s="224">
        <f>RANK(L32,L$2:L$33,1)</f>
        <v>10</v>
      </c>
    </row>
    <row r="33" spans="1:7" hidden="1" x14ac:dyDescent="0.25">
      <c r="A33" s="712"/>
      <c r="B33" s="439"/>
      <c r="C33" s="439"/>
      <c r="D33" s="713"/>
      <c r="E33" s="714"/>
      <c r="F33" s="439"/>
      <c r="G33" s="519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107"/>
  <sheetViews>
    <sheetView zoomScaleNormal="100" workbookViewId="0">
      <selection activeCell="N45" sqref="N45"/>
    </sheetView>
  </sheetViews>
  <sheetFormatPr defaultColWidth="9.140625" defaultRowHeight="15" x14ac:dyDescent="0.25"/>
  <cols>
    <col min="1" max="1" width="18.42578125" style="96" customWidth="1"/>
    <col min="2" max="4" width="9.28515625" style="97" customWidth="1"/>
    <col min="5" max="10" width="9.28515625" style="96" customWidth="1"/>
    <col min="11" max="11" width="9.28515625" style="97" customWidth="1"/>
    <col min="12" max="12" width="9.28515625" style="112" customWidth="1"/>
    <col min="13" max="13" width="9.28515625" style="108" customWidth="1"/>
    <col min="14" max="15" width="9.28515625" customWidth="1"/>
    <col min="16" max="16" width="9.28515625" style="96" customWidth="1"/>
    <col min="17" max="17" width="9.28515625" style="224" customWidth="1"/>
    <col min="18" max="20" width="9.28515625" style="96" customWidth="1"/>
    <col min="21" max="21" width="9.140625" style="96" customWidth="1"/>
    <col min="22" max="27" width="9.140625" style="96" hidden="1" customWidth="1"/>
    <col min="28" max="32" width="9.140625" style="97" hidden="1" customWidth="1"/>
    <col min="33" max="33" width="11.42578125" style="97" hidden="1" customWidth="1"/>
    <col min="34" max="46" width="9.140625" style="97" hidden="1" customWidth="1"/>
    <col min="47" max="47" width="11.42578125" style="97" hidden="1" customWidth="1"/>
    <col min="48" max="56" width="9.140625" style="97" hidden="1" customWidth="1"/>
    <col min="57" max="57" width="0" style="97" hidden="1" customWidth="1"/>
    <col min="58" max="58" width="0" style="96" hidden="1" customWidth="1"/>
    <col min="59" max="16384" width="9.140625" style="96"/>
  </cols>
  <sheetData>
    <row r="1" spans="1:60" ht="37.5" customHeight="1" thickBot="1" x14ac:dyDescent="0.25">
      <c r="A1" s="431" t="s">
        <v>16</v>
      </c>
      <c r="B1" s="95" t="s">
        <v>54</v>
      </c>
      <c r="C1" s="93" t="s">
        <v>55</v>
      </c>
      <c r="D1" s="94" t="s">
        <v>76</v>
      </c>
      <c r="E1" s="94" t="s">
        <v>84</v>
      </c>
      <c r="F1" s="201" t="s">
        <v>4</v>
      </c>
      <c r="G1" s="195" t="s">
        <v>5</v>
      </c>
      <c r="H1" s="221" t="s">
        <v>6</v>
      </c>
      <c r="I1" s="110" t="s">
        <v>51</v>
      </c>
      <c r="J1" s="201" t="s">
        <v>86</v>
      </c>
      <c r="K1" s="195" t="s">
        <v>87</v>
      </c>
      <c r="L1" s="196" t="s">
        <v>88</v>
      </c>
      <c r="M1" s="201" t="s">
        <v>85</v>
      </c>
      <c r="N1" s="195" t="s">
        <v>89</v>
      </c>
      <c r="O1" s="221" t="s">
        <v>90</v>
      </c>
      <c r="P1" s="201" t="s">
        <v>48</v>
      </c>
      <c r="Q1" s="195" t="s">
        <v>49</v>
      </c>
      <c r="R1" s="196" t="s">
        <v>50</v>
      </c>
      <c r="S1" s="344" t="s">
        <v>91</v>
      </c>
      <c r="T1" s="344" t="s">
        <v>143</v>
      </c>
      <c r="AA1" s="273"/>
      <c r="AE1" s="97">
        <v>1</v>
      </c>
      <c r="AF1" s="97">
        <v>2</v>
      </c>
      <c r="AG1" s="97">
        <v>3</v>
      </c>
      <c r="AH1" s="97">
        <v>4</v>
      </c>
      <c r="AI1" s="97">
        <v>5</v>
      </c>
      <c r="AJ1" s="97">
        <v>6</v>
      </c>
      <c r="AK1" s="97">
        <v>7</v>
      </c>
      <c r="AL1" s="97">
        <v>8</v>
      </c>
      <c r="AM1" s="97">
        <v>9</v>
      </c>
      <c r="AN1" s="97">
        <v>10</v>
      </c>
      <c r="AQ1" s="97" t="s">
        <v>106</v>
      </c>
      <c r="AY1" s="97" t="s">
        <v>30</v>
      </c>
      <c r="AZ1" s="97" t="s">
        <v>20</v>
      </c>
      <c r="BA1" s="97" t="s">
        <v>21</v>
      </c>
      <c r="BB1" s="97" t="s">
        <v>22</v>
      </c>
      <c r="BG1" s="96" t="s">
        <v>174</v>
      </c>
      <c r="BH1" s="96" t="s">
        <v>175</v>
      </c>
    </row>
    <row r="2" spans="1:60" ht="12.75" x14ac:dyDescent="0.2">
      <c r="A2" s="346" t="str">
        <f>Setup!B2</f>
        <v>Mil</v>
      </c>
      <c r="B2" s="429">
        <f t="shared" ref="B2:B28" si="0">SUM(F2:I2)</f>
        <v>4</v>
      </c>
      <c r="C2" s="98">
        <f t="shared" ref="C2:C28" si="1">SUM(J2:O2)</f>
        <v>6</v>
      </c>
      <c r="D2" s="206">
        <f>SUM(P2:T2)</f>
        <v>5</v>
      </c>
      <c r="E2" s="355">
        <f>N38</f>
        <v>0</v>
      </c>
      <c r="F2" s="197">
        <f>'Day 1 - Match 1'!O6</f>
        <v>1</v>
      </c>
      <c r="G2" s="98">
        <f>'Day 1 - Match 2'!O6</f>
        <v>0</v>
      </c>
      <c r="H2" s="199">
        <f>'Day 1 - Match 3'!O6</f>
        <v>1</v>
      </c>
      <c r="I2" s="235">
        <f>F38</f>
        <v>2</v>
      </c>
      <c r="J2" s="99">
        <f>'Day 2A - Match 4'!O6</f>
        <v>0</v>
      </c>
      <c r="K2" s="100">
        <f>'Day 2A - Match 5'!O6</f>
        <v>0</v>
      </c>
      <c r="L2" s="199">
        <f>'Day 2A - Match 6'!O6</f>
        <v>0</v>
      </c>
      <c r="M2" s="99">
        <f>'Day 2B - Match 7'!O6</f>
        <v>2</v>
      </c>
      <c r="N2" s="100">
        <f>'Day 2B - Match 8'!O6</f>
        <v>2</v>
      </c>
      <c r="O2" s="268">
        <f>'Day 2B - Match 9'!O6</f>
        <v>2</v>
      </c>
      <c r="P2" s="99">
        <f>'Day 3 - Match 10'!O6</f>
        <v>1</v>
      </c>
      <c r="Q2" s="100">
        <f>'Day 3 - Match 11'!O6</f>
        <v>2</v>
      </c>
      <c r="R2" s="268">
        <f>'Day 3 - Match 12'!O6</f>
        <v>2</v>
      </c>
      <c r="S2" s="622">
        <f>J38</f>
        <v>0</v>
      </c>
      <c r="T2" s="235">
        <f>Scramble!AG6</f>
        <v>0</v>
      </c>
      <c r="U2" s="96" t="str">
        <f>A2</f>
        <v>Mil</v>
      </c>
      <c r="AA2" s="273"/>
      <c r="AB2" s="97">
        <v>1</v>
      </c>
      <c r="AC2" s="97">
        <f>COUNTIF($M$38:$M$53,AB2)</f>
        <v>1</v>
      </c>
      <c r="AD2" s="298">
        <f>Setup!C49</f>
        <v>12</v>
      </c>
      <c r="AE2" s="97">
        <f>IF($AC2=AE$1,$AD2,0)</f>
        <v>12</v>
      </c>
      <c r="AF2" s="97">
        <f>IF($AC2=$AF$1,SUM($AD2:$AD4)/$AF$1,0)</f>
        <v>0</v>
      </c>
      <c r="AG2" s="97">
        <f>IF($AC2=$AG$1,SUM($AD2:$AD6)/$AG$1,0)</f>
        <v>0</v>
      </c>
      <c r="AH2" s="97">
        <f>IF($AC2=$AH$1,SUM($AD2:$AD8)/$AH$1,0)</f>
        <v>0</v>
      </c>
      <c r="AI2" s="97">
        <f>IF($AC2=AI$1,SUM($AD2:$AD10)/AI$1,0)</f>
        <v>0</v>
      </c>
      <c r="AJ2" s="97">
        <f>IF($AC2=AJ$1,SUM($AD2:$AD12)/AJ$1,0)</f>
        <v>0</v>
      </c>
      <c r="AK2" s="97">
        <f>IF($AC2=AK$1,SUM($AD2:$AD14)/AK$1,0)</f>
        <v>0</v>
      </c>
      <c r="AO2" s="97">
        <f ca="1">COUNTIF(Results!R$5:R$36,AB2)</f>
        <v>1</v>
      </c>
      <c r="AQ2" s="97">
        <f>IF($AC2=AE$1,Setup!$C$42,0)</f>
        <v>700</v>
      </c>
      <c r="AU2" s="96" t="str">
        <f ca="1">IF(Results!$R5=$AB$2,Results!AV5,"")</f>
        <v/>
      </c>
      <c r="AV2" s="96" t="str">
        <f ca="1">IF(Results!$R5=$AB$4,Results!AW5,"")</f>
        <v/>
      </c>
      <c r="AW2" s="96" t="str">
        <f ca="1">IF(Results!$R5=$AB$6,Results!AX5,"")</f>
        <v/>
      </c>
      <c r="AX2" s="96" t="str">
        <f ca="1">IF(Results!$R5=$AB$8,Results!AY5,"")</f>
        <v/>
      </c>
      <c r="AY2" s="97" t="str">
        <f ca="1">IF(Results!R5=AB$2,"Winner","")</f>
        <v/>
      </c>
      <c r="AZ2" s="97" t="str">
        <f ca="1">IF(Results!R5=AB$4,"2nd Place","")</f>
        <v/>
      </c>
      <c r="BA2" s="97" t="str">
        <f ca="1">IF(Results!R5=AB$6,"3rd Place","")</f>
        <v/>
      </c>
      <c r="BB2" s="97" t="str">
        <f ca="1">IF(Results!R5=AB$8,"4th Place","")</f>
        <v/>
      </c>
      <c r="BD2" s="109" t="str">
        <f ca="1">IF(ISNUMBER(FIND("Winner",Results!J5)),Setup!C$42,IF(ISNUMBER(FIND("2nd Place",Results!J5)),Setup!C$43,IF(ISNUMBER(FIND("3rd Place",Results!J5)),Setup!C$44,"")))</f>
        <v/>
      </c>
      <c r="BF2" s="97"/>
      <c r="BG2" s="783">
        <f>SUM(F2:O2)</f>
        <v>10</v>
      </c>
      <c r="BH2" s="783">
        <f>SUM(P2:T2)+BG2</f>
        <v>15</v>
      </c>
    </row>
    <row r="3" spans="1:60" ht="12.75" hidden="1" x14ac:dyDescent="0.2">
      <c r="A3" s="347"/>
      <c r="B3" s="430"/>
      <c r="C3" s="101"/>
      <c r="D3" s="207"/>
      <c r="E3" s="348"/>
      <c r="F3" s="198"/>
      <c r="G3" s="101"/>
      <c r="H3" s="200"/>
      <c r="I3" s="225"/>
      <c r="J3" s="103"/>
      <c r="K3" s="104"/>
      <c r="L3" s="200"/>
      <c r="M3" s="103"/>
      <c r="N3" s="104"/>
      <c r="O3" s="102"/>
      <c r="P3" s="103"/>
      <c r="Q3" s="104"/>
      <c r="R3" s="102"/>
      <c r="S3" s="623"/>
      <c r="T3" s="347"/>
      <c r="AA3" s="273"/>
      <c r="AD3" s="298"/>
      <c r="AU3" s="96"/>
      <c r="AV3" s="96"/>
      <c r="AW3" s="96"/>
      <c r="AX3" s="96"/>
      <c r="BD3" s="109"/>
      <c r="BF3" s="97"/>
    </row>
    <row r="4" spans="1:60" ht="12.75" x14ac:dyDescent="0.2">
      <c r="A4" s="347" t="str">
        <f>Setup!B4</f>
        <v>John</v>
      </c>
      <c r="B4" s="430">
        <f t="shared" si="0"/>
        <v>7</v>
      </c>
      <c r="C4" s="101">
        <f t="shared" si="1"/>
        <v>7</v>
      </c>
      <c r="D4" s="207">
        <f>SUM(P4:T4)</f>
        <v>9</v>
      </c>
      <c r="E4" s="348">
        <f>N39</f>
        <v>12</v>
      </c>
      <c r="F4" s="198">
        <f>'Day 1 - Match 1'!O8</f>
        <v>1</v>
      </c>
      <c r="G4" s="101">
        <f>'Day 1 - Match 2'!O8</f>
        <v>2</v>
      </c>
      <c r="H4" s="200">
        <f>'Day 1 - Match 3'!O8</f>
        <v>2</v>
      </c>
      <c r="I4" s="225">
        <f>F39</f>
        <v>2</v>
      </c>
      <c r="J4" s="103">
        <f>'Day 2A - Match 4'!O8</f>
        <v>2</v>
      </c>
      <c r="K4" s="104">
        <f>'Day 2A - Match 5'!O8</f>
        <v>1</v>
      </c>
      <c r="L4" s="200">
        <f>'Day 2A - Match 6'!O8</f>
        <v>2</v>
      </c>
      <c r="M4" s="103">
        <f>'Day 2B - Match 7'!O8</f>
        <v>2</v>
      </c>
      <c r="N4" s="104">
        <f>'Day 2B - Match 8'!O8</f>
        <v>0</v>
      </c>
      <c r="O4" s="102">
        <f>'Day 2B - Match 9'!O8</f>
        <v>0</v>
      </c>
      <c r="P4" s="103">
        <f>'Day 3 - Match 10'!O8</f>
        <v>2</v>
      </c>
      <c r="Q4" s="104">
        <f>'Day 3 - Match 11'!O8</f>
        <v>2</v>
      </c>
      <c r="R4" s="102">
        <f>'Day 3 - Match 12'!O8</f>
        <v>2</v>
      </c>
      <c r="S4" s="623">
        <f>J39</f>
        <v>2</v>
      </c>
      <c r="T4" s="225">
        <f>Scramble!AG8</f>
        <v>1</v>
      </c>
      <c r="U4" s="96" t="str">
        <f t="shared" ref="U4:U32" si="2">A4</f>
        <v>John</v>
      </c>
      <c r="AA4" s="273"/>
      <c r="AB4" s="97">
        <v>2</v>
      </c>
      <c r="AC4" s="97">
        <f>COUNTIF($M$38:$M$53,AB4)</f>
        <v>1</v>
      </c>
      <c r="AD4" s="298">
        <f>Setup!C50</f>
        <v>10</v>
      </c>
      <c r="AE4" s="97">
        <f>IF($AC4=AE$1,$AD4,0)</f>
        <v>10</v>
      </c>
      <c r="AF4" s="97">
        <f>IF($AC4=$AF$1,SUM($AD4:$AD6)/$AF$1,0)</f>
        <v>0</v>
      </c>
      <c r="AG4" s="97">
        <f>IF($AC4=$AG$1,SUM($AD4:$AD8)/$AG$1,0)</f>
        <v>0</v>
      </c>
      <c r="AH4" s="97">
        <f>IF($AC4=$AH$1,SUM($AD4:$AD10)/$AH$1,0)</f>
        <v>0</v>
      </c>
      <c r="AI4" s="97">
        <f>IF($AC4=AI$1,SUM($AD4:$AD12)/AI$1,0)</f>
        <v>0</v>
      </c>
      <c r="AJ4" s="97">
        <f>IF($AC4=AJ$1,SUM($AD4:$AD14)/AJ$1,0)</f>
        <v>0</v>
      </c>
      <c r="AK4" s="97">
        <f>IF($AC4=AK$1,SUM($AD4:$AD16)/AK$1,0)</f>
        <v>0</v>
      </c>
      <c r="AO4" s="97">
        <f ca="1">COUNTIF(Results!R$5:R$36,AB4)</f>
        <v>1</v>
      </c>
      <c r="AU4" s="96">
        <f ca="1">IF(Results!$R7=$AB$2,Results!AV7,"")</f>
        <v>700</v>
      </c>
      <c r="AV4" s="96" t="str">
        <f ca="1">IF(Results!$R7=$AB$4,Results!AW7,"")</f>
        <v/>
      </c>
      <c r="AW4" s="96" t="str">
        <f ca="1">IF(Results!$R7=$AB$6,Results!AX7,"")</f>
        <v/>
      </c>
      <c r="AX4" s="96" t="str">
        <f ca="1">IF(Results!$R7=$AB$8,Results!AY7,"")</f>
        <v/>
      </c>
      <c r="AY4" s="97" t="str">
        <f ca="1">IF(Results!R7=AB$2,"Winner","")</f>
        <v>Winner</v>
      </c>
      <c r="AZ4" s="97" t="str">
        <f ca="1">IF(Results!R7=AB$4,"2nd Place","")</f>
        <v/>
      </c>
      <c r="BA4" s="97" t="str">
        <f ca="1">IF(Results!R7=AB$6,"3rd Place","")</f>
        <v/>
      </c>
      <c r="BB4" s="97" t="str">
        <f ca="1">IF(Results!R7=AB$8,"4th Place","")</f>
        <v/>
      </c>
      <c r="BD4" s="109">
        <f ca="1">IF(ISNUMBER(FIND("Winner",Results!J7)),Setup!C$42,IF(ISNUMBER(FIND("2nd Place",Results!J7)),Setup!C$43,IF(ISNUMBER(FIND("3rd Place",Results!J7)),Setup!C$44,"")))</f>
        <v>700</v>
      </c>
      <c r="BF4" s="97"/>
      <c r="BG4" s="783">
        <f t="shared" ref="BG4:BG32" si="3">SUM(F4:O4)</f>
        <v>14</v>
      </c>
      <c r="BH4" s="783">
        <f t="shared" ref="BH4:BH32" si="4">SUM(P4:T4)+BG4</f>
        <v>23</v>
      </c>
    </row>
    <row r="5" spans="1:60" ht="12.75" hidden="1" x14ac:dyDescent="0.2">
      <c r="A5" s="347"/>
      <c r="B5" s="430"/>
      <c r="C5" s="101"/>
      <c r="D5" s="207"/>
      <c r="E5" s="348"/>
      <c r="F5" s="198"/>
      <c r="G5" s="101"/>
      <c r="H5" s="200"/>
      <c r="I5" s="225"/>
      <c r="J5" s="103"/>
      <c r="K5" s="104"/>
      <c r="L5" s="200"/>
      <c r="M5" s="103"/>
      <c r="N5" s="104"/>
      <c r="O5" s="102"/>
      <c r="P5" s="103"/>
      <c r="Q5" s="104"/>
      <c r="R5" s="102"/>
      <c r="S5" s="623"/>
      <c r="T5" s="347"/>
      <c r="U5" s="96">
        <f t="shared" si="2"/>
        <v>0</v>
      </c>
      <c r="AA5" s="273"/>
      <c r="AD5" s="298"/>
      <c r="AU5" s="96"/>
      <c r="AV5" s="96"/>
      <c r="AW5" s="96"/>
      <c r="AX5" s="96"/>
      <c r="BD5" s="109"/>
      <c r="BF5" s="97"/>
      <c r="BG5" s="783">
        <f t="shared" si="3"/>
        <v>0</v>
      </c>
      <c r="BH5" s="783">
        <f t="shared" si="4"/>
        <v>0</v>
      </c>
    </row>
    <row r="6" spans="1:60" ht="12.75" x14ac:dyDescent="0.2">
      <c r="A6" s="347" t="str">
        <f>Setup!B6</f>
        <v>Brian P</v>
      </c>
      <c r="B6" s="430">
        <f t="shared" si="0"/>
        <v>2</v>
      </c>
      <c r="C6" s="101">
        <f t="shared" si="1"/>
        <v>10</v>
      </c>
      <c r="D6" s="207">
        <f>SUM(P6:T6)</f>
        <v>9</v>
      </c>
      <c r="E6" s="348">
        <f>N40</f>
        <v>8.5</v>
      </c>
      <c r="F6" s="198">
        <f>'Day 1 - Match 1'!O10</f>
        <v>0</v>
      </c>
      <c r="G6" s="101">
        <f>'Day 1 - Match 2'!O10</f>
        <v>2</v>
      </c>
      <c r="H6" s="200">
        <f>'Day 1 - Match 3'!O10</f>
        <v>0</v>
      </c>
      <c r="I6" s="225">
        <f>F40</f>
        <v>0</v>
      </c>
      <c r="J6" s="103">
        <f>'Day 2A - Match 4'!O10</f>
        <v>2</v>
      </c>
      <c r="K6" s="104">
        <f>'Day 2A - Match 5'!O10</f>
        <v>2</v>
      </c>
      <c r="L6" s="200">
        <f>'Day 2A - Match 6'!O10</f>
        <v>2</v>
      </c>
      <c r="M6" s="103">
        <f>'Day 2B - Match 7'!O10</f>
        <v>0</v>
      </c>
      <c r="N6" s="104">
        <f>'Day 2B - Match 8'!O10</f>
        <v>2</v>
      </c>
      <c r="O6" s="102">
        <f>'Day 2B - Match 9'!O10</f>
        <v>2</v>
      </c>
      <c r="P6" s="103">
        <f>'Day 3 - Match 10'!O10</f>
        <v>0</v>
      </c>
      <c r="Q6" s="104">
        <f>'Day 3 - Match 11'!O10</f>
        <v>2</v>
      </c>
      <c r="R6" s="102">
        <f>'Day 3 - Match 12'!O10</f>
        <v>2</v>
      </c>
      <c r="S6" s="623">
        <f>J40</f>
        <v>2</v>
      </c>
      <c r="T6" s="225">
        <f>Scramble!AG10</f>
        <v>3</v>
      </c>
      <c r="U6" s="96" t="str">
        <f t="shared" si="2"/>
        <v>Brian P</v>
      </c>
      <c r="AA6" s="273"/>
      <c r="AB6" s="97">
        <v>3</v>
      </c>
      <c r="AC6" s="97">
        <f>COUNTIF($M$38:$M$53,AB6)</f>
        <v>1</v>
      </c>
      <c r="AD6" s="298">
        <f>Setup!C51</f>
        <v>8.5</v>
      </c>
      <c r="AE6" s="97">
        <f>IF($AC6=AE$1,$AD6,0)</f>
        <v>8.5</v>
      </c>
      <c r="AF6" s="97">
        <f>IF($AC6=$AF$1,SUM($AD6:$AD8)/$AF$1,0)</f>
        <v>0</v>
      </c>
      <c r="AG6" s="97">
        <f>IF($AC6=$AG$1,SUM($AD6:$AD10)/$AG$1,0)</f>
        <v>0</v>
      </c>
      <c r="AH6" s="97">
        <f>IF($AC6=$AH$1,SUM($AD6:$AD12)/$AH$1,0)</f>
        <v>0</v>
      </c>
      <c r="AI6" s="97">
        <f>IF($AC6=AI$1,SUM($AD6:$AD14)/AI$1,0)</f>
        <v>0</v>
      </c>
      <c r="AJ6" s="97">
        <f>IF($AC6=AJ$1,SUM($AD6:$AD16)/AJ$1,0)</f>
        <v>0</v>
      </c>
      <c r="AK6" s="97">
        <f>IF($AC6=AK$1,SUM($AD6:$AD18)/AK$1,0)</f>
        <v>0</v>
      </c>
      <c r="AO6" s="97">
        <f ca="1">COUNTIF(Results!R$5:R$36,AB6)</f>
        <v>1</v>
      </c>
      <c r="AU6" s="96" t="str">
        <f ca="1">IF(Results!$R9=$AB$2,Results!AV9,"")</f>
        <v/>
      </c>
      <c r="AV6" s="96" t="str">
        <f ca="1">IF(Results!$R9=$AB$4,Results!AW9,"")</f>
        <v/>
      </c>
      <c r="AW6" s="96">
        <f ca="1">IF(Results!$R9=$AB$6,Results!AX9,"")</f>
        <v>150</v>
      </c>
      <c r="AX6" s="96" t="str">
        <f ca="1">IF(Results!$R9=$AB$8,Results!AY9,"")</f>
        <v/>
      </c>
      <c r="AY6" s="97" t="str">
        <f ca="1">IF(Results!R9=AB$2,"Winner","")</f>
        <v/>
      </c>
      <c r="AZ6" s="97" t="str">
        <f ca="1">IF(Results!R9=AB$4,"2nd Place","")</f>
        <v/>
      </c>
      <c r="BA6" s="97" t="str">
        <f ca="1">IF(Results!R9=AB$6,"3rd Place","")</f>
        <v>3rd Place</v>
      </c>
      <c r="BB6" s="97" t="str">
        <f ca="1">IF(Results!R9=AB$8,"4th Place","")</f>
        <v/>
      </c>
      <c r="BD6" s="109">
        <f ca="1">IF(ISNUMBER(FIND("Winner",Results!J9)),Setup!C$42,IF(ISNUMBER(FIND("2nd Place",Results!J9)),Setup!C$43,IF(ISNUMBER(FIND("3rd Place",Results!J9)),Setup!C$44,"")))</f>
        <v>150</v>
      </c>
      <c r="BF6" s="97"/>
      <c r="BG6" s="783">
        <f t="shared" si="3"/>
        <v>12</v>
      </c>
      <c r="BH6" s="783">
        <f t="shared" si="4"/>
        <v>21</v>
      </c>
    </row>
    <row r="7" spans="1:60" ht="12.75" hidden="1" x14ac:dyDescent="0.2">
      <c r="A7" s="347"/>
      <c r="B7" s="430"/>
      <c r="C7" s="101"/>
      <c r="D7" s="207"/>
      <c r="E7" s="348"/>
      <c r="F7" s="198"/>
      <c r="G7" s="101"/>
      <c r="H7" s="200"/>
      <c r="I7" s="225"/>
      <c r="J7" s="103"/>
      <c r="K7" s="104"/>
      <c r="L7" s="200"/>
      <c r="M7" s="103"/>
      <c r="N7" s="104"/>
      <c r="O7" s="102"/>
      <c r="P7" s="103"/>
      <c r="Q7" s="104"/>
      <c r="R7" s="102"/>
      <c r="S7" s="623"/>
      <c r="T7" s="347"/>
      <c r="U7" s="96">
        <f t="shared" si="2"/>
        <v>0</v>
      </c>
      <c r="AA7" s="273"/>
      <c r="AD7" s="298"/>
      <c r="AU7" s="96"/>
      <c r="AV7" s="96"/>
      <c r="AW7" s="96"/>
      <c r="AX7" s="96"/>
      <c r="BD7" s="109"/>
      <c r="BF7" s="97"/>
      <c r="BG7" s="783">
        <f t="shared" si="3"/>
        <v>0</v>
      </c>
      <c r="BH7" s="783">
        <f t="shared" si="4"/>
        <v>0</v>
      </c>
    </row>
    <row r="8" spans="1:60" ht="12.75" x14ac:dyDescent="0.2">
      <c r="A8" s="347" t="str">
        <f>Setup!B8</f>
        <v xml:space="preserve">Pat </v>
      </c>
      <c r="B8" s="430">
        <f t="shared" si="0"/>
        <v>5</v>
      </c>
      <c r="C8" s="101">
        <f t="shared" si="1"/>
        <v>7</v>
      </c>
      <c r="D8" s="207">
        <f>SUM(P8:T8)</f>
        <v>5</v>
      </c>
      <c r="E8" s="348">
        <f>N41</f>
        <v>6.625</v>
      </c>
      <c r="F8" s="198">
        <f>'Day 1 - Match 1'!O12</f>
        <v>2</v>
      </c>
      <c r="G8" s="101">
        <f>'Day 1 - Match 2'!O12</f>
        <v>0</v>
      </c>
      <c r="H8" s="200">
        <f>'Day 1 - Match 3'!O12</f>
        <v>1</v>
      </c>
      <c r="I8" s="225">
        <f>F41</f>
        <v>2</v>
      </c>
      <c r="J8" s="103">
        <f>'Day 2A - Match 4'!O12</f>
        <v>2</v>
      </c>
      <c r="K8" s="104">
        <f>'Day 2A - Match 5'!O12</f>
        <v>0</v>
      </c>
      <c r="L8" s="200">
        <f>'Day 2A - Match 6'!O12</f>
        <v>1</v>
      </c>
      <c r="M8" s="103">
        <f>'Day 2B - Match 7'!O12</f>
        <v>2</v>
      </c>
      <c r="N8" s="104">
        <f>'Day 2B - Match 8'!O12</f>
        <v>0</v>
      </c>
      <c r="O8" s="102">
        <f>'Day 2B - Match 9'!O12</f>
        <v>2</v>
      </c>
      <c r="P8" s="103">
        <f>'Day 3 - Match 10'!O12</f>
        <v>0</v>
      </c>
      <c r="Q8" s="104">
        <f>'Day 3 - Match 11'!O12</f>
        <v>0</v>
      </c>
      <c r="R8" s="102">
        <f>'Day 3 - Match 12'!O12</f>
        <v>1</v>
      </c>
      <c r="S8" s="623">
        <f>J41</f>
        <v>2</v>
      </c>
      <c r="T8" s="225">
        <f>Scramble!AG12</f>
        <v>2</v>
      </c>
      <c r="U8" s="96" t="str">
        <f t="shared" si="2"/>
        <v xml:space="preserve">Pat </v>
      </c>
      <c r="AA8" s="273"/>
      <c r="AB8" s="97">
        <v>4</v>
      </c>
      <c r="AC8" s="97">
        <f>COUNTIF($M$38:$M$53,AB8)</f>
        <v>2</v>
      </c>
      <c r="AD8" s="298">
        <f>Setup!C52</f>
        <v>7.25</v>
      </c>
      <c r="AE8" s="97">
        <f>IF($AC8=AE$1,$AD8,0)</f>
        <v>0</v>
      </c>
      <c r="AF8" s="97">
        <f>IF($AC8=$AF$1,SUM($AD8:$AD10)/$AF$1,0)</f>
        <v>6.625</v>
      </c>
      <c r="AG8" s="97">
        <f>IF($AC8=$AG$1,SUM($AD8:$AD12)/$AG$1,0)</f>
        <v>0</v>
      </c>
      <c r="AH8" s="97">
        <f>IF($AC8=$AH$1,SUM($AD8:$AD14)/$AH$1,0)</f>
        <v>0</v>
      </c>
      <c r="AI8" s="97">
        <f>IF($AC8=AI$1,SUM($AD8:$AD16)/AI$1,0)</f>
        <v>0</v>
      </c>
      <c r="AJ8" s="97">
        <f>IF($AC8=AJ$1,SUM($AD8:$AD18)/AJ$1,0)</f>
        <v>0</v>
      </c>
      <c r="AK8" s="97">
        <f>IF($AC8=AK$1,SUM($AD8:$AD20)/AK$1,0)</f>
        <v>0</v>
      </c>
      <c r="AO8" s="97">
        <f ca="1">COUNTIF(Results!R$5:R$36,AB8)</f>
        <v>1</v>
      </c>
      <c r="AU8" s="96" t="str">
        <f ca="1">IF(Results!$R11=$AB$2,Results!AV11,"")</f>
        <v/>
      </c>
      <c r="AV8" s="96" t="str">
        <f ca="1">IF(Results!$R11=$AB$4,Results!AW11,"")</f>
        <v/>
      </c>
      <c r="AW8" s="96" t="str">
        <f ca="1">IF(Results!$R11=$AB$6,Results!AX11,"")</f>
        <v/>
      </c>
      <c r="AX8" s="96" t="str">
        <f ca="1">IF(Results!$R11=$AB$8,Results!AY11,"")</f>
        <v/>
      </c>
      <c r="AY8" s="97" t="str">
        <f ca="1">IF(Results!R11=AB$2,"Winner","")</f>
        <v/>
      </c>
      <c r="AZ8" s="97" t="str">
        <f ca="1">IF(Results!R11=AB$4,"2nd Place","")</f>
        <v/>
      </c>
      <c r="BA8" s="97" t="str">
        <f ca="1">IF(Results!R11=AB$6,"3rd Place","")</f>
        <v/>
      </c>
      <c r="BB8" s="97" t="str">
        <f ca="1">IF(Results!R11=AB$8,"4th Place","")</f>
        <v/>
      </c>
      <c r="BD8" s="109" t="str">
        <f ca="1">IF(ISNUMBER(FIND("Winner",Results!J11)),Setup!C$42,IF(ISNUMBER(FIND("2nd Place",Results!J11)),Setup!C$43,IF(ISNUMBER(FIND("3rd Place",Results!J11)),Setup!C$44,"")))</f>
        <v/>
      </c>
      <c r="BF8" s="97"/>
      <c r="BG8" s="783">
        <f t="shared" si="3"/>
        <v>12</v>
      </c>
      <c r="BH8" s="783">
        <f t="shared" si="4"/>
        <v>17</v>
      </c>
    </row>
    <row r="9" spans="1:60" ht="12.75" hidden="1" x14ac:dyDescent="0.2">
      <c r="A9" s="347"/>
      <c r="B9" s="430"/>
      <c r="C9" s="101"/>
      <c r="D9" s="207"/>
      <c r="E9" s="348"/>
      <c r="F9" s="198"/>
      <c r="G9" s="101"/>
      <c r="H9" s="200"/>
      <c r="I9" s="225"/>
      <c r="J9" s="103"/>
      <c r="K9" s="104"/>
      <c r="L9" s="200"/>
      <c r="M9" s="103"/>
      <c r="N9" s="104"/>
      <c r="O9" s="102"/>
      <c r="P9" s="103"/>
      <c r="Q9" s="104"/>
      <c r="R9" s="102"/>
      <c r="S9" s="623"/>
      <c r="T9" s="347"/>
      <c r="U9" s="96">
        <f t="shared" si="2"/>
        <v>0</v>
      </c>
      <c r="AA9" s="273"/>
      <c r="AD9" s="298"/>
      <c r="AU9" s="96"/>
      <c r="AV9" s="96"/>
      <c r="AW9" s="96"/>
      <c r="AX9" s="96"/>
      <c r="BD9" s="109"/>
      <c r="BF9" s="97"/>
      <c r="BG9" s="783">
        <f t="shared" si="3"/>
        <v>0</v>
      </c>
      <c r="BH9" s="783">
        <f t="shared" si="4"/>
        <v>0</v>
      </c>
    </row>
    <row r="10" spans="1:60" ht="12.75" x14ac:dyDescent="0.2">
      <c r="A10" s="347" t="str">
        <f>Setup!B10</f>
        <v>Rick</v>
      </c>
      <c r="B10" s="430">
        <f t="shared" si="0"/>
        <v>6</v>
      </c>
      <c r="C10" s="101">
        <f t="shared" si="1"/>
        <v>6</v>
      </c>
      <c r="D10" s="207">
        <f>SUM(P10:T10)</f>
        <v>9</v>
      </c>
      <c r="E10" s="348">
        <f>N42</f>
        <v>4</v>
      </c>
      <c r="F10" s="198">
        <f>'Day 1 - Match 1'!O14</f>
        <v>0</v>
      </c>
      <c r="G10" s="101">
        <f>'Day 1 - Match 2'!O14</f>
        <v>2</v>
      </c>
      <c r="H10" s="200">
        <f>'Day 1 - Match 3'!O14</f>
        <v>2</v>
      </c>
      <c r="I10" s="225">
        <f>F42</f>
        <v>2</v>
      </c>
      <c r="J10" s="103">
        <f>'Day 2A - Match 4'!O14</f>
        <v>2</v>
      </c>
      <c r="K10" s="104">
        <f>'Day 2A - Match 5'!O14</f>
        <v>1</v>
      </c>
      <c r="L10" s="200">
        <f>'Day 2A - Match 6'!O14</f>
        <v>0</v>
      </c>
      <c r="M10" s="103">
        <f>'Day 2B - Match 7'!O14</f>
        <v>0</v>
      </c>
      <c r="N10" s="104">
        <f>'Day 2B - Match 8'!O14</f>
        <v>2</v>
      </c>
      <c r="O10" s="102">
        <f>'Day 2B - Match 9'!O14</f>
        <v>1</v>
      </c>
      <c r="P10" s="103">
        <f>'Day 3 - Match 10'!O14</f>
        <v>2</v>
      </c>
      <c r="Q10" s="104">
        <f>'Day 3 - Match 11'!O14</f>
        <v>2</v>
      </c>
      <c r="R10" s="102">
        <f>'Day 3 - Match 12'!O14</f>
        <v>0</v>
      </c>
      <c r="S10" s="623">
        <f>J42</f>
        <v>2</v>
      </c>
      <c r="T10" s="225">
        <f>Scramble!AG14</f>
        <v>3</v>
      </c>
      <c r="U10" s="96" t="str">
        <f t="shared" si="2"/>
        <v>Rick</v>
      </c>
      <c r="AA10" s="273"/>
      <c r="AB10" s="97">
        <v>5</v>
      </c>
      <c r="AC10" s="97">
        <f>COUNTIF($M$38:$M$53,AB10)</f>
        <v>0</v>
      </c>
      <c r="AD10" s="298">
        <f>Setup!C53</f>
        <v>6</v>
      </c>
      <c r="AE10" s="97">
        <f>IF($AC10=AE$1,$AD10,0)</f>
        <v>0</v>
      </c>
      <c r="AF10" s="97">
        <f>IF($AC10=$AF$1,SUM($AD10:$AD12)/$AF$1,0)</f>
        <v>0</v>
      </c>
      <c r="AG10" s="97">
        <f>IF($AC10=$AG$1,SUM($AD10:$AD14)/$AG$1,0)</f>
        <v>0</v>
      </c>
      <c r="AH10" s="97">
        <f>IF($AC10=$AH$1,SUM($AD10:$AD16)/$AH$1,0)</f>
        <v>0</v>
      </c>
      <c r="AI10" s="97">
        <f>IF($AC10=AI$1,SUM($AD10:$AD18)/AI$1,0)</f>
        <v>0</v>
      </c>
      <c r="AJ10" s="97">
        <f>IF($AC10=AJ$1,SUM($AD10:$AD20)/AJ$1,0)</f>
        <v>0</v>
      </c>
      <c r="AK10" s="97">
        <f>IF($AC10=AK$1,SUM($AD10:$AD22)/AK$1,0)</f>
        <v>0</v>
      </c>
      <c r="AO10" s="97">
        <f ca="1">COUNTIF(Results!R$5:R$36,AB10)</f>
        <v>1</v>
      </c>
      <c r="AU10" s="96" t="str">
        <f ca="1">IF(Results!$R13=$AB$2,Results!AV13,"")</f>
        <v/>
      </c>
      <c r="AV10" s="96" t="str">
        <f ca="1">IF(Results!$R13=$AB$4,Results!AW13,"")</f>
        <v/>
      </c>
      <c r="AW10" s="96" t="str">
        <f ca="1">IF(Results!$R13=$AB$6,Results!AX13,"")</f>
        <v/>
      </c>
      <c r="AX10" s="96" t="str">
        <f ca="1">IF(Results!$R13=$AB$8,Results!AY13,"")</f>
        <v/>
      </c>
      <c r="AY10" s="97" t="str">
        <f ca="1">IF(Results!R13=AB$2,"Winner","")</f>
        <v/>
      </c>
      <c r="AZ10" s="97" t="str">
        <f ca="1">IF(Results!R13=AB$4,"2nd Place","")</f>
        <v/>
      </c>
      <c r="BA10" s="97" t="str">
        <f ca="1">IF(Results!R13=AB$6,"3rd Place","")</f>
        <v/>
      </c>
      <c r="BB10" s="97" t="str">
        <f ca="1">IF(Results!R13=AB$8,"4th Place","")</f>
        <v/>
      </c>
      <c r="BD10" s="109" t="str">
        <f ca="1">IF(ISNUMBER(FIND("Winner",Results!J13)),Setup!C$42,IF(ISNUMBER(FIND("2nd Place",Results!J13)),Setup!C$43,IF(ISNUMBER(FIND("3rd Place",Results!J13)),Setup!C$44,"")))</f>
        <v/>
      </c>
      <c r="BF10" s="97"/>
      <c r="BG10" s="783">
        <f t="shared" si="3"/>
        <v>12</v>
      </c>
      <c r="BH10" s="783">
        <f t="shared" si="4"/>
        <v>21</v>
      </c>
    </row>
    <row r="11" spans="1:60" ht="12.75" hidden="1" x14ac:dyDescent="0.2">
      <c r="A11" s="347"/>
      <c r="B11" s="430"/>
      <c r="C11" s="101"/>
      <c r="D11" s="207"/>
      <c r="E11" s="348"/>
      <c r="F11" s="198"/>
      <c r="G11" s="101"/>
      <c r="H11" s="200"/>
      <c r="I11" s="225"/>
      <c r="J11" s="103"/>
      <c r="K11" s="104"/>
      <c r="L11" s="200"/>
      <c r="M11" s="103"/>
      <c r="N11" s="104"/>
      <c r="O11" s="102"/>
      <c r="P11" s="103"/>
      <c r="Q11" s="104"/>
      <c r="R11" s="102"/>
      <c r="S11" s="623"/>
      <c r="T11" s="347"/>
      <c r="U11" s="96">
        <f t="shared" si="2"/>
        <v>0</v>
      </c>
      <c r="AA11" s="273"/>
      <c r="AD11" s="298"/>
      <c r="AU11" s="96"/>
      <c r="AV11" s="96"/>
      <c r="AW11" s="96"/>
      <c r="AX11" s="96"/>
      <c r="BD11" s="109"/>
      <c r="BF11" s="97"/>
      <c r="BG11" s="783">
        <f t="shared" si="3"/>
        <v>0</v>
      </c>
      <c r="BH11" s="783">
        <f t="shared" si="4"/>
        <v>0</v>
      </c>
    </row>
    <row r="12" spans="1:60" ht="12.75" x14ac:dyDescent="0.2">
      <c r="A12" s="347" t="str">
        <f>Setup!B12</f>
        <v>Keith</v>
      </c>
      <c r="B12" s="430">
        <f t="shared" si="0"/>
        <v>8</v>
      </c>
      <c r="C12" s="101">
        <f t="shared" si="1"/>
        <v>2</v>
      </c>
      <c r="D12" s="207">
        <f>SUM(P12:T12)</f>
        <v>6</v>
      </c>
      <c r="E12" s="348">
        <f>N43</f>
        <v>0</v>
      </c>
      <c r="F12" s="198">
        <f>'Day 1 - Match 1'!O16</f>
        <v>2</v>
      </c>
      <c r="G12" s="101">
        <f>'Day 1 - Match 2'!O16</f>
        <v>2</v>
      </c>
      <c r="H12" s="200">
        <f>'Day 1 - Match 3'!O16</f>
        <v>2</v>
      </c>
      <c r="I12" s="225">
        <f>F43</f>
        <v>2</v>
      </c>
      <c r="J12" s="103">
        <f>'Day 2A - Match 4'!O16</f>
        <v>0</v>
      </c>
      <c r="K12" s="104">
        <f>'Day 2A - Match 5'!O16</f>
        <v>0</v>
      </c>
      <c r="L12" s="200">
        <f>'Day 2A - Match 6'!O16</f>
        <v>0</v>
      </c>
      <c r="M12" s="103">
        <f>'Day 2B - Match 7'!O16</f>
        <v>2</v>
      </c>
      <c r="N12" s="104">
        <f>'Day 2B - Match 8'!O16</f>
        <v>0</v>
      </c>
      <c r="O12" s="102">
        <f>'Day 2B - Match 9'!O16</f>
        <v>0</v>
      </c>
      <c r="P12" s="103">
        <f>'Day 3 - Match 10'!O16</f>
        <v>2</v>
      </c>
      <c r="Q12" s="104">
        <f>'Day 3 - Match 11'!O16</f>
        <v>0</v>
      </c>
      <c r="R12" s="102">
        <f>'Day 3 - Match 12'!O16</f>
        <v>0</v>
      </c>
      <c r="S12" s="623">
        <f>J43</f>
        <v>2</v>
      </c>
      <c r="T12" s="225">
        <f>Scramble!AG16</f>
        <v>2</v>
      </c>
      <c r="U12" s="96" t="str">
        <f t="shared" si="2"/>
        <v>Keith</v>
      </c>
      <c r="AA12" s="273"/>
      <c r="AB12" s="97">
        <v>6</v>
      </c>
      <c r="AC12" s="97">
        <f>COUNTIF($M$38:$M$53,AB12)</f>
        <v>1</v>
      </c>
      <c r="AD12" s="298">
        <f>Setup!C54</f>
        <v>5</v>
      </c>
      <c r="AE12" s="97">
        <f>IF($AC12=AE$1,$AD12,0)</f>
        <v>5</v>
      </c>
      <c r="AF12" s="97">
        <f>IF($AC12=$AF$1,SUM($AD12:$AD14)/$AF$1,0)</f>
        <v>0</v>
      </c>
      <c r="AG12" s="97">
        <f>IF($AC12=$AG$1,SUM($AD12:$AD16)/$AG$1,0)</f>
        <v>0</v>
      </c>
      <c r="AH12" s="97">
        <f>IF($AC12=$AH$1,SUM($AD12:$AD18)/$AH$1,0)</f>
        <v>0</v>
      </c>
      <c r="AI12" s="97">
        <f>IF($AC12=AI$1,SUM($AD12:$AD20)/AI$1,0)</f>
        <v>0</v>
      </c>
      <c r="AJ12" s="97">
        <f>IF($AC12=AJ$1,SUM($AD12:$AD22)/AJ$1,0)</f>
        <v>0</v>
      </c>
      <c r="AK12" s="97">
        <f>IF($AC12=AK$1,SUM($AD12:$AD24)/AK$1,0)</f>
        <v>0</v>
      </c>
      <c r="AO12" s="97">
        <f ca="1">COUNTIF(Results!R$5:R$36,AB12)</f>
        <v>1</v>
      </c>
      <c r="AU12" s="96" t="str">
        <f ca="1">IF(Results!$R15=$AB$2,Results!AV15,"")</f>
        <v/>
      </c>
      <c r="AV12" s="96" t="str">
        <f ca="1">IF(Results!$R15=$AB$4,Results!AW15,"")</f>
        <v/>
      </c>
      <c r="AW12" s="96" t="str">
        <f ca="1">IF(Results!$R15=$AB$6,Results!AX15,"")</f>
        <v/>
      </c>
      <c r="AX12" s="96" t="str">
        <f ca="1">IF(Results!$R15=$AB$8,Results!AY15,"")</f>
        <v/>
      </c>
      <c r="AY12" s="97" t="str">
        <f ca="1">IF(Results!R15=AB$2,"Winner","")</f>
        <v/>
      </c>
      <c r="AZ12" s="97" t="str">
        <f ca="1">IF(Results!R15=AB$4,"2nd Place","")</f>
        <v/>
      </c>
      <c r="BA12" s="97" t="str">
        <f ca="1">IF(Results!R15=AB$6,"3rd Place","")</f>
        <v/>
      </c>
      <c r="BB12" s="97" t="str">
        <f ca="1">IF(Results!R15=AB$8,"4th Place","")</f>
        <v/>
      </c>
      <c r="BD12" s="109" t="str">
        <f ca="1">IF(ISNUMBER(FIND("Winner",Results!J15)),Setup!C$42,IF(ISNUMBER(FIND("2nd Place",Results!J15)),Setup!C$43,IF(ISNUMBER(FIND("3rd Place",Results!J15)),Setup!C$44,"")))</f>
        <v/>
      </c>
      <c r="BF12" s="97"/>
      <c r="BG12" s="783">
        <f t="shared" si="3"/>
        <v>10</v>
      </c>
      <c r="BH12" s="783">
        <f t="shared" si="4"/>
        <v>16</v>
      </c>
    </row>
    <row r="13" spans="1:60" ht="12.75" hidden="1" x14ac:dyDescent="0.2">
      <c r="A13" s="347"/>
      <c r="B13" s="430"/>
      <c r="C13" s="101"/>
      <c r="D13" s="207"/>
      <c r="E13" s="348"/>
      <c r="F13" s="198"/>
      <c r="G13" s="101"/>
      <c r="H13" s="200"/>
      <c r="I13" s="225"/>
      <c r="J13" s="103"/>
      <c r="K13" s="104"/>
      <c r="L13" s="200"/>
      <c r="M13" s="103"/>
      <c r="N13" s="104"/>
      <c r="O13" s="102"/>
      <c r="P13" s="103"/>
      <c r="Q13" s="104"/>
      <c r="R13" s="102"/>
      <c r="S13" s="623"/>
      <c r="T13" s="347"/>
      <c r="U13" s="96">
        <f t="shared" si="2"/>
        <v>0</v>
      </c>
      <c r="AA13" s="273"/>
      <c r="AD13" s="298"/>
      <c r="AU13" s="96"/>
      <c r="AV13" s="96"/>
      <c r="AW13" s="96"/>
      <c r="AX13" s="96"/>
      <c r="BD13" s="109"/>
      <c r="BF13" s="97"/>
      <c r="BG13" s="783">
        <f t="shared" si="3"/>
        <v>0</v>
      </c>
      <c r="BH13" s="783">
        <f t="shared" si="4"/>
        <v>0</v>
      </c>
    </row>
    <row r="14" spans="1:60" ht="12.75" x14ac:dyDescent="0.2">
      <c r="A14" s="347" t="str">
        <f>Setup!B14</f>
        <v>Tony W</v>
      </c>
      <c r="B14" s="430">
        <f t="shared" si="0"/>
        <v>0</v>
      </c>
      <c r="C14" s="101">
        <f t="shared" si="1"/>
        <v>3</v>
      </c>
      <c r="D14" s="207">
        <f>SUM(P14:T14)</f>
        <v>0</v>
      </c>
      <c r="E14" s="348">
        <f>N44</f>
        <v>0</v>
      </c>
      <c r="F14" s="198">
        <f>'Day 1 - Match 1'!O18</f>
        <v>0</v>
      </c>
      <c r="G14" s="101">
        <f>'Day 1 - Match 2'!O18</f>
        <v>0</v>
      </c>
      <c r="H14" s="200">
        <f>'Day 1 - Match 3'!O18</f>
        <v>0</v>
      </c>
      <c r="I14" s="225">
        <f>F44</f>
        <v>0</v>
      </c>
      <c r="J14" s="103">
        <f>'Day 2A - Match 4'!O18</f>
        <v>1</v>
      </c>
      <c r="K14" s="104">
        <f>'Day 2A - Match 5'!O18</f>
        <v>0</v>
      </c>
      <c r="L14" s="200">
        <f>'Day 2A - Match 6'!O18</f>
        <v>0</v>
      </c>
      <c r="M14" s="103">
        <f>'Day 2B - Match 7'!O18</f>
        <v>0</v>
      </c>
      <c r="N14" s="104">
        <f>'Day 2B - Match 8'!O18</f>
        <v>2</v>
      </c>
      <c r="O14" s="102">
        <f>'Day 2B - Match 9'!O18</f>
        <v>0</v>
      </c>
      <c r="P14" s="103">
        <f>'Day 3 - Match 10'!O18</f>
        <v>0</v>
      </c>
      <c r="Q14" s="104">
        <f>'Day 3 - Match 11'!O18</f>
        <v>0</v>
      </c>
      <c r="R14" s="102">
        <f>'Day 3 - Match 12'!O18</f>
        <v>0</v>
      </c>
      <c r="S14" s="623">
        <f>J44</f>
        <v>0</v>
      </c>
      <c r="T14" s="225">
        <f>Scramble!AG18</f>
        <v>0</v>
      </c>
      <c r="U14" s="96" t="str">
        <f t="shared" si="2"/>
        <v>Tony W</v>
      </c>
      <c r="AA14" s="273"/>
      <c r="AB14" s="97">
        <v>7</v>
      </c>
      <c r="AC14" s="97">
        <f>COUNTIF($M$38:$M$53,AB14)</f>
        <v>1</v>
      </c>
      <c r="AD14" s="298">
        <f>Setup!C55</f>
        <v>4</v>
      </c>
      <c r="AE14" s="97">
        <f>IF($AC14=AE$1,$AD14,0)</f>
        <v>4</v>
      </c>
      <c r="AF14" s="97">
        <f>IF($AC14=$AF$1,SUM($AD14:$AD16)/$AF$1,0)</f>
        <v>0</v>
      </c>
      <c r="AG14" s="97">
        <f>IF($AC14=$AG$1,SUM($AD14:$AD18)/$AG$1,0)</f>
        <v>0</v>
      </c>
      <c r="AH14" s="97">
        <f>IF($AC14=$AH$1,SUM($AD14:$AD20)/$AH$1,0)</f>
        <v>0</v>
      </c>
      <c r="AI14" s="97">
        <f>IF($AC14=AI$1,SUM($AD14:$AD22)/AI$1,0)</f>
        <v>0</v>
      </c>
      <c r="AJ14" s="97">
        <f>IF($AC14=AJ$1,SUM($AD14:$AD24)/AJ$1,0)</f>
        <v>0</v>
      </c>
      <c r="AK14" s="97">
        <f>IF($AC14=AK$1,SUM($AD14:$AD26)/AK$1,0)</f>
        <v>0</v>
      </c>
      <c r="AO14" s="97">
        <f ca="1">COUNTIF(Results!R$5:R$36,AB14)</f>
        <v>1</v>
      </c>
      <c r="AU14" s="96" t="str">
        <f ca="1">IF(Results!$R17=$AB$2,Results!AV17,"")</f>
        <v/>
      </c>
      <c r="AV14" s="96" t="str">
        <f ca="1">IF(Results!$R17=$AB$4,Results!AW17,"")</f>
        <v/>
      </c>
      <c r="AW14" s="96" t="str">
        <f ca="1">IF(Results!$R17=$AB$6,Results!AX17,"")</f>
        <v/>
      </c>
      <c r="AX14" s="96" t="str">
        <f ca="1">IF(Results!$R17=$AB$8,Results!AY17,"")</f>
        <v/>
      </c>
      <c r="AY14" s="97" t="str">
        <f ca="1">IF(Results!R17=AB$2,"Winner","")</f>
        <v/>
      </c>
      <c r="AZ14" s="97" t="str">
        <f ca="1">IF(Results!R17=AB$4,"2nd Place","")</f>
        <v/>
      </c>
      <c r="BA14" s="97" t="str">
        <f ca="1">IF(Results!R17=AB$6,"3rd Place","")</f>
        <v/>
      </c>
      <c r="BB14" s="97" t="str">
        <f ca="1">IF(Results!R17=AB$8,"4th Place","")</f>
        <v/>
      </c>
      <c r="BD14" s="109" t="str">
        <f ca="1">IF(ISNUMBER(FIND("Winner",Results!J17)),Setup!C$42,IF(ISNUMBER(FIND("2nd Place",Results!J17)),Setup!C$43,IF(ISNUMBER(FIND("3rd Place",Results!J17)),Setup!C$44,"")))</f>
        <v/>
      </c>
      <c r="BF14" s="97"/>
      <c r="BG14" s="783">
        <f t="shared" si="3"/>
        <v>3</v>
      </c>
      <c r="BH14" s="783">
        <f t="shared" si="4"/>
        <v>3</v>
      </c>
    </row>
    <row r="15" spans="1:60" ht="12.75" hidden="1" x14ac:dyDescent="0.2">
      <c r="A15" s="347"/>
      <c r="B15" s="430"/>
      <c r="C15" s="101"/>
      <c r="D15" s="207"/>
      <c r="E15" s="348"/>
      <c r="F15" s="198"/>
      <c r="G15" s="101"/>
      <c r="H15" s="200"/>
      <c r="I15" s="225"/>
      <c r="J15" s="103"/>
      <c r="K15" s="104"/>
      <c r="L15" s="200"/>
      <c r="M15" s="103"/>
      <c r="N15" s="104"/>
      <c r="O15" s="102"/>
      <c r="P15" s="103"/>
      <c r="Q15" s="104"/>
      <c r="R15" s="102"/>
      <c r="S15" s="623"/>
      <c r="T15" s="347"/>
      <c r="U15" s="96">
        <f t="shared" si="2"/>
        <v>0</v>
      </c>
      <c r="AA15" s="273"/>
      <c r="AD15" s="298"/>
      <c r="AU15" s="96"/>
      <c r="AV15" s="96"/>
      <c r="AW15" s="96"/>
      <c r="AX15" s="96"/>
      <c r="BD15" s="109"/>
      <c r="BF15" s="97"/>
      <c r="BG15" s="783">
        <f t="shared" si="3"/>
        <v>0</v>
      </c>
      <c r="BH15" s="783">
        <f t="shared" si="4"/>
        <v>0</v>
      </c>
    </row>
    <row r="16" spans="1:60" ht="12.75" x14ac:dyDescent="0.2">
      <c r="A16" s="347" t="str">
        <f>Setup!B16</f>
        <v>Manny</v>
      </c>
      <c r="B16" s="430">
        <f t="shared" si="0"/>
        <v>2</v>
      </c>
      <c r="C16" s="101">
        <f t="shared" si="1"/>
        <v>5</v>
      </c>
      <c r="D16" s="207">
        <f>SUM(P16:T16)</f>
        <v>1</v>
      </c>
      <c r="E16" s="348">
        <f>N45</f>
        <v>3</v>
      </c>
      <c r="F16" s="198">
        <f>'Day 1 - Match 1'!O20</f>
        <v>2</v>
      </c>
      <c r="G16" s="101">
        <f>'Day 1 - Match 2'!O20</f>
        <v>0</v>
      </c>
      <c r="H16" s="200">
        <f>'Day 1 - Match 3'!O20</f>
        <v>0</v>
      </c>
      <c r="I16" s="225">
        <f>F45</f>
        <v>0</v>
      </c>
      <c r="J16" s="103">
        <f>'Day 2A - Match 4'!O20</f>
        <v>2</v>
      </c>
      <c r="K16" s="104">
        <f>'Day 2A - Match 5'!O20</f>
        <v>0</v>
      </c>
      <c r="L16" s="200">
        <f>'Day 2A - Match 6'!O20</f>
        <v>1</v>
      </c>
      <c r="M16" s="103">
        <f>'Day 2B - Match 7'!O20</f>
        <v>2</v>
      </c>
      <c r="N16" s="104">
        <f>'Day 2B - Match 8'!O20</f>
        <v>0</v>
      </c>
      <c r="O16" s="102">
        <f>'Day 2B - Match 9'!O20</f>
        <v>0</v>
      </c>
      <c r="P16" s="103">
        <f>'Day 3 - Match 10'!O20</f>
        <v>0</v>
      </c>
      <c r="Q16" s="104">
        <f>'Day 3 - Match 11'!O20</f>
        <v>0</v>
      </c>
      <c r="R16" s="102">
        <f>'Day 3 - Match 12'!O20</f>
        <v>0</v>
      </c>
      <c r="S16" s="623">
        <f>J45</f>
        <v>0</v>
      </c>
      <c r="T16" s="225">
        <f>Scramble!AG20</f>
        <v>1</v>
      </c>
      <c r="U16" s="96" t="str">
        <f t="shared" si="2"/>
        <v>Manny</v>
      </c>
      <c r="AA16" s="273"/>
      <c r="AB16" s="97">
        <v>8</v>
      </c>
      <c r="AC16" s="97">
        <f>COUNTIF($M$38:$M$53,AB16)</f>
        <v>1</v>
      </c>
      <c r="AD16" s="298">
        <f>Setup!C56</f>
        <v>3</v>
      </c>
      <c r="AE16" s="97">
        <f>IF($AC16=AE$1,$AD16,0)</f>
        <v>3</v>
      </c>
      <c r="AF16" s="97">
        <f>IF($AC16=$AF$1,SUM($AD16:$AD18)/$AF$1,0)</f>
        <v>0</v>
      </c>
      <c r="AG16" s="97">
        <f>IF($AC16=$AG$1,SUM($AD16:$AD20)/$AG$1,0)</f>
        <v>0</v>
      </c>
      <c r="AH16" s="97">
        <f>IF($AC16=$AH$1,SUM($AD16:$AD22)/$AH$1,0)</f>
        <v>0</v>
      </c>
      <c r="AI16" s="97">
        <f>IF($AC16=AI$1,SUM($AD16:$AD24)/AI$1,0)</f>
        <v>0</v>
      </c>
      <c r="AJ16" s="97">
        <f>IF($AC16=AJ$1,SUM($AD16:$AD26)/AJ$1,0)</f>
        <v>0</v>
      </c>
      <c r="AK16" s="97">
        <f>IF($AC16=AK$1,SUM($AD16:$AD28)/AK$1,0)</f>
        <v>0</v>
      </c>
      <c r="AO16" s="97">
        <f ca="1">COUNTIF(Results!R$5:R$36,AB16)</f>
        <v>1</v>
      </c>
      <c r="AU16" s="96" t="str">
        <f ca="1">IF(Results!$R19=$AB$2,Results!AV19,"")</f>
        <v/>
      </c>
      <c r="AV16" s="96" t="str">
        <f ca="1">IF(Results!$R19=$AB$4,Results!AW19,"")</f>
        <v/>
      </c>
      <c r="AW16" s="96" t="str">
        <f ca="1">IF(Results!$R19=$AB$6,Results!AX19,"")</f>
        <v/>
      </c>
      <c r="AX16" s="96" t="str">
        <f ca="1">IF(Results!$R19=$AB$8,Results!AY19,"")</f>
        <v/>
      </c>
      <c r="AY16" s="97" t="str">
        <f ca="1">IF(Results!R19=AB$2,"Winner","")</f>
        <v/>
      </c>
      <c r="AZ16" s="97" t="str">
        <f ca="1">IF(Results!R19=AB$4,"2nd Place","")</f>
        <v/>
      </c>
      <c r="BA16" s="97" t="str">
        <f ca="1">IF(Results!R19=AB$6,"3rd Place","")</f>
        <v/>
      </c>
      <c r="BB16" s="97" t="str">
        <f ca="1">IF(Results!R19=AB$8,"4th Place","")</f>
        <v/>
      </c>
      <c r="BD16" s="109" t="str">
        <f ca="1">IF(ISNUMBER(FIND("Winner",Results!J19)),Setup!C$42,IF(ISNUMBER(FIND("2nd Place",Results!J19)),Setup!C$43,IF(ISNUMBER(FIND("3rd Place",Results!J19)),Setup!C$44,"")))</f>
        <v/>
      </c>
      <c r="BF16" s="97"/>
      <c r="BG16" s="783">
        <f t="shared" si="3"/>
        <v>7</v>
      </c>
      <c r="BH16" s="783">
        <f t="shared" si="4"/>
        <v>8</v>
      </c>
    </row>
    <row r="17" spans="1:60" ht="12.75" hidden="1" x14ac:dyDescent="0.2">
      <c r="A17" s="347"/>
      <c r="B17" s="430"/>
      <c r="C17" s="101"/>
      <c r="D17" s="207"/>
      <c r="E17" s="348"/>
      <c r="F17" s="198"/>
      <c r="G17" s="101"/>
      <c r="H17" s="200"/>
      <c r="I17" s="225"/>
      <c r="J17" s="103"/>
      <c r="K17" s="104"/>
      <c r="L17" s="200"/>
      <c r="M17" s="103"/>
      <c r="N17" s="104"/>
      <c r="O17" s="102"/>
      <c r="P17" s="103"/>
      <c r="Q17" s="104"/>
      <c r="R17" s="102"/>
      <c r="S17" s="623"/>
      <c r="T17" s="347"/>
      <c r="U17" s="96">
        <f t="shared" si="2"/>
        <v>0</v>
      </c>
      <c r="AA17" s="273"/>
      <c r="AD17" s="298"/>
      <c r="AU17" s="96"/>
      <c r="AV17" s="96"/>
      <c r="AW17" s="96"/>
      <c r="AX17" s="96"/>
      <c r="BD17" s="109"/>
      <c r="BF17" s="97"/>
      <c r="BG17" s="783">
        <f t="shared" si="3"/>
        <v>0</v>
      </c>
      <c r="BH17" s="783">
        <f t="shared" si="4"/>
        <v>0</v>
      </c>
    </row>
    <row r="18" spans="1:60" ht="12.75" x14ac:dyDescent="0.2">
      <c r="A18" s="347" t="str">
        <f>Setup!B18</f>
        <v>Tommy</v>
      </c>
      <c r="B18" s="430">
        <f t="shared" si="0"/>
        <v>8</v>
      </c>
      <c r="C18" s="101">
        <f t="shared" si="1"/>
        <v>11</v>
      </c>
      <c r="D18" s="207">
        <f>SUM(P18:T18)</f>
        <v>7</v>
      </c>
      <c r="E18" s="348">
        <f>N46</f>
        <v>6.625</v>
      </c>
      <c r="F18" s="198">
        <f>'Day 1 - Match 1'!O22</f>
        <v>2</v>
      </c>
      <c r="G18" s="101">
        <f>'Day 1 - Match 2'!O22</f>
        <v>2</v>
      </c>
      <c r="H18" s="200">
        <f>'Day 1 - Match 3'!O22</f>
        <v>2</v>
      </c>
      <c r="I18" s="225">
        <f>F46</f>
        <v>2</v>
      </c>
      <c r="J18" s="103">
        <f>'Day 2A - Match 4'!O22</f>
        <v>2</v>
      </c>
      <c r="K18" s="104">
        <f>'Day 2A - Match 5'!O22</f>
        <v>1</v>
      </c>
      <c r="L18" s="200">
        <f>'Day 2A - Match 6'!O22</f>
        <v>2</v>
      </c>
      <c r="M18" s="103">
        <f>'Day 2B - Match 7'!O22</f>
        <v>2</v>
      </c>
      <c r="N18" s="104">
        <f>'Day 2B - Match 8'!O22</f>
        <v>2</v>
      </c>
      <c r="O18" s="102">
        <f>'Day 2B - Match 9'!O22</f>
        <v>2</v>
      </c>
      <c r="P18" s="103">
        <f>'Day 3 - Match 10'!O22</f>
        <v>2</v>
      </c>
      <c r="Q18" s="104">
        <f>'Day 3 - Match 11'!O22</f>
        <v>0</v>
      </c>
      <c r="R18" s="102">
        <f>'Day 3 - Match 12'!O22</f>
        <v>2</v>
      </c>
      <c r="S18" s="623">
        <f>J46</f>
        <v>2</v>
      </c>
      <c r="T18" s="225">
        <f>Scramble!AG22</f>
        <v>1</v>
      </c>
      <c r="U18" s="96" t="str">
        <f t="shared" si="2"/>
        <v>Tommy</v>
      </c>
      <c r="AA18" s="273"/>
      <c r="AB18" s="97">
        <v>9</v>
      </c>
      <c r="AC18" s="97">
        <f>COUNTIF($M$38:$M$53,AB18)</f>
        <v>4</v>
      </c>
      <c r="AD18" s="298">
        <f>Setup!C57</f>
        <v>0</v>
      </c>
      <c r="AE18" s="97">
        <f>IF($AC18=AE$1,$AD18,0)</f>
        <v>0</v>
      </c>
      <c r="AF18" s="97">
        <f>IF($AC18=$AF$1,SUM($AD18:$AD20)/$AF$1,0)</f>
        <v>0</v>
      </c>
      <c r="AG18" s="97">
        <f>IF($AC18=$AG$1,SUM($AD18:$AD22)/$AG$1,0)</f>
        <v>0</v>
      </c>
      <c r="AH18" s="97">
        <f>IF($AC18=$AH$1,SUM($AD18:$AD24)/$AH$1,0)</f>
        <v>0</v>
      </c>
      <c r="AI18" s="97">
        <f>IF($AC18=AI$1,SUM($AD18:$AD26)/AI$1,0)</f>
        <v>0</v>
      </c>
      <c r="AJ18" s="97">
        <f>IF($AC18=AJ$1,SUM($AD18:$AD28)/AJ$1,0)</f>
        <v>0</v>
      </c>
      <c r="AK18" s="97">
        <f>IF($AC18=AK$1,SUM($AD18:$AD30)/AK$1,0)</f>
        <v>0</v>
      </c>
      <c r="AO18" s="97">
        <f ca="1">COUNTIF(Results!R$5:R$36,AB18)</f>
        <v>1</v>
      </c>
      <c r="AU18" s="96" t="str">
        <f ca="1">IF(Results!$R21=$AB$2,Results!AV21,"")</f>
        <v/>
      </c>
      <c r="AV18" s="96">
        <f ca="1">IF(Results!$R21=$AB$4,Results!AW21,"")</f>
        <v>350</v>
      </c>
      <c r="AW18" s="96" t="str">
        <f ca="1">IF(Results!$R21=$AB$6,Results!AX21,"")</f>
        <v/>
      </c>
      <c r="AX18" s="96" t="str">
        <f ca="1">IF(Results!$R21=$AB$8,Results!AY21,"")</f>
        <v/>
      </c>
      <c r="AY18" s="97" t="str">
        <f ca="1">IF(Results!R21=AB$2,"Winner","")</f>
        <v/>
      </c>
      <c r="AZ18" s="97" t="str">
        <f ca="1">IF(Results!R21=AB$4,"2nd Place","")</f>
        <v>2nd Place</v>
      </c>
      <c r="BA18" s="97" t="str">
        <f ca="1">IF(Results!R21=AB$6,"3rd Place","")</f>
        <v/>
      </c>
      <c r="BB18" s="97" t="str">
        <f ca="1">IF(Results!R21=AB$8,"4th Place","")</f>
        <v/>
      </c>
      <c r="BD18" s="109">
        <f ca="1">IF(ISNUMBER(FIND("Winner",Results!J21)),Setup!C$42,IF(ISNUMBER(FIND("2nd Place",Results!J21)),Setup!C$43,IF(ISNUMBER(FIND("3rd Place",Results!J21)),Setup!C$44,"")))</f>
        <v>350</v>
      </c>
      <c r="BF18" s="97"/>
      <c r="BG18" s="783">
        <f t="shared" si="3"/>
        <v>19</v>
      </c>
      <c r="BH18" s="783">
        <f t="shared" si="4"/>
        <v>26</v>
      </c>
    </row>
    <row r="19" spans="1:60" ht="12.75" hidden="1" x14ac:dyDescent="0.2">
      <c r="A19" s="347"/>
      <c r="B19" s="430"/>
      <c r="C19" s="101"/>
      <c r="D19" s="207"/>
      <c r="E19" s="348"/>
      <c r="F19" s="198"/>
      <c r="G19" s="101"/>
      <c r="H19" s="200"/>
      <c r="I19" s="225"/>
      <c r="J19" s="103"/>
      <c r="K19" s="104"/>
      <c r="L19" s="200"/>
      <c r="M19" s="103"/>
      <c r="N19" s="104"/>
      <c r="O19" s="102"/>
      <c r="P19" s="103"/>
      <c r="Q19" s="104"/>
      <c r="R19" s="102"/>
      <c r="S19" s="623"/>
      <c r="T19" s="347"/>
      <c r="U19" s="96">
        <f t="shared" si="2"/>
        <v>0</v>
      </c>
      <c r="AA19" s="273"/>
      <c r="AD19" s="298"/>
      <c r="AU19" s="96"/>
      <c r="AV19" s="96"/>
      <c r="AW19" s="96"/>
      <c r="AX19" s="96"/>
      <c r="BD19" s="109"/>
      <c r="BF19" s="97"/>
      <c r="BG19" s="783">
        <f t="shared" si="3"/>
        <v>0</v>
      </c>
      <c r="BH19" s="783">
        <f t="shared" si="4"/>
        <v>0</v>
      </c>
    </row>
    <row r="20" spans="1:60" ht="12.75" x14ac:dyDescent="0.2">
      <c r="A20" s="347" t="str">
        <f>Setup!B20</f>
        <v>Dave</v>
      </c>
      <c r="B20" s="430">
        <f t="shared" si="0"/>
        <v>6</v>
      </c>
      <c r="C20" s="101">
        <f t="shared" si="1"/>
        <v>7</v>
      </c>
      <c r="D20" s="207">
        <f>SUM(P20:T20)</f>
        <v>1</v>
      </c>
      <c r="E20" s="348">
        <f>N47</f>
        <v>5</v>
      </c>
      <c r="F20" s="198">
        <f>'Day 1 - Match 1'!O24</f>
        <v>0</v>
      </c>
      <c r="G20" s="101">
        <f>'Day 1 - Match 2'!O24</f>
        <v>2</v>
      </c>
      <c r="H20" s="200">
        <f>'Day 1 - Match 3'!O24</f>
        <v>2</v>
      </c>
      <c r="I20" s="225">
        <f>F47</f>
        <v>2</v>
      </c>
      <c r="J20" s="103">
        <f>'Day 2A - Match 4'!O24</f>
        <v>2</v>
      </c>
      <c r="K20" s="104">
        <f>'Day 2A - Match 5'!O24</f>
        <v>1</v>
      </c>
      <c r="L20" s="200">
        <f>'Day 2A - Match 6'!O24</f>
        <v>2</v>
      </c>
      <c r="M20" s="103">
        <f>'Day 2B - Match 7'!O24</f>
        <v>0</v>
      </c>
      <c r="N20" s="104">
        <f>'Day 2B - Match 8'!O24</f>
        <v>2</v>
      </c>
      <c r="O20" s="102">
        <f>'Day 2B - Match 9'!O24</f>
        <v>0</v>
      </c>
      <c r="P20" s="103">
        <f>'Day 3 - Match 10'!O24</f>
        <v>0</v>
      </c>
      <c r="Q20" s="104">
        <f>'Day 3 - Match 11'!O24</f>
        <v>0</v>
      </c>
      <c r="R20" s="102">
        <f>'Day 3 - Match 12'!O24</f>
        <v>1</v>
      </c>
      <c r="S20" s="623">
        <f>J47</f>
        <v>0</v>
      </c>
      <c r="T20" s="225">
        <f>Scramble!AG24</f>
        <v>0</v>
      </c>
      <c r="U20" s="96" t="str">
        <f t="shared" si="2"/>
        <v>Dave</v>
      </c>
      <c r="AA20" s="273"/>
      <c r="AB20" s="97">
        <v>10</v>
      </c>
      <c r="AC20" s="97">
        <f>COUNTIF($M$38:$M$53,AB20)</f>
        <v>0</v>
      </c>
      <c r="AD20" s="298">
        <f>Setup!C58</f>
        <v>0</v>
      </c>
      <c r="AE20" s="97">
        <f>IF($AC20=AE$1,$AD20,0)</f>
        <v>0</v>
      </c>
      <c r="AF20" s="97">
        <f>IF($AC20=$AF$1,SUM($AD20:$AD22)/$AF$1,0)</f>
        <v>0</v>
      </c>
      <c r="AG20" s="97">
        <f>IF($AC20=$AG$1,SUM($AD20:$AD24)/$AG$1,0)</f>
        <v>0</v>
      </c>
      <c r="AH20" s="97">
        <f>IF($AC20=$AH$1,SUM($AD20:$AD26)/$AH$1,0)</f>
        <v>0</v>
      </c>
      <c r="AI20" s="97">
        <f>IF($AC20=AI$1,SUM($AD20:$AD28)/AI$1,0)</f>
        <v>0</v>
      </c>
      <c r="AJ20" s="97">
        <f>IF($AC20=AJ$1,SUM($AD20:$AD30)/AJ$1,0)</f>
        <v>0</v>
      </c>
      <c r="AK20" s="97">
        <f>IF($AC20=AK$1,SUM($AD20:$AD32)/AK$1,0)</f>
        <v>0</v>
      </c>
      <c r="AO20" s="97">
        <f ca="1">COUNTIF(Results!R$5:R$36,AB20)</f>
        <v>1</v>
      </c>
      <c r="AU20" s="96" t="str">
        <f ca="1">IF(Results!$R23=$AB$2,Results!AV23,"")</f>
        <v/>
      </c>
      <c r="AV20" s="96" t="str">
        <f ca="1">IF(Results!$R23=$AB$4,Results!AW23,"")</f>
        <v/>
      </c>
      <c r="AW20" s="96" t="str">
        <f ca="1">IF(Results!$R23=$AB$6,Results!AX23,"")</f>
        <v/>
      </c>
      <c r="AX20" s="96" t="str">
        <f ca="1">IF(Results!$R23=$AB$8,Results!AY23,"")</f>
        <v/>
      </c>
      <c r="AY20" s="97" t="str">
        <f ca="1">IF(Results!R23=AB$2,"Winner","")</f>
        <v/>
      </c>
      <c r="AZ20" s="97" t="str">
        <f ca="1">IF(Results!R23=AB$4,"2nd Place","")</f>
        <v/>
      </c>
      <c r="BA20" s="97" t="str">
        <f ca="1">IF(Results!R23=AB$6,"3rd Place","")</f>
        <v/>
      </c>
      <c r="BB20" s="97" t="str">
        <f ca="1">IF(Results!R23=AB$8,"4th Place","")</f>
        <v/>
      </c>
      <c r="BD20" s="109" t="str">
        <f ca="1">IF(ISNUMBER(FIND("Winner",Results!J23)),Setup!C$42,IF(ISNUMBER(FIND("2nd Place",Results!J23)),Setup!C$43,IF(ISNUMBER(FIND("3rd Place",Results!J23)),Setup!C$44,"")))</f>
        <v/>
      </c>
      <c r="BF20" s="97"/>
      <c r="BG20" s="783">
        <f t="shared" si="3"/>
        <v>13</v>
      </c>
      <c r="BH20" s="783">
        <f t="shared" si="4"/>
        <v>14</v>
      </c>
    </row>
    <row r="21" spans="1:60" ht="12.75" hidden="1" x14ac:dyDescent="0.2">
      <c r="A21" s="347"/>
      <c r="B21" s="430"/>
      <c r="C21" s="101"/>
      <c r="D21" s="207"/>
      <c r="E21" s="348"/>
      <c r="F21" s="198"/>
      <c r="G21" s="101"/>
      <c r="H21" s="200"/>
      <c r="I21" s="225"/>
      <c r="J21" s="103"/>
      <c r="K21" s="104"/>
      <c r="L21" s="200"/>
      <c r="M21" s="103"/>
      <c r="N21" s="104"/>
      <c r="O21" s="102"/>
      <c r="P21" s="103"/>
      <c r="Q21" s="104"/>
      <c r="R21" s="102"/>
      <c r="S21" s="623"/>
      <c r="T21" s="347"/>
      <c r="U21" s="96">
        <f t="shared" si="2"/>
        <v>0</v>
      </c>
      <c r="AA21" s="273"/>
      <c r="AD21" s="298"/>
      <c r="AU21" s="96"/>
      <c r="AV21" s="96"/>
      <c r="AW21" s="96"/>
      <c r="AX21" s="96"/>
      <c r="BD21" s="109"/>
      <c r="BF21" s="97"/>
      <c r="BG21" s="783">
        <f t="shared" si="3"/>
        <v>0</v>
      </c>
      <c r="BH21" s="783">
        <f t="shared" si="4"/>
        <v>0</v>
      </c>
    </row>
    <row r="22" spans="1:60" ht="12.75" x14ac:dyDescent="0.2">
      <c r="A22" s="347" t="str">
        <f>Setup!B22</f>
        <v>Hunter</v>
      </c>
      <c r="B22" s="430">
        <f t="shared" si="0"/>
        <v>2</v>
      </c>
      <c r="C22" s="101">
        <f t="shared" si="1"/>
        <v>9</v>
      </c>
      <c r="D22" s="207">
        <f>SUM(P22:T22)</f>
        <v>9</v>
      </c>
      <c r="E22" s="348">
        <f>N48</f>
        <v>0</v>
      </c>
      <c r="F22" s="198">
        <f>'Day 1 - Match 1'!O26</f>
        <v>2</v>
      </c>
      <c r="G22" s="101">
        <f>'Day 1 - Match 2'!O26</f>
        <v>0</v>
      </c>
      <c r="H22" s="200">
        <f>'Day 1 - Match 3'!O26</f>
        <v>0</v>
      </c>
      <c r="I22" s="225">
        <f>F48</f>
        <v>0</v>
      </c>
      <c r="J22" s="103">
        <f>'Day 2A - Match 4'!O26</f>
        <v>0</v>
      </c>
      <c r="K22" s="104">
        <f>'Day 2A - Match 5'!O26</f>
        <v>2</v>
      </c>
      <c r="L22" s="200">
        <f>'Day 2A - Match 6'!O26</f>
        <v>2</v>
      </c>
      <c r="M22" s="103">
        <f>'Day 2B - Match 7'!O26</f>
        <v>2</v>
      </c>
      <c r="N22" s="104">
        <f>'Day 2B - Match 8'!O26</f>
        <v>2</v>
      </c>
      <c r="O22" s="102">
        <f>'Day 2B - Match 9'!O26</f>
        <v>1</v>
      </c>
      <c r="P22" s="103">
        <f>'Day 3 - Match 10'!O26</f>
        <v>1</v>
      </c>
      <c r="Q22" s="104">
        <f>'Day 3 - Match 11'!O26</f>
        <v>2</v>
      </c>
      <c r="R22" s="102">
        <f>'Day 3 - Match 12'!O26</f>
        <v>2</v>
      </c>
      <c r="S22" s="623">
        <f>J48</f>
        <v>2</v>
      </c>
      <c r="T22" s="225">
        <f>Scramble!AG26</f>
        <v>2</v>
      </c>
      <c r="U22" s="96" t="str">
        <f t="shared" si="2"/>
        <v>Hunter</v>
      </c>
      <c r="AA22" s="273"/>
      <c r="AB22" s="97">
        <v>11</v>
      </c>
      <c r="AC22" s="97">
        <f>COUNTIF($M$38:$M$53,AB22)</f>
        <v>0</v>
      </c>
      <c r="AD22" s="298">
        <f>Setup!C59</f>
        <v>0</v>
      </c>
      <c r="AE22" s="97">
        <f>IF($AC22=AE$1,$AD22,0)</f>
        <v>0</v>
      </c>
      <c r="AF22" s="97">
        <f>IF($AC22=$AF$1,SUM($AD22:$AD24)/$AF$1,0)</f>
        <v>0</v>
      </c>
      <c r="AG22" s="97">
        <f>IF($AC22=$AG$1,SUM($AD22:$AD26)/$AG$1,0)</f>
        <v>0</v>
      </c>
      <c r="AH22" s="97">
        <f>IF($AC22=$AH$1,SUM($AD22:$AD28)/$AH$1,0)</f>
        <v>0</v>
      </c>
      <c r="AI22" s="97">
        <f>IF($AC22=AI$1,SUM($AD22:$AD30)/AI$1,0)</f>
        <v>0</v>
      </c>
      <c r="AJ22" s="97">
        <f>IF($AC22=AJ$1,SUM($AD22:$AD32)/AJ$1,0)</f>
        <v>0</v>
      </c>
      <c r="AK22" s="97">
        <f>IF($AC22=AK$1,SUM($AD22:$AD33)/AK$1,0)</f>
        <v>0</v>
      </c>
      <c r="AO22" s="97">
        <f ca="1">COUNTIF(Results!R$5:R$36,AB22)</f>
        <v>1</v>
      </c>
      <c r="AU22" s="96" t="str">
        <f ca="1">IF(Results!$R25=$AB$2,Results!AV25,"")</f>
        <v/>
      </c>
      <c r="AV22" s="96" t="str">
        <f ca="1">IF(Results!$R25=$AB$4,Results!AW25,"")</f>
        <v/>
      </c>
      <c r="AW22" s="96" t="str">
        <f ca="1">IF(Results!$R25=$AB$6,Results!AX25,"")</f>
        <v/>
      </c>
      <c r="AX22" s="96" t="str">
        <f ca="1">IF(Results!$R25=$AB$8,Results!AY25,"")</f>
        <v/>
      </c>
      <c r="AY22" s="97" t="str">
        <f ca="1">IF(Results!R25=AB$2,"Winner","")</f>
        <v/>
      </c>
      <c r="AZ22" s="97" t="str">
        <f ca="1">IF(Results!R25=AB$4,"2nd Place","")</f>
        <v/>
      </c>
      <c r="BA22" s="97" t="str">
        <f ca="1">IF(Results!R25=AB$6,"3rd Place","")</f>
        <v/>
      </c>
      <c r="BB22" s="97" t="str">
        <f ca="1">IF(Results!R25=AB$8,"4th Place","")</f>
        <v/>
      </c>
      <c r="BD22" s="109" t="str">
        <f ca="1">IF(ISNUMBER(FIND("Winner",Results!J25)),Setup!C$42,IF(ISNUMBER(FIND("2nd Place",Results!J25)),Setup!C$43,IF(ISNUMBER(FIND("3rd Place",Results!J25)),Setup!C$44,"")))</f>
        <v/>
      </c>
      <c r="BF22" s="97"/>
      <c r="BG22" s="783">
        <f t="shared" si="3"/>
        <v>11</v>
      </c>
      <c r="BH22" s="783">
        <f t="shared" si="4"/>
        <v>20</v>
      </c>
    </row>
    <row r="23" spans="1:60" ht="12.75" hidden="1" x14ac:dyDescent="0.2">
      <c r="A23" s="347"/>
      <c r="B23" s="430"/>
      <c r="C23" s="101"/>
      <c r="D23" s="207"/>
      <c r="E23" s="348"/>
      <c r="F23" s="198"/>
      <c r="G23" s="101"/>
      <c r="H23" s="200"/>
      <c r="I23" s="225"/>
      <c r="J23" s="103"/>
      <c r="K23" s="104"/>
      <c r="L23" s="200"/>
      <c r="M23" s="103"/>
      <c r="N23" s="104"/>
      <c r="O23" s="102"/>
      <c r="P23" s="103"/>
      <c r="Q23" s="104"/>
      <c r="R23" s="102"/>
      <c r="S23" s="623"/>
      <c r="T23" s="347"/>
      <c r="U23" s="96">
        <f t="shared" si="2"/>
        <v>0</v>
      </c>
      <c r="AA23" s="273"/>
      <c r="AD23" s="298"/>
      <c r="AU23" s="96"/>
      <c r="AV23" s="96"/>
      <c r="AW23" s="96"/>
      <c r="AX23" s="96"/>
      <c r="BD23" s="109"/>
      <c r="BF23" s="97"/>
      <c r="BG23" s="783">
        <f t="shared" si="3"/>
        <v>0</v>
      </c>
      <c r="BH23" s="783">
        <f t="shared" si="4"/>
        <v>0</v>
      </c>
    </row>
    <row r="24" spans="1:60" ht="12.75" x14ac:dyDescent="0.2">
      <c r="A24" s="347" t="str">
        <f>Setup!B24</f>
        <v>Gerald C</v>
      </c>
      <c r="B24" s="430">
        <f t="shared" si="0"/>
        <v>0</v>
      </c>
      <c r="C24" s="101">
        <f t="shared" si="1"/>
        <v>2</v>
      </c>
      <c r="D24" s="207">
        <f>SUM(P24:T24)</f>
        <v>7</v>
      </c>
      <c r="E24" s="348">
        <f>N49</f>
        <v>0</v>
      </c>
      <c r="F24" s="198">
        <f>'Day 1 - Match 1'!O28</f>
        <v>0</v>
      </c>
      <c r="G24" s="101">
        <f>'Day 1 - Match 2'!O28</f>
        <v>0</v>
      </c>
      <c r="H24" s="200">
        <f>'Day 1 - Match 3'!O28</f>
        <v>0</v>
      </c>
      <c r="I24" s="225">
        <f>F49</f>
        <v>0</v>
      </c>
      <c r="J24" s="103">
        <f>'Day 2A - Match 4'!O28</f>
        <v>0</v>
      </c>
      <c r="K24" s="104">
        <f>'Day 2A - Match 5'!O28</f>
        <v>2</v>
      </c>
      <c r="L24" s="200">
        <f>'Day 2A - Match 6'!O28</f>
        <v>0</v>
      </c>
      <c r="M24" s="103">
        <f>'Day 2B - Match 7'!O28</f>
        <v>0</v>
      </c>
      <c r="N24" s="104">
        <f>'Day 2B - Match 8'!O28</f>
        <v>0</v>
      </c>
      <c r="O24" s="102">
        <f>'Day 2B - Match 9'!O28</f>
        <v>0</v>
      </c>
      <c r="P24" s="103">
        <f>'Day 3 - Match 10'!O28</f>
        <v>0</v>
      </c>
      <c r="Q24" s="104">
        <f>'Day 3 - Match 11'!O28</f>
        <v>2</v>
      </c>
      <c r="R24" s="102">
        <f>'Day 3 - Match 12'!O28</f>
        <v>2</v>
      </c>
      <c r="S24" s="623">
        <f>J49</f>
        <v>0</v>
      </c>
      <c r="T24" s="225">
        <f>Scramble!AG28</f>
        <v>3</v>
      </c>
      <c r="U24" s="96" t="str">
        <f t="shared" si="2"/>
        <v>Gerald C</v>
      </c>
      <c r="AA24" s="273"/>
      <c r="AB24" s="97">
        <v>12</v>
      </c>
      <c r="AC24" s="97">
        <f>COUNTIF($M$38:$M$53,AB24)</f>
        <v>0</v>
      </c>
      <c r="AD24" s="298">
        <f>Setup!C60</f>
        <v>0</v>
      </c>
      <c r="AE24" s="97">
        <f>IF($AC24=AE$1,$AD24,0)</f>
        <v>0</v>
      </c>
      <c r="AF24" s="97">
        <f>IF($AC24=$AF$1,SUM($AD24:$AD26)/$AF$1,0)</f>
        <v>0</v>
      </c>
      <c r="AG24" s="97">
        <f>IF($AC24=$AG$1,SUM($AD24:$AD28)/$AG$1,0)</f>
        <v>0</v>
      </c>
      <c r="AH24" s="97">
        <f>IF($AC24=$AH$1,SUM($AD24:$AD30)/$AH$1,0)</f>
        <v>0</v>
      </c>
      <c r="AI24" s="97">
        <f>IF($AC24=AI$1,SUM($AD24:$AD32)/AI$1,0)</f>
        <v>0</v>
      </c>
      <c r="AJ24" s="97">
        <f>IF($AC24=AJ$1,SUM($AD24:$AD33)/AJ$1,0)</f>
        <v>0</v>
      </c>
      <c r="AK24" s="97">
        <f>IF($AC24=AK$1,SUM($AD24:$AD33)/AK$1,0)</f>
        <v>0</v>
      </c>
      <c r="AO24" s="97">
        <f ca="1">COUNTIF(Results!R$5:R$36,AB24)</f>
        <v>1</v>
      </c>
      <c r="AU24" s="96" t="str">
        <f ca="1">IF(Results!$R27=$AB$2,Results!AV27,"")</f>
        <v/>
      </c>
      <c r="AV24" s="96" t="str">
        <f ca="1">IF(Results!$R27=$AB$4,Results!AW27,"")</f>
        <v/>
      </c>
      <c r="AW24" s="96" t="str">
        <f ca="1">IF(Results!$R27=$AB$6,Results!AX27,"")</f>
        <v/>
      </c>
      <c r="AX24" s="96" t="str">
        <f ca="1">IF(Results!$R27=$AB$8,Results!AY27,"")</f>
        <v/>
      </c>
      <c r="AY24" s="97" t="str">
        <f ca="1">IF(Results!R27=AB$2,"Winner","")</f>
        <v/>
      </c>
      <c r="AZ24" s="97" t="str">
        <f ca="1">IF(Results!R27=AB$4,"2nd Place","")</f>
        <v/>
      </c>
      <c r="BA24" s="97" t="str">
        <f ca="1">IF(Results!R27=AB$6,"3rd Place","")</f>
        <v/>
      </c>
      <c r="BB24" s="97" t="str">
        <f ca="1">IF(Results!R27=AB$8,"4th Place","")</f>
        <v/>
      </c>
      <c r="BD24" s="109" t="str">
        <f ca="1">IF(ISNUMBER(FIND("Winner",Results!J27)),Setup!C$42,IF(ISNUMBER(FIND("2nd Place",Results!J27)),Setup!C$43,IF(ISNUMBER(FIND("3rd Place",Results!J27)),Setup!C$44,"")))</f>
        <v/>
      </c>
      <c r="BF24" s="97"/>
      <c r="BG24" s="783">
        <f t="shared" si="3"/>
        <v>2</v>
      </c>
      <c r="BH24" s="783">
        <f t="shared" si="4"/>
        <v>9</v>
      </c>
    </row>
    <row r="25" spans="1:60" ht="12.75" hidden="1" x14ac:dyDescent="0.2">
      <c r="A25" s="347"/>
      <c r="B25" s="430"/>
      <c r="C25" s="101"/>
      <c r="D25" s="207"/>
      <c r="E25" s="348"/>
      <c r="F25" s="198"/>
      <c r="G25" s="101"/>
      <c r="H25" s="200"/>
      <c r="I25" s="225"/>
      <c r="J25" s="103"/>
      <c r="K25" s="104"/>
      <c r="L25" s="200"/>
      <c r="M25" s="103"/>
      <c r="N25" s="104"/>
      <c r="O25" s="102"/>
      <c r="P25" s="103"/>
      <c r="Q25" s="104"/>
      <c r="R25" s="102"/>
      <c r="S25" s="623"/>
      <c r="T25" s="347"/>
      <c r="U25" s="96">
        <f t="shared" si="2"/>
        <v>0</v>
      </c>
      <c r="AA25" s="273"/>
      <c r="AD25" s="298"/>
      <c r="AU25" s="96"/>
      <c r="AV25" s="96"/>
      <c r="AW25" s="96"/>
      <c r="AX25" s="96"/>
      <c r="BD25" s="109"/>
      <c r="BF25" s="97"/>
      <c r="BG25" s="783">
        <f t="shared" si="3"/>
        <v>0</v>
      </c>
      <c r="BH25" s="783">
        <f t="shared" si="4"/>
        <v>0</v>
      </c>
    </row>
    <row r="26" spans="1:60" ht="12.75" x14ac:dyDescent="0.2">
      <c r="A26" s="347" t="str">
        <f>Setup!B26</f>
        <v>Bob</v>
      </c>
      <c r="B26" s="430">
        <f t="shared" si="0"/>
        <v>6</v>
      </c>
      <c r="C26" s="101">
        <f t="shared" si="1"/>
        <v>8</v>
      </c>
      <c r="D26" s="207">
        <f>SUM(P26:T26)</f>
        <v>4</v>
      </c>
      <c r="E26" s="348">
        <f>N50</f>
        <v>10</v>
      </c>
      <c r="F26" s="198">
        <f>'Day 1 - Match 1'!O30</f>
        <v>2</v>
      </c>
      <c r="G26" s="101">
        <f>'Day 1 - Match 2'!O30</f>
        <v>2</v>
      </c>
      <c r="H26" s="200">
        <f>'Day 1 - Match 3'!O30</f>
        <v>2</v>
      </c>
      <c r="I26" s="225">
        <f>F50</f>
        <v>0</v>
      </c>
      <c r="J26" s="103">
        <f>'Day 2A - Match 4'!O30</f>
        <v>0</v>
      </c>
      <c r="K26" s="104">
        <f>'Day 2A - Match 5'!O30</f>
        <v>2</v>
      </c>
      <c r="L26" s="200">
        <f>'Day 2A - Match 6'!O30</f>
        <v>2</v>
      </c>
      <c r="M26" s="103">
        <f>'Day 2B - Match 7'!O30</f>
        <v>2</v>
      </c>
      <c r="N26" s="104">
        <f>'Day 2B - Match 8'!O30</f>
        <v>0</v>
      </c>
      <c r="O26" s="102">
        <f>'Day 2B - Match 9'!O30</f>
        <v>2</v>
      </c>
      <c r="P26" s="103">
        <f>'Day 3 - Match 10'!O30</f>
        <v>2</v>
      </c>
      <c r="Q26" s="104">
        <f>'Day 3 - Match 11'!O30</f>
        <v>0</v>
      </c>
      <c r="R26" s="102">
        <f>'Day 3 - Match 12'!O30</f>
        <v>0</v>
      </c>
      <c r="S26" s="623">
        <f>J50</f>
        <v>0</v>
      </c>
      <c r="T26" s="225">
        <f>Scramble!AG30</f>
        <v>2</v>
      </c>
      <c r="U26" s="96" t="str">
        <f t="shared" si="2"/>
        <v>Bob</v>
      </c>
      <c r="AA26" s="273"/>
      <c r="AB26" s="97">
        <v>13</v>
      </c>
      <c r="AC26" s="97">
        <f>COUNTIF($M$38:$M$53,AB26)</f>
        <v>1</v>
      </c>
      <c r="AD26" s="298">
        <f>Setup!C61</f>
        <v>0</v>
      </c>
      <c r="AE26" s="97">
        <f>IF($AC26=AE$1,$AD26,0)</f>
        <v>0</v>
      </c>
      <c r="AF26" s="97">
        <f>IF($AC26=$AF$1,SUM($AD26:$AD28)/$AF$1,0)</f>
        <v>0</v>
      </c>
      <c r="AG26" s="97">
        <f>IF($AC26=$AG$1,SUM($AD26:$AD30)/$AG$1,0)</f>
        <v>0</v>
      </c>
      <c r="AH26" s="97">
        <f>IF($AC26=$AH$1,SUM($AD26:$AD32)/$AH$1,0)</f>
        <v>0</v>
      </c>
      <c r="AI26" s="97">
        <f>IF($AC26=AI$1,SUM($AD26:$AD33)/AI$1,0)</f>
        <v>0</v>
      </c>
      <c r="AJ26" s="97">
        <f>IF($AC26=AJ$1,SUM($AD26:$AD33)/AJ$1,0)</f>
        <v>0</v>
      </c>
      <c r="AK26" s="97">
        <f>IF($AC26=AK$1,SUM($AD26:$AD33)/AK$1,0)</f>
        <v>0</v>
      </c>
      <c r="AO26" s="97">
        <f ca="1">COUNTIF(Results!R$5:R$36,AB26)</f>
        <v>1</v>
      </c>
      <c r="AU26" s="96" t="str">
        <f ca="1">IF(Results!$R29=$AB$2,Results!AV29,"")</f>
        <v/>
      </c>
      <c r="AV26" s="96" t="str">
        <f ca="1">IF(Results!$R29=$AB$4,Results!AW29,"")</f>
        <v/>
      </c>
      <c r="AW26" s="96" t="str">
        <f ca="1">IF(Results!$R29=$AB$6,Results!AX29,"")</f>
        <v/>
      </c>
      <c r="AX26" s="96">
        <f ca="1">IF(Results!$R29=$AB$8,Results!AY29,"")</f>
        <v>0</v>
      </c>
      <c r="AY26" s="97" t="str">
        <f ca="1">IF(Results!R29=AB$2,"Winner","")</f>
        <v/>
      </c>
      <c r="AZ26" s="97" t="str">
        <f ca="1">IF(Results!R29=AB$4,"2nd Place","")</f>
        <v/>
      </c>
      <c r="BA26" s="97" t="str">
        <f ca="1">IF(Results!R29=AB$6,"3rd Place","")</f>
        <v/>
      </c>
      <c r="BB26" s="97" t="str">
        <f ca="1">IF(Results!R29=AB$8,"4th Place","")</f>
        <v>4th Place</v>
      </c>
      <c r="BD26" s="109" t="str">
        <f ca="1">IF(ISNUMBER(FIND("Winner",Results!J29)),Setup!C$42,IF(ISNUMBER(FIND("2nd Place",Results!J29)),Setup!C$43,IF(ISNUMBER(FIND("3rd Place",Results!J29)),Setup!C$44,"")))</f>
        <v/>
      </c>
      <c r="BF26" s="97"/>
      <c r="BG26" s="783">
        <f t="shared" si="3"/>
        <v>14</v>
      </c>
      <c r="BH26" s="783">
        <f t="shared" si="4"/>
        <v>18</v>
      </c>
    </row>
    <row r="27" spans="1:60" ht="12.75" hidden="1" x14ac:dyDescent="0.2">
      <c r="A27" s="347"/>
      <c r="B27" s="430"/>
      <c r="C27" s="101"/>
      <c r="D27" s="207"/>
      <c r="E27" s="348"/>
      <c r="F27" s="198"/>
      <c r="G27" s="101"/>
      <c r="H27" s="200"/>
      <c r="I27" s="225"/>
      <c r="J27" s="103"/>
      <c r="K27" s="104"/>
      <c r="L27" s="200"/>
      <c r="M27" s="103"/>
      <c r="N27" s="104"/>
      <c r="O27" s="102"/>
      <c r="P27" s="103"/>
      <c r="Q27" s="104"/>
      <c r="R27" s="102"/>
      <c r="S27" s="623"/>
      <c r="T27" s="347"/>
      <c r="U27" s="96">
        <f t="shared" si="2"/>
        <v>0</v>
      </c>
      <c r="AA27" s="273"/>
      <c r="AD27" s="298"/>
      <c r="AU27" s="96"/>
      <c r="AV27" s="96"/>
      <c r="AW27" s="96"/>
      <c r="AX27" s="96"/>
      <c r="BD27" s="109"/>
      <c r="BF27" s="97"/>
      <c r="BG27" s="783">
        <f t="shared" si="3"/>
        <v>0</v>
      </c>
      <c r="BH27" s="783">
        <f t="shared" si="4"/>
        <v>0</v>
      </c>
    </row>
    <row r="28" spans="1:60" ht="12.75" x14ac:dyDescent="0.2">
      <c r="A28" s="562" t="str">
        <f>Setup!B28</f>
        <v>Patrick</v>
      </c>
      <c r="B28" s="430">
        <f t="shared" si="0"/>
        <v>0</v>
      </c>
      <c r="C28" s="101">
        <f t="shared" si="1"/>
        <v>2</v>
      </c>
      <c r="D28" s="207">
        <f>SUM(P28:T28)</f>
        <v>5</v>
      </c>
      <c r="E28" s="348">
        <f>N51</f>
        <v>0</v>
      </c>
      <c r="F28" s="198">
        <f>'Day 1 - Match 1'!O32</f>
        <v>0</v>
      </c>
      <c r="G28" s="101">
        <f>'Day 1 - Match 2'!O32</f>
        <v>0</v>
      </c>
      <c r="H28" s="200">
        <f>'Day 1 - Match 3'!O32</f>
        <v>0</v>
      </c>
      <c r="I28" s="225">
        <f>F51</f>
        <v>0</v>
      </c>
      <c r="J28" s="103">
        <f>'Day 2A - Match 4'!O32</f>
        <v>0</v>
      </c>
      <c r="K28" s="104">
        <f>'Day 2A - Match 5'!O32</f>
        <v>2</v>
      </c>
      <c r="L28" s="200">
        <f>'Day 2A - Match 6'!O32</f>
        <v>0</v>
      </c>
      <c r="M28" s="103">
        <f>'Day 2B - Match 7'!O32</f>
        <v>0</v>
      </c>
      <c r="N28" s="104">
        <f>'Day 2B - Match 8'!O32</f>
        <v>0</v>
      </c>
      <c r="O28" s="102">
        <f>'Day 2B - Match 9'!O32</f>
        <v>0</v>
      </c>
      <c r="P28" s="103">
        <f>'Day 3 - Match 10'!O32</f>
        <v>2</v>
      </c>
      <c r="Q28" s="104">
        <f>'Day 3 - Match 11'!O32</f>
        <v>0</v>
      </c>
      <c r="R28" s="102">
        <f>'Day 3 - Match 12'!O32</f>
        <v>0</v>
      </c>
      <c r="S28" s="623">
        <f>J51</f>
        <v>0</v>
      </c>
      <c r="T28" s="225">
        <f>Scramble!AG32</f>
        <v>3</v>
      </c>
      <c r="U28" s="96" t="str">
        <f t="shared" si="2"/>
        <v>Patrick</v>
      </c>
      <c r="AA28" s="273"/>
      <c r="AB28" s="97">
        <v>14</v>
      </c>
      <c r="AC28" s="97">
        <f>COUNTIF($M$38:$M$53,AB28)</f>
        <v>1</v>
      </c>
      <c r="AD28" s="298">
        <f>Setup!C62</f>
        <v>0</v>
      </c>
      <c r="AE28" s="97">
        <f>IF($AC28=AE$1,$AD28,0)</f>
        <v>0</v>
      </c>
      <c r="AF28" s="97">
        <f>IF($AC28=$AF$1,SUM($AD28:$AD30)/$AF$1,0)</f>
        <v>0</v>
      </c>
      <c r="AG28" s="97">
        <f>IF($AC28=$AG$1,SUM($AD28:$AD32)/$AG$1,0)</f>
        <v>0</v>
      </c>
      <c r="AH28" s="97">
        <f>IF($AC28=$AH$1,SUM($AD28:$AD33)/$AH$1,0)</f>
        <v>0</v>
      </c>
      <c r="AI28" s="97">
        <f>IF($AC28=AI$1,SUM($AD28:$AD33)/AI$1,0)</f>
        <v>0</v>
      </c>
      <c r="AJ28" s="97">
        <f>IF($AC28=AJ$1,SUM($AD28:$AD33)/AJ$1,0)</f>
        <v>0</v>
      </c>
      <c r="AK28" s="97">
        <f>IF($AC28=AK$1,SUM($AD28:$AD33)/AK$1,0)</f>
        <v>0</v>
      </c>
      <c r="AO28" s="97">
        <f ca="1">COUNTIF(Results!R$5:R$36,AB28)</f>
        <v>1</v>
      </c>
      <c r="AU28" s="96" t="str">
        <f ca="1">IF(Results!$R31=$AB$2,Results!AV31,"")</f>
        <v/>
      </c>
      <c r="AV28" s="96" t="str">
        <f ca="1">IF(Results!$R31=$AB$4,Results!AW31,"")</f>
        <v/>
      </c>
      <c r="AW28" s="96" t="str">
        <f ca="1">IF(Results!$R31=$AB$6,Results!AX31,"")</f>
        <v/>
      </c>
      <c r="AX28" s="96" t="str">
        <f ca="1">IF(Results!$R31=$AB$8,Results!AY31,"")</f>
        <v/>
      </c>
      <c r="AY28" s="97" t="str">
        <f ca="1">IF(Results!R31=AB$2,"Winner","")</f>
        <v/>
      </c>
      <c r="AZ28" s="97" t="str">
        <f ca="1">IF(Results!R31=AB$4,"2nd Place","")</f>
        <v/>
      </c>
      <c r="BA28" s="97" t="str">
        <f ca="1">IF(Results!R31=AB$6,"3rd Place","")</f>
        <v/>
      </c>
      <c r="BB28" s="97" t="str">
        <f ca="1">IF(Results!R31=AB$8,"4th Place","")</f>
        <v/>
      </c>
      <c r="BD28" s="109" t="str">
        <f ca="1">IF(ISNUMBER(FIND("Winner",Results!J31)),Setup!C$42,IF(ISNUMBER(FIND("2nd Place",Results!J31)),Setup!C$43,IF(ISNUMBER(FIND("3rd Place",Results!J31)),Setup!C$44,"")))</f>
        <v/>
      </c>
      <c r="BF28" s="97"/>
      <c r="BG28" s="783">
        <f t="shared" si="3"/>
        <v>2</v>
      </c>
      <c r="BH28" s="783">
        <f t="shared" si="4"/>
        <v>7</v>
      </c>
    </row>
    <row r="29" spans="1:60" ht="12.75" hidden="1" x14ac:dyDescent="0.2">
      <c r="A29" s="347"/>
      <c r="B29" s="430"/>
      <c r="C29" s="101"/>
      <c r="D29" s="207"/>
      <c r="E29" s="348"/>
      <c r="F29" s="198"/>
      <c r="G29" s="101"/>
      <c r="H29" s="200"/>
      <c r="I29" s="225"/>
      <c r="J29" s="103"/>
      <c r="K29" s="104"/>
      <c r="L29" s="200"/>
      <c r="M29" s="103"/>
      <c r="N29" s="104"/>
      <c r="O29" s="102"/>
      <c r="P29" s="103"/>
      <c r="Q29" s="104"/>
      <c r="R29" s="102"/>
      <c r="S29" s="623"/>
      <c r="T29" s="347"/>
      <c r="U29" s="96">
        <f t="shared" si="2"/>
        <v>0</v>
      </c>
      <c r="AA29" s="273"/>
      <c r="AD29" s="298"/>
      <c r="AU29" s="96"/>
      <c r="AV29" s="96"/>
      <c r="AW29" s="96"/>
      <c r="AX29" s="96"/>
      <c r="BD29" s="109"/>
      <c r="BF29" s="97"/>
      <c r="BG29" s="783">
        <f t="shared" si="3"/>
        <v>0</v>
      </c>
      <c r="BH29" s="783">
        <f t="shared" si="4"/>
        <v>0</v>
      </c>
    </row>
    <row r="30" spans="1:60" ht="12.75" x14ac:dyDescent="0.2">
      <c r="A30" s="347" t="str">
        <f>Setup!B30</f>
        <v>Brian S</v>
      </c>
      <c r="B30" s="430">
        <f>SUM(F30:I30)</f>
        <v>6</v>
      </c>
      <c r="C30" s="101">
        <f>SUM(J30:O30)</f>
        <v>5</v>
      </c>
      <c r="D30" s="207">
        <f>SUM(P30:T30)</f>
        <v>7</v>
      </c>
      <c r="E30" s="348">
        <f>N52</f>
        <v>0</v>
      </c>
      <c r="F30" s="198">
        <f>'Day 1 - Match 1'!O34</f>
        <v>2</v>
      </c>
      <c r="G30" s="101">
        <f>'Day 1 - Match 2'!O34</f>
        <v>0</v>
      </c>
      <c r="H30" s="200">
        <f>'Day 1 - Match 3'!O34</f>
        <v>2</v>
      </c>
      <c r="I30" s="225">
        <f>F52</f>
        <v>2</v>
      </c>
      <c r="J30" s="103">
        <f>'Day 2A - Match 4'!O34</f>
        <v>1</v>
      </c>
      <c r="K30" s="104">
        <f>'Day 2A - Match 5'!O34</f>
        <v>0</v>
      </c>
      <c r="L30" s="200">
        <f>'Day 2A - Match 6'!O34</f>
        <v>0</v>
      </c>
      <c r="M30" s="103">
        <f>'Day 2B - Match 7'!O34</f>
        <v>0</v>
      </c>
      <c r="N30" s="104">
        <f>'Day 2B - Match 8'!O34</f>
        <v>2</v>
      </c>
      <c r="O30" s="102">
        <f>'Day 2B - Match 9'!O34</f>
        <v>2</v>
      </c>
      <c r="P30" s="103">
        <f>'Day 3 - Match 10'!O34</f>
        <v>2</v>
      </c>
      <c r="Q30" s="104">
        <f>'Day 3 - Match 11'!O34</f>
        <v>2</v>
      </c>
      <c r="R30" s="102">
        <f>'Day 3 - Match 12'!O34</f>
        <v>2</v>
      </c>
      <c r="S30" s="623">
        <f>J52</f>
        <v>0</v>
      </c>
      <c r="T30" s="225">
        <f>Scramble!AG34</f>
        <v>1</v>
      </c>
      <c r="U30" s="96" t="str">
        <f t="shared" si="2"/>
        <v>Brian S</v>
      </c>
      <c r="AA30" s="273"/>
      <c r="AB30" s="97">
        <v>15</v>
      </c>
      <c r="AC30" s="97">
        <f>COUNTIF($M$38:$M$53,AB30)</f>
        <v>1</v>
      </c>
      <c r="AD30" s="298">
        <f>Setup!C63</f>
        <v>0</v>
      </c>
      <c r="AE30" s="97">
        <f>IF($AC30=AE$1,$AD30,0)</f>
        <v>0</v>
      </c>
      <c r="AF30" s="97">
        <f>IF($AC30=$AF$1,SUM($AD30:$AD32)/$AF$1,0)</f>
        <v>0</v>
      </c>
      <c r="AG30" s="97">
        <f>IF($AC30=$AG$1,SUM($AD30:$AD33)/$AG$1,0)</f>
        <v>0</v>
      </c>
      <c r="AH30" s="97">
        <f>IF($AC30=$AH$1,SUM($AD30:$AD33)/$AH$1,0)</f>
        <v>0</v>
      </c>
      <c r="AI30" s="97">
        <f>IF($AC30=AI$1,SUM($AD30:$AD33)/AI$1,0)</f>
        <v>0</v>
      </c>
      <c r="AJ30" s="97">
        <f>IF($AC30=AJ$1,SUM($AD30:$AD33)/AJ$1,0)</f>
        <v>0</v>
      </c>
      <c r="AK30" s="97">
        <f>IF($AC30=AK$1,SUM($AD30:$AD33)/AK$1,0)</f>
        <v>0</v>
      </c>
      <c r="AO30" s="97">
        <f ca="1">COUNTIF(Results!R$5:R$36,AB30)</f>
        <v>1</v>
      </c>
      <c r="AU30" s="96" t="str">
        <f ca="1">IF(Results!$R33=$AB$2,Results!AV33,"")</f>
        <v/>
      </c>
      <c r="AV30" s="96" t="str">
        <f ca="1">IF(Results!$R33=$AB$4,Results!AW33,"")</f>
        <v/>
      </c>
      <c r="AW30" s="96" t="str">
        <f ca="1">IF(Results!$R33=$AB$6,Results!AX33,"")</f>
        <v/>
      </c>
      <c r="AX30" s="96" t="str">
        <f ca="1">IF(Results!$R33=$AB$8,Results!AY33,"")</f>
        <v/>
      </c>
      <c r="AY30" s="97" t="str">
        <f ca="1">IF(Results!R33=AB$2,"Winner","")</f>
        <v/>
      </c>
      <c r="AZ30" s="97" t="str">
        <f ca="1">IF(Results!R33=AB$4,"2nd Place","")</f>
        <v/>
      </c>
      <c r="BA30" s="97" t="str">
        <f ca="1">IF(Results!R33=AB$6,"3rd Place","")</f>
        <v/>
      </c>
      <c r="BB30" s="97" t="str">
        <f ca="1">IF(Results!R33=AB$8,"4th Place","")</f>
        <v/>
      </c>
      <c r="BD30" s="109" t="str">
        <f>IF(ISNUMBER(FIND("Winner",Results!J37)),Setup!C$42,IF(ISNUMBER(FIND("2nd Place",Results!J37)),Setup!C$43,IF(ISNUMBER(FIND("3rd Place",Results!J37)),Setup!C$44,"")))</f>
        <v/>
      </c>
      <c r="BF30" s="97"/>
      <c r="BG30" s="783">
        <f t="shared" si="3"/>
        <v>11</v>
      </c>
      <c r="BH30" s="783">
        <f t="shared" si="4"/>
        <v>18</v>
      </c>
    </row>
    <row r="31" spans="1:60" ht="12.75" hidden="1" x14ac:dyDescent="0.2">
      <c r="A31" s="347"/>
      <c r="B31" s="430"/>
      <c r="C31" s="101"/>
      <c r="D31" s="207"/>
      <c r="E31" s="348"/>
      <c r="F31" s="198"/>
      <c r="G31" s="101"/>
      <c r="H31" s="200"/>
      <c r="I31" s="225"/>
      <c r="J31" s="103"/>
      <c r="K31" s="104"/>
      <c r="L31" s="200"/>
      <c r="M31" s="103"/>
      <c r="N31" s="104"/>
      <c r="O31" s="102"/>
      <c r="P31" s="103"/>
      <c r="Q31" s="104"/>
      <c r="R31" s="102"/>
      <c r="S31" s="623"/>
      <c r="T31" s="347"/>
      <c r="U31" s="96">
        <f t="shared" si="2"/>
        <v>0</v>
      </c>
      <c r="AA31" s="273"/>
      <c r="AD31" s="298"/>
      <c r="AU31" s="96"/>
      <c r="AV31" s="96"/>
      <c r="AW31" s="96"/>
      <c r="AX31" s="96"/>
      <c r="BD31" s="109"/>
      <c r="BF31" s="97"/>
      <c r="BG31" s="783">
        <f t="shared" si="3"/>
        <v>0</v>
      </c>
      <c r="BH31" s="783">
        <f t="shared" si="4"/>
        <v>0</v>
      </c>
    </row>
    <row r="32" spans="1:60" ht="13.5" thickBot="1" x14ac:dyDescent="0.25">
      <c r="A32" s="347" t="str">
        <f>Setup!B32</f>
        <v>Chris</v>
      </c>
      <c r="B32" s="430">
        <f>SUM(F32:I32)</f>
        <v>2</v>
      </c>
      <c r="C32" s="101">
        <f>SUM(J32:O32)</f>
        <v>6</v>
      </c>
      <c r="D32" s="207">
        <f>SUM(P32:T32)</f>
        <v>4</v>
      </c>
      <c r="E32" s="348">
        <f>N53</f>
        <v>0</v>
      </c>
      <c r="F32" s="198">
        <f>'Day 1 - Match 1'!O36</f>
        <v>0</v>
      </c>
      <c r="G32" s="101">
        <f>'Day 1 - Match 2'!O36</f>
        <v>2</v>
      </c>
      <c r="H32" s="200">
        <f>'Day 1 - Match 3'!O36</f>
        <v>0</v>
      </c>
      <c r="I32" s="225">
        <f>F53</f>
        <v>0</v>
      </c>
      <c r="J32" s="103">
        <f>'Day 2A - Match 4'!O36</f>
        <v>0</v>
      </c>
      <c r="K32" s="104">
        <f>'Day 2A - Match 5'!O36</f>
        <v>2</v>
      </c>
      <c r="L32" s="200">
        <f>'Day 2A - Match 6'!O36</f>
        <v>2</v>
      </c>
      <c r="M32" s="103">
        <f>'Day 2B - Match 7'!O36</f>
        <v>0</v>
      </c>
      <c r="N32" s="104">
        <f>'Day 2B - Match 8'!O36</f>
        <v>0</v>
      </c>
      <c r="O32" s="102">
        <f>'Day 2B - Match 9'!O36</f>
        <v>2</v>
      </c>
      <c r="P32" s="103">
        <f>'Day 3 - Match 10'!O36</f>
        <v>0</v>
      </c>
      <c r="Q32" s="104">
        <f>'Day 3 - Match 11'!O36</f>
        <v>2</v>
      </c>
      <c r="R32" s="102">
        <f>'Day 3 - Match 12'!O36</f>
        <v>0</v>
      </c>
      <c r="S32" s="623">
        <f>J53</f>
        <v>2</v>
      </c>
      <c r="T32" s="225">
        <f>Scramble!AG36</f>
        <v>0</v>
      </c>
      <c r="U32" s="96" t="str">
        <f t="shared" si="2"/>
        <v>Chris</v>
      </c>
      <c r="AA32" s="273"/>
      <c r="AB32" s="97">
        <v>16</v>
      </c>
      <c r="AC32" s="97">
        <f>COUNTIF($M$38:$M$53,AB32)</f>
        <v>1</v>
      </c>
      <c r="AD32" s="298">
        <f>Setup!C64</f>
        <v>0</v>
      </c>
      <c r="AE32" s="97">
        <f>IF($AC32=AE$1,$AD32,0)</f>
        <v>0</v>
      </c>
      <c r="AF32" s="97">
        <f>IF($AC32=$AF$1,SUM($AD32:$AD33)/$AF$1,0)</f>
        <v>0</v>
      </c>
      <c r="AG32" s="97">
        <f>IF($AC32=$AG$1,SUM($AD32:$AD33)/$AG$1,0)</f>
        <v>0</v>
      </c>
      <c r="AH32" s="97">
        <f>IF($AC32=$AH$1,SUM($AD32:$AD33)/$AH$1,0)</f>
        <v>0</v>
      </c>
      <c r="AI32" s="97">
        <f>IF($AC32=AI$1,SUM($AD32:$AD33)/AI$1,0)</f>
        <v>0</v>
      </c>
      <c r="AJ32" s="97">
        <f>IF($AC32=AJ$1,SUM($AD32:$AD33)/AJ$1,0)</f>
        <v>0</v>
      </c>
      <c r="AK32" s="97">
        <f>IF($AC32=AK$1,SUM($AD32:$AD33)/AK$1,0)</f>
        <v>0</v>
      </c>
      <c r="AO32" s="97">
        <f ca="1">COUNTIF(Results!R$5:R$36,AB32)</f>
        <v>1</v>
      </c>
      <c r="AU32" s="96" t="str">
        <f ca="1">IF(Results!$R35=$AB$2,Results!AV35,"")</f>
        <v/>
      </c>
      <c r="AV32" s="96" t="str">
        <f ca="1">IF(Results!$R35=$AB$4,Results!AW35,"")</f>
        <v/>
      </c>
      <c r="AW32" s="96" t="str">
        <f ca="1">IF(Results!$R35=$AB$6,Results!AX35,"")</f>
        <v/>
      </c>
      <c r="AX32" s="96" t="str">
        <f ca="1">IF(Results!$R35=$AB$8,Results!AY35,"")</f>
        <v/>
      </c>
      <c r="AY32" s="97" t="str">
        <f ca="1">IF(Results!R35=AB$2,"Winner","")</f>
        <v/>
      </c>
      <c r="AZ32" s="97" t="str">
        <f ca="1">IF(Results!R35=AB$4,"2nd Place","")</f>
        <v/>
      </c>
      <c r="BA32" s="97" t="str">
        <f ca="1">IF(Results!R35=AB$6,"3rd Place","")</f>
        <v/>
      </c>
      <c r="BB32" s="97" t="str">
        <f ca="1">IF(Results!R35=AB$8,"4th Place","")</f>
        <v/>
      </c>
      <c r="BD32" s="109" t="str">
        <f>IF(ISNUMBER(FIND("Winner",Results!J39)),Setup!C$42,IF(ISNUMBER(FIND("2nd Place",Results!J39)),Setup!C$43,IF(ISNUMBER(FIND("3rd Place",Results!J39)),Setup!C$44,"")))</f>
        <v/>
      </c>
      <c r="BF32" s="97"/>
      <c r="BG32" s="783">
        <f t="shared" si="3"/>
        <v>8</v>
      </c>
      <c r="BH32" s="783">
        <f t="shared" si="4"/>
        <v>12</v>
      </c>
    </row>
    <row r="33" spans="1:58" ht="13.5" hidden="1" thickBot="1" x14ac:dyDescent="0.25">
      <c r="A33" s="347"/>
      <c r="B33" s="430"/>
      <c r="C33" s="101"/>
      <c r="D33" s="207"/>
      <c r="E33" s="348"/>
      <c r="F33" s="198"/>
      <c r="G33" s="101"/>
      <c r="H33" s="200"/>
      <c r="I33" s="225"/>
      <c r="J33" s="103"/>
      <c r="K33" s="104"/>
      <c r="L33" s="200"/>
      <c r="M33" s="103"/>
      <c r="N33" s="104"/>
      <c r="O33" s="102"/>
      <c r="P33" s="103"/>
      <c r="Q33" s="104"/>
      <c r="R33" s="102"/>
      <c r="S33" s="623"/>
      <c r="T33" s="347"/>
      <c r="AA33" s="273"/>
      <c r="AD33" s="298"/>
      <c r="AU33" s="96"/>
      <c r="AV33" s="96"/>
      <c r="AW33" s="96"/>
      <c r="AX33" s="96"/>
      <c r="BD33" s="109"/>
      <c r="BF33" s="97"/>
    </row>
    <row r="34" spans="1:58" ht="13.5" thickBot="1" x14ac:dyDescent="0.25">
      <c r="A34" s="563" t="s">
        <v>14</v>
      </c>
      <c r="B34" s="105">
        <f t="shared" ref="B34:T34" si="5">SUM(B2:B32)</f>
        <v>64</v>
      </c>
      <c r="C34" s="106">
        <f t="shared" si="5"/>
        <v>96</v>
      </c>
      <c r="D34" s="107">
        <f t="shared" si="5"/>
        <v>88</v>
      </c>
      <c r="E34" s="223">
        <f t="shared" si="5"/>
        <v>55.75</v>
      </c>
      <c r="F34" s="105">
        <f t="shared" si="5"/>
        <v>16</v>
      </c>
      <c r="G34" s="106">
        <f t="shared" si="5"/>
        <v>16</v>
      </c>
      <c r="H34" s="222">
        <f t="shared" si="5"/>
        <v>16</v>
      </c>
      <c r="I34" s="111">
        <f t="shared" si="5"/>
        <v>16</v>
      </c>
      <c r="J34" s="105">
        <f t="shared" si="5"/>
        <v>16</v>
      </c>
      <c r="K34" s="106">
        <f t="shared" si="5"/>
        <v>16</v>
      </c>
      <c r="L34" s="222">
        <f t="shared" si="5"/>
        <v>16</v>
      </c>
      <c r="M34" s="105">
        <f t="shared" si="5"/>
        <v>16</v>
      </c>
      <c r="N34" s="106">
        <f t="shared" si="5"/>
        <v>16</v>
      </c>
      <c r="O34" s="107">
        <f t="shared" si="5"/>
        <v>16</v>
      </c>
      <c r="P34" s="105">
        <f t="shared" si="5"/>
        <v>16</v>
      </c>
      <c r="Q34" s="106">
        <f t="shared" si="5"/>
        <v>16</v>
      </c>
      <c r="R34" s="107">
        <f t="shared" si="5"/>
        <v>16</v>
      </c>
      <c r="S34" s="111">
        <f t="shared" si="5"/>
        <v>16</v>
      </c>
      <c r="T34" s="111">
        <f t="shared" si="5"/>
        <v>24</v>
      </c>
      <c r="AA34" s="274"/>
      <c r="AU34" s="96"/>
      <c r="AV34" s="96"/>
      <c r="AW34" s="96"/>
      <c r="AX34" s="96"/>
      <c r="BD34" s="109" t="str">
        <f>IF(ISNUMBER(FIND("Winner",Results!#REF!)),Setup!C$42,IF(ISNUMBER(FIND("2nd Place",Results!#REF!)),Setup!C$43,IF(ISNUMBER(FIND("3rd Place",Results!#REF!)),Setup!C$44,"")))</f>
        <v/>
      </c>
      <c r="BF34" s="97"/>
    </row>
    <row r="35" spans="1:58" ht="15.75" thickBot="1" x14ac:dyDescent="0.3">
      <c r="N35" s="96"/>
      <c r="O35" s="96"/>
    </row>
    <row r="36" spans="1:58" ht="15.75" customHeight="1" thickBot="1" x14ac:dyDescent="0.25">
      <c r="A36" s="778" t="s">
        <v>42</v>
      </c>
      <c r="B36" s="779"/>
      <c r="C36" s="775" t="s">
        <v>45</v>
      </c>
      <c r="D36" s="776"/>
      <c r="E36" s="776"/>
      <c r="F36" s="777"/>
      <c r="G36" s="775" t="s">
        <v>46</v>
      </c>
      <c r="H36" s="776"/>
      <c r="I36" s="776"/>
      <c r="J36" s="777"/>
      <c r="K36" s="775" t="s">
        <v>47</v>
      </c>
      <c r="L36" s="776"/>
      <c r="M36" s="776"/>
      <c r="N36" s="777"/>
      <c r="O36" s="354"/>
      <c r="P36" s="354"/>
      <c r="Q36" s="354"/>
      <c r="R36" s="354"/>
    </row>
    <row r="37" spans="1:58" ht="15.75" thickBot="1" x14ac:dyDescent="0.3">
      <c r="A37" s="114" t="s">
        <v>16</v>
      </c>
      <c r="B37" s="462" t="s">
        <v>3</v>
      </c>
      <c r="C37" s="201" t="s">
        <v>17</v>
      </c>
      <c r="D37" s="195" t="s">
        <v>18</v>
      </c>
      <c r="E37" s="195" t="s">
        <v>15</v>
      </c>
      <c r="F37" s="196" t="s">
        <v>19</v>
      </c>
      <c r="G37" s="201" t="s">
        <v>17</v>
      </c>
      <c r="H37" s="195" t="s">
        <v>18</v>
      </c>
      <c r="I37" s="195" t="s">
        <v>15</v>
      </c>
      <c r="J37" s="196" t="s">
        <v>19</v>
      </c>
      <c r="K37" s="95" t="s">
        <v>17</v>
      </c>
      <c r="L37" s="93" t="s">
        <v>18</v>
      </c>
      <c r="M37" s="93" t="s">
        <v>15</v>
      </c>
      <c r="N37" s="113" t="s">
        <v>19</v>
      </c>
    </row>
    <row r="38" spans="1:58" x14ac:dyDescent="0.25">
      <c r="A38" s="346" t="str">
        <f>A2</f>
        <v>Mil</v>
      </c>
      <c r="B38" s="457">
        <f>ROUND(Setup!I2,0)</f>
        <v>12</v>
      </c>
      <c r="C38" s="458">
        <f>SUM('Day 1 - Match 1:Day 1 - Match 2'!$N6)</f>
        <v>87</v>
      </c>
      <c r="D38" s="100">
        <f>C38-$B38</f>
        <v>75</v>
      </c>
      <c r="E38" s="100">
        <f t="shared" ref="E38:E53" si="6">RANK(D38,D$38:D$53,1)</f>
        <v>3</v>
      </c>
      <c r="F38" s="199">
        <f t="shared" ref="F38:F53" si="7">IF(E38&lt;9,2,0)</f>
        <v>2</v>
      </c>
      <c r="G38" s="586">
        <f>SUM('Day 3 - Match 10:Day 3 - Match 11'!N6)</f>
        <v>91</v>
      </c>
      <c r="H38" s="616">
        <f t="shared" ref="H38:H53" si="8">G38-($B38)</f>
        <v>79</v>
      </c>
      <c r="I38" s="587">
        <f t="shared" ref="I38:I53" si="9">RANK(H38,H$38:H$53,1)</f>
        <v>9</v>
      </c>
      <c r="J38" s="588">
        <f t="shared" ref="J38:J53" si="10">IF(I38&lt;9,2,0)</f>
        <v>0</v>
      </c>
      <c r="K38" s="458">
        <f>'Day 4 - Front 9'!N6+'Day 4 - Back 9'!N6</f>
        <v>101</v>
      </c>
      <c r="L38" s="100">
        <f t="shared" ref="L38:L51" si="11">K38-B38</f>
        <v>89</v>
      </c>
      <c r="M38" s="100">
        <f t="shared" ref="M38:M53" si="12">RANK(L38,L$38:L$53,1)</f>
        <v>13</v>
      </c>
      <c r="N38" s="288">
        <f t="shared" ref="N38:N51" si="13">SUM(AE38:AN38)</f>
        <v>0</v>
      </c>
      <c r="AE38" s="97">
        <f>IF(AE$1=$M38,SUM($AE$2:$AK$2),0)</f>
        <v>0</v>
      </c>
      <c r="AF38" s="97">
        <f t="shared" ref="AF38:AF55" si="14">IF(AF$1=$M38,SUM($AE$4:$AI$4),0)</f>
        <v>0</v>
      </c>
      <c r="AG38" s="97">
        <f t="shared" ref="AG38:AG55" si="15">IF(AG$1=$M38,SUM($AE$6:$AI$6),0)</f>
        <v>0</v>
      </c>
      <c r="AH38" s="97">
        <f t="shared" ref="AH38:AH55" si="16">IF(AH$1=$M38,SUM($AE$8:$AI$8),0)</f>
        <v>0</v>
      </c>
      <c r="AI38" s="97">
        <f t="shared" ref="AI38:AI55" si="17">IF(AI$1=$M38,SUM($AE$10:$AI$10),0)</f>
        <v>0</v>
      </c>
      <c r="AJ38" s="97">
        <f t="shared" ref="AJ38:AJ55" si="18">IF(AJ$1=$M38,SUM($AE$12:$AI$12),0)</f>
        <v>0</v>
      </c>
      <c r="AK38" s="97">
        <f t="shared" ref="AK38:AK55" si="19">IF(AK$1=$M38,SUM($AE$14:$AI$14),0)</f>
        <v>0</v>
      </c>
      <c r="AL38" s="97">
        <f t="shared" ref="AL38:AL55" si="20">IF(AL$1=$M38,SUM($AE$16:$AI$16),0)</f>
        <v>0</v>
      </c>
      <c r="AM38" s="97">
        <f t="shared" ref="AM38:AM55" si="21">IF(AM$1=$M38,SUM($AE$18:$AI$18),0)</f>
        <v>0</v>
      </c>
      <c r="AN38" s="97">
        <f t="shared" ref="AN38:AN55" si="22">IF(AN$1=$M38,SUM($AE$20:$AI$20),0)</f>
        <v>0</v>
      </c>
      <c r="AO38" s="96"/>
      <c r="AP38" s="96"/>
      <c r="AQ38" s="96"/>
      <c r="AR38" s="96"/>
      <c r="AS38" s="96"/>
      <c r="AT38" s="96"/>
      <c r="AU38" s="96"/>
      <c r="AV38" s="96"/>
    </row>
    <row r="39" spans="1:58" x14ac:dyDescent="0.25">
      <c r="A39" s="702" t="str">
        <f>A4</f>
        <v>John</v>
      </c>
      <c r="B39" s="463">
        <f>ROUND(Setup!I4,0)</f>
        <v>14</v>
      </c>
      <c r="C39" s="459">
        <f>SUM('Day 1 - Match 1:Day 1 - Match 2'!$N8)</f>
        <v>83</v>
      </c>
      <c r="D39" s="104">
        <f t="shared" ref="D39:D49" si="23">C39-$B39</f>
        <v>69</v>
      </c>
      <c r="E39" s="104">
        <f t="shared" si="6"/>
        <v>1</v>
      </c>
      <c r="F39" s="200">
        <f t="shared" si="7"/>
        <v>2</v>
      </c>
      <c r="G39" s="589">
        <f>SUM('Day 3 - Match 10:Day 3 - Match 11'!N8)</f>
        <v>88</v>
      </c>
      <c r="H39" s="617">
        <f t="shared" si="8"/>
        <v>74</v>
      </c>
      <c r="I39" s="590">
        <f t="shared" si="9"/>
        <v>4</v>
      </c>
      <c r="J39" s="591">
        <f t="shared" si="10"/>
        <v>2</v>
      </c>
      <c r="K39" s="459">
        <f>'Day 4 - Front 9'!N8+'Day 4 - Back 9'!N8</f>
        <v>83</v>
      </c>
      <c r="L39" s="104">
        <f t="shared" si="11"/>
        <v>69</v>
      </c>
      <c r="M39" s="104">
        <f t="shared" si="12"/>
        <v>1</v>
      </c>
      <c r="N39" s="234">
        <f t="shared" si="13"/>
        <v>12</v>
      </c>
      <c r="AE39" s="97">
        <f t="shared" ref="AE39:AE52" si="24">IF(AE$1=$M39,SUM(AE$2:AK$2),0)</f>
        <v>12</v>
      </c>
      <c r="AF39" s="97">
        <f t="shared" si="14"/>
        <v>0</v>
      </c>
      <c r="AG39" s="97">
        <f t="shared" si="15"/>
        <v>0</v>
      </c>
      <c r="AH39" s="97">
        <f t="shared" si="16"/>
        <v>0</v>
      </c>
      <c r="AI39" s="97">
        <f t="shared" si="17"/>
        <v>0</v>
      </c>
      <c r="AJ39" s="97">
        <f t="shared" si="18"/>
        <v>0</v>
      </c>
      <c r="AK39" s="97">
        <f t="shared" si="19"/>
        <v>0</v>
      </c>
      <c r="AL39" s="97">
        <f t="shared" si="20"/>
        <v>0</v>
      </c>
      <c r="AM39" s="97">
        <f t="shared" si="21"/>
        <v>0</v>
      </c>
      <c r="AN39" s="97">
        <f t="shared" si="22"/>
        <v>0</v>
      </c>
      <c r="AO39" s="96"/>
      <c r="AP39" s="96"/>
      <c r="AQ39" s="96"/>
      <c r="AR39" s="96"/>
      <c r="AS39" s="96"/>
      <c r="AT39" s="96"/>
      <c r="AU39" s="96"/>
      <c r="AV39" s="96"/>
    </row>
    <row r="40" spans="1:58" x14ac:dyDescent="0.25">
      <c r="A40" s="702" t="str">
        <f>A6</f>
        <v>Brian P</v>
      </c>
      <c r="B40" s="463">
        <f>ROUND(Setup!I6,0)</f>
        <v>12</v>
      </c>
      <c r="C40" s="459">
        <f>SUM('Day 1 - Match 1:Day 1 - Match 2'!$N10)</f>
        <v>94</v>
      </c>
      <c r="D40" s="104">
        <f t="shared" si="23"/>
        <v>82</v>
      </c>
      <c r="E40" s="104">
        <f t="shared" si="6"/>
        <v>11</v>
      </c>
      <c r="F40" s="200">
        <f t="shared" si="7"/>
        <v>0</v>
      </c>
      <c r="G40" s="589">
        <f>SUM('Day 3 - Match 10:Day 3 - Match 11'!N10)</f>
        <v>89</v>
      </c>
      <c r="H40" s="617">
        <f t="shared" si="8"/>
        <v>77</v>
      </c>
      <c r="I40" s="590">
        <f t="shared" si="9"/>
        <v>6</v>
      </c>
      <c r="J40" s="591">
        <f t="shared" si="10"/>
        <v>2</v>
      </c>
      <c r="K40" s="459">
        <f>'Day 4 - Front 9'!N10+'Day 4 - Back 9'!N10</f>
        <v>88</v>
      </c>
      <c r="L40" s="104">
        <f t="shared" si="11"/>
        <v>76</v>
      </c>
      <c r="M40" s="104">
        <f t="shared" si="12"/>
        <v>3</v>
      </c>
      <c r="N40" s="234">
        <f t="shared" si="13"/>
        <v>8.5</v>
      </c>
      <c r="AE40" s="97">
        <f t="shared" si="24"/>
        <v>0</v>
      </c>
      <c r="AF40" s="97">
        <f t="shared" si="14"/>
        <v>0</v>
      </c>
      <c r="AG40" s="97">
        <f t="shared" si="15"/>
        <v>8.5</v>
      </c>
      <c r="AH40" s="97">
        <f t="shared" si="16"/>
        <v>0</v>
      </c>
      <c r="AI40" s="97">
        <f t="shared" si="17"/>
        <v>0</v>
      </c>
      <c r="AJ40" s="97">
        <f t="shared" si="18"/>
        <v>0</v>
      </c>
      <c r="AK40" s="97">
        <f t="shared" si="19"/>
        <v>0</v>
      </c>
      <c r="AL40" s="97">
        <f t="shared" si="20"/>
        <v>0</v>
      </c>
      <c r="AM40" s="97">
        <f t="shared" si="21"/>
        <v>0</v>
      </c>
      <c r="AN40" s="97">
        <f t="shared" si="22"/>
        <v>0</v>
      </c>
      <c r="AO40" s="96"/>
      <c r="AP40" s="96"/>
      <c r="AQ40" s="96"/>
      <c r="AR40" s="96"/>
      <c r="AS40" s="96"/>
      <c r="AT40" s="96"/>
      <c r="AU40" s="96"/>
      <c r="AV40" s="96"/>
    </row>
    <row r="41" spans="1:58" x14ac:dyDescent="0.25">
      <c r="A41" s="702" t="str">
        <f>A8</f>
        <v xml:space="preserve">Pat </v>
      </c>
      <c r="B41" s="463">
        <f>ROUND(Setup!I8,0)</f>
        <v>13</v>
      </c>
      <c r="C41" s="459">
        <f>SUM('Day 1 - Match 1:Day 1 - Match 2'!$N12)</f>
        <v>89</v>
      </c>
      <c r="D41" s="104">
        <f t="shared" si="23"/>
        <v>76</v>
      </c>
      <c r="E41" s="104">
        <f t="shared" si="6"/>
        <v>5</v>
      </c>
      <c r="F41" s="200">
        <f t="shared" si="7"/>
        <v>2</v>
      </c>
      <c r="G41" s="589">
        <f>SUM('Day 3 - Match 10:Day 3 - Match 11'!N12)</f>
        <v>91</v>
      </c>
      <c r="H41" s="617">
        <f t="shared" si="8"/>
        <v>78</v>
      </c>
      <c r="I41" s="590">
        <f t="shared" si="9"/>
        <v>8</v>
      </c>
      <c r="J41" s="591">
        <f t="shared" si="10"/>
        <v>2</v>
      </c>
      <c r="K41" s="459">
        <f>'Day 4 - Front 9'!N12+'Day 4 - Back 9'!N12</f>
        <v>90</v>
      </c>
      <c r="L41" s="104">
        <f t="shared" si="11"/>
        <v>77</v>
      </c>
      <c r="M41" s="104">
        <f t="shared" si="12"/>
        <v>4</v>
      </c>
      <c r="N41" s="234">
        <f t="shared" si="13"/>
        <v>6.625</v>
      </c>
      <c r="AE41" s="97">
        <f t="shared" si="24"/>
        <v>0</v>
      </c>
      <c r="AF41" s="97">
        <f t="shared" si="14"/>
        <v>0</v>
      </c>
      <c r="AG41" s="97">
        <f t="shared" si="15"/>
        <v>0</v>
      </c>
      <c r="AH41" s="97">
        <f t="shared" si="16"/>
        <v>6.625</v>
      </c>
      <c r="AI41" s="97">
        <f t="shared" si="17"/>
        <v>0</v>
      </c>
      <c r="AJ41" s="97">
        <f t="shared" si="18"/>
        <v>0</v>
      </c>
      <c r="AK41" s="97">
        <f t="shared" si="19"/>
        <v>0</v>
      </c>
      <c r="AL41" s="97">
        <f t="shared" si="20"/>
        <v>0</v>
      </c>
      <c r="AM41" s="97">
        <f t="shared" si="21"/>
        <v>0</v>
      </c>
      <c r="AN41" s="97">
        <f t="shared" si="22"/>
        <v>0</v>
      </c>
      <c r="AO41" s="96"/>
      <c r="AP41" s="96"/>
      <c r="AQ41" s="96"/>
      <c r="AR41" s="96"/>
      <c r="AS41" s="96"/>
      <c r="AT41" s="96"/>
      <c r="AU41" s="96"/>
      <c r="AV41" s="96"/>
    </row>
    <row r="42" spans="1:58" x14ac:dyDescent="0.25">
      <c r="A42" s="702" t="str">
        <f>A10</f>
        <v>Rick</v>
      </c>
      <c r="B42" s="463">
        <f>ROUND(Setup!I10,0)</f>
        <v>15</v>
      </c>
      <c r="C42" s="459">
        <f>SUM('Day 1 - Match 1:Day 1 - Match 2'!$N14)</f>
        <v>91</v>
      </c>
      <c r="D42" s="104">
        <f t="shared" si="23"/>
        <v>76</v>
      </c>
      <c r="E42" s="104">
        <f t="shared" si="6"/>
        <v>5</v>
      </c>
      <c r="F42" s="200">
        <f t="shared" si="7"/>
        <v>2</v>
      </c>
      <c r="G42" s="589">
        <f>SUM('Day 3 - Match 10:Day 3 - Match 11'!N14)</f>
        <v>84</v>
      </c>
      <c r="H42" s="617">
        <f t="shared" si="8"/>
        <v>69</v>
      </c>
      <c r="I42" s="590">
        <f t="shared" si="9"/>
        <v>1</v>
      </c>
      <c r="J42" s="591">
        <f t="shared" si="10"/>
        <v>2</v>
      </c>
      <c r="K42" s="459">
        <f>'Day 4 - Front 9'!N14+'Day 4 - Back 9'!N14</f>
        <v>94</v>
      </c>
      <c r="L42" s="104">
        <f t="shared" si="11"/>
        <v>79</v>
      </c>
      <c r="M42" s="104">
        <f t="shared" si="12"/>
        <v>7</v>
      </c>
      <c r="N42" s="234">
        <f t="shared" si="13"/>
        <v>4</v>
      </c>
      <c r="AE42" s="97">
        <f t="shared" si="24"/>
        <v>0</v>
      </c>
      <c r="AF42" s="97">
        <f t="shared" si="14"/>
        <v>0</v>
      </c>
      <c r="AG42" s="97">
        <f t="shared" si="15"/>
        <v>0</v>
      </c>
      <c r="AH42" s="97">
        <f t="shared" si="16"/>
        <v>0</v>
      </c>
      <c r="AI42" s="97">
        <f t="shared" si="17"/>
        <v>0</v>
      </c>
      <c r="AJ42" s="97">
        <f t="shared" si="18"/>
        <v>0</v>
      </c>
      <c r="AK42" s="97">
        <f t="shared" si="19"/>
        <v>4</v>
      </c>
      <c r="AL42" s="97">
        <f t="shared" si="20"/>
        <v>0</v>
      </c>
      <c r="AM42" s="97">
        <f t="shared" si="21"/>
        <v>0</v>
      </c>
      <c r="AN42" s="97">
        <f t="shared" si="22"/>
        <v>0</v>
      </c>
      <c r="AO42" s="96"/>
      <c r="AP42" s="96"/>
      <c r="AQ42" s="96"/>
      <c r="AR42" s="96"/>
      <c r="AS42" s="96"/>
      <c r="AT42" s="96"/>
      <c r="AU42" s="96"/>
      <c r="AV42" s="96"/>
    </row>
    <row r="43" spans="1:58" x14ac:dyDescent="0.25">
      <c r="A43" s="702" t="str">
        <f>A12</f>
        <v>Keith</v>
      </c>
      <c r="B43" s="463">
        <f>ROUND(Setup!I12,0)</f>
        <v>32</v>
      </c>
      <c r="C43" s="459">
        <f>SUM('Day 1 - Match 1:Day 1 - Match 2'!$N16)</f>
        <v>106</v>
      </c>
      <c r="D43" s="104">
        <f t="shared" si="23"/>
        <v>74</v>
      </c>
      <c r="E43" s="104">
        <f t="shared" si="6"/>
        <v>2</v>
      </c>
      <c r="F43" s="200">
        <f t="shared" si="7"/>
        <v>2</v>
      </c>
      <c r="G43" s="589">
        <f>SUM('Day 3 - Match 10:Day 3 - Match 11'!N16)</f>
        <v>102</v>
      </c>
      <c r="H43" s="617">
        <f t="shared" si="8"/>
        <v>70</v>
      </c>
      <c r="I43" s="590">
        <f t="shared" si="9"/>
        <v>2</v>
      </c>
      <c r="J43" s="591">
        <f t="shared" si="10"/>
        <v>2</v>
      </c>
      <c r="K43" s="459">
        <f>'Day 4 - Front 9'!N16+'Day 4 - Back 9'!N16</f>
        <v>131</v>
      </c>
      <c r="L43" s="104">
        <f t="shared" si="11"/>
        <v>99</v>
      </c>
      <c r="M43" s="104">
        <f t="shared" si="12"/>
        <v>15</v>
      </c>
      <c r="N43" s="234">
        <f t="shared" si="13"/>
        <v>0</v>
      </c>
      <c r="AE43" s="97">
        <f t="shared" si="24"/>
        <v>0</v>
      </c>
      <c r="AF43" s="97">
        <f t="shared" si="14"/>
        <v>0</v>
      </c>
      <c r="AG43" s="97">
        <f t="shared" si="15"/>
        <v>0</v>
      </c>
      <c r="AH43" s="97">
        <f t="shared" si="16"/>
        <v>0</v>
      </c>
      <c r="AI43" s="97">
        <f t="shared" si="17"/>
        <v>0</v>
      </c>
      <c r="AJ43" s="97">
        <f t="shared" si="18"/>
        <v>0</v>
      </c>
      <c r="AK43" s="97">
        <f t="shared" si="19"/>
        <v>0</v>
      </c>
      <c r="AL43" s="97">
        <f t="shared" si="20"/>
        <v>0</v>
      </c>
      <c r="AM43" s="97">
        <f t="shared" si="21"/>
        <v>0</v>
      </c>
      <c r="AN43" s="97">
        <f t="shared" si="22"/>
        <v>0</v>
      </c>
      <c r="AO43" s="96"/>
      <c r="AP43" s="96"/>
      <c r="AQ43" s="96"/>
      <c r="AR43" s="96"/>
      <c r="AS43" s="96"/>
      <c r="AT43" s="96"/>
      <c r="AU43" s="96"/>
      <c r="AV43" s="96"/>
    </row>
    <row r="44" spans="1:58" x14ac:dyDescent="0.25">
      <c r="A44" s="702" t="str">
        <f>A14</f>
        <v>Tony W</v>
      </c>
      <c r="B44" s="463">
        <f>ROUND(Setup!I14,0)</f>
        <v>19</v>
      </c>
      <c r="C44" s="459">
        <f>SUM('Day 1 - Match 1:Day 1 - Match 2'!$N18)</f>
        <v>100</v>
      </c>
      <c r="D44" s="104">
        <f t="shared" si="23"/>
        <v>81</v>
      </c>
      <c r="E44" s="104">
        <f t="shared" si="6"/>
        <v>10</v>
      </c>
      <c r="F44" s="200">
        <f t="shared" si="7"/>
        <v>0</v>
      </c>
      <c r="G44" s="589">
        <f>SUM('Day 3 - Match 10:Day 3 - Match 11'!N18)</f>
        <v>109</v>
      </c>
      <c r="H44" s="617">
        <f t="shared" si="8"/>
        <v>90</v>
      </c>
      <c r="I44" s="590">
        <f t="shared" si="9"/>
        <v>15</v>
      </c>
      <c r="J44" s="591">
        <f t="shared" si="10"/>
        <v>0</v>
      </c>
      <c r="K44" s="459">
        <f>'Day 4 - Front 9'!N18+'Day 4 - Back 9'!N18</f>
        <v>107</v>
      </c>
      <c r="L44" s="104">
        <f t="shared" si="11"/>
        <v>88</v>
      </c>
      <c r="M44" s="104">
        <f t="shared" si="12"/>
        <v>9</v>
      </c>
      <c r="N44" s="234">
        <f t="shared" si="13"/>
        <v>0</v>
      </c>
      <c r="AE44" s="97">
        <f t="shared" si="24"/>
        <v>0</v>
      </c>
      <c r="AF44" s="97">
        <f t="shared" si="14"/>
        <v>0</v>
      </c>
      <c r="AG44" s="97">
        <f t="shared" si="15"/>
        <v>0</v>
      </c>
      <c r="AH44" s="97">
        <f t="shared" si="16"/>
        <v>0</v>
      </c>
      <c r="AI44" s="97">
        <f t="shared" si="17"/>
        <v>0</v>
      </c>
      <c r="AJ44" s="97">
        <f t="shared" si="18"/>
        <v>0</v>
      </c>
      <c r="AK44" s="97">
        <f t="shared" si="19"/>
        <v>0</v>
      </c>
      <c r="AL44" s="97">
        <f t="shared" si="20"/>
        <v>0</v>
      </c>
      <c r="AM44" s="97">
        <f t="shared" si="21"/>
        <v>0</v>
      </c>
      <c r="AN44" s="97">
        <f t="shared" si="22"/>
        <v>0</v>
      </c>
      <c r="AO44" s="96"/>
      <c r="AP44" s="96"/>
      <c r="AQ44" s="96"/>
      <c r="AR44" s="96"/>
      <c r="AS44" s="96"/>
      <c r="AT44" s="96"/>
      <c r="AU44" s="96"/>
      <c r="AV44" s="96"/>
    </row>
    <row r="45" spans="1:58" x14ac:dyDescent="0.25">
      <c r="A45" s="702" t="str">
        <f>A16</f>
        <v>Manny</v>
      </c>
      <c r="B45" s="463">
        <f>ROUND(Setup!I16,0)</f>
        <v>28</v>
      </c>
      <c r="C45" s="459">
        <f>SUM('Day 1 - Match 1:Day 1 - Match 2'!$N20)</f>
        <v>118</v>
      </c>
      <c r="D45" s="104">
        <f t="shared" si="23"/>
        <v>90</v>
      </c>
      <c r="E45" s="104">
        <f t="shared" si="6"/>
        <v>15</v>
      </c>
      <c r="F45" s="200">
        <f t="shared" si="7"/>
        <v>0</v>
      </c>
      <c r="G45" s="589">
        <f>SUM('Day 3 - Match 10:Day 3 - Match 11'!N20)</f>
        <v>114</v>
      </c>
      <c r="H45" s="617">
        <f t="shared" si="8"/>
        <v>86</v>
      </c>
      <c r="I45" s="590">
        <f t="shared" si="9"/>
        <v>14</v>
      </c>
      <c r="J45" s="591">
        <f t="shared" si="10"/>
        <v>0</v>
      </c>
      <c r="K45" s="459">
        <f>'Day 4 - Front 9'!N20+'Day 4 - Back 9'!N20</f>
        <v>113</v>
      </c>
      <c r="L45" s="104">
        <f t="shared" si="11"/>
        <v>85</v>
      </c>
      <c r="M45" s="104">
        <f t="shared" si="12"/>
        <v>8</v>
      </c>
      <c r="N45" s="234">
        <f t="shared" si="13"/>
        <v>3</v>
      </c>
      <c r="AE45" s="97">
        <f t="shared" si="24"/>
        <v>0</v>
      </c>
      <c r="AF45" s="97">
        <f t="shared" si="14"/>
        <v>0</v>
      </c>
      <c r="AG45" s="97">
        <f t="shared" si="15"/>
        <v>0</v>
      </c>
      <c r="AH45" s="97">
        <f t="shared" si="16"/>
        <v>0</v>
      </c>
      <c r="AI45" s="97">
        <f t="shared" si="17"/>
        <v>0</v>
      </c>
      <c r="AJ45" s="97">
        <f t="shared" si="18"/>
        <v>0</v>
      </c>
      <c r="AK45" s="97">
        <f t="shared" si="19"/>
        <v>0</v>
      </c>
      <c r="AL45" s="97">
        <f t="shared" si="20"/>
        <v>3</v>
      </c>
      <c r="AM45" s="97">
        <f t="shared" si="21"/>
        <v>0</v>
      </c>
      <c r="AN45" s="97">
        <f t="shared" si="22"/>
        <v>0</v>
      </c>
      <c r="AO45" s="96"/>
      <c r="AP45" s="96"/>
      <c r="AQ45" s="96"/>
      <c r="AR45" s="96"/>
      <c r="AS45" s="96"/>
      <c r="AT45" s="96"/>
      <c r="AU45" s="96"/>
      <c r="AV45" s="96"/>
    </row>
    <row r="46" spans="1:58" x14ac:dyDescent="0.25">
      <c r="A46" s="702" t="str">
        <f>A18</f>
        <v>Tommy</v>
      </c>
      <c r="B46" s="463">
        <f>ROUND(Setup!I18,0)</f>
        <v>10</v>
      </c>
      <c r="C46" s="459">
        <f>SUM('Day 1 - Match 1:Day 1 - Match 2'!$N22)</f>
        <v>88</v>
      </c>
      <c r="D46" s="104">
        <f t="shared" si="23"/>
        <v>78</v>
      </c>
      <c r="E46" s="104">
        <f t="shared" si="6"/>
        <v>7</v>
      </c>
      <c r="F46" s="200">
        <f t="shared" si="7"/>
        <v>2</v>
      </c>
      <c r="G46" s="589">
        <f>SUM('Day 3 - Match 10:Day 3 - Match 11'!N22)</f>
        <v>86</v>
      </c>
      <c r="H46" s="617">
        <f t="shared" si="8"/>
        <v>76</v>
      </c>
      <c r="I46" s="590">
        <f t="shared" si="9"/>
        <v>5</v>
      </c>
      <c r="J46" s="591">
        <f t="shared" si="10"/>
        <v>2</v>
      </c>
      <c r="K46" s="459">
        <f>'Day 4 - Front 9'!N22+'Day 4 - Back 9'!N22</f>
        <v>87</v>
      </c>
      <c r="L46" s="104">
        <f t="shared" si="11"/>
        <v>77</v>
      </c>
      <c r="M46" s="104">
        <f t="shared" si="12"/>
        <v>4</v>
      </c>
      <c r="N46" s="234">
        <f t="shared" si="13"/>
        <v>6.625</v>
      </c>
      <c r="AE46" s="97">
        <f t="shared" si="24"/>
        <v>0</v>
      </c>
      <c r="AF46" s="97">
        <f t="shared" si="14"/>
        <v>0</v>
      </c>
      <c r="AG46" s="97">
        <f t="shared" si="15"/>
        <v>0</v>
      </c>
      <c r="AH46" s="97">
        <f t="shared" si="16"/>
        <v>6.625</v>
      </c>
      <c r="AI46" s="97">
        <f t="shared" si="17"/>
        <v>0</v>
      </c>
      <c r="AJ46" s="97">
        <f t="shared" si="18"/>
        <v>0</v>
      </c>
      <c r="AK46" s="97">
        <f t="shared" si="19"/>
        <v>0</v>
      </c>
      <c r="AL46" s="97">
        <f t="shared" si="20"/>
        <v>0</v>
      </c>
      <c r="AM46" s="97">
        <f t="shared" si="21"/>
        <v>0</v>
      </c>
      <c r="AN46" s="97">
        <f t="shared" si="22"/>
        <v>0</v>
      </c>
      <c r="AO46" s="96"/>
      <c r="AP46" s="96"/>
      <c r="AQ46" s="96"/>
      <c r="AR46" s="96"/>
      <c r="AS46" s="96"/>
      <c r="AT46" s="96"/>
      <c r="AU46" s="96"/>
      <c r="AV46" s="96"/>
    </row>
    <row r="47" spans="1:58" x14ac:dyDescent="0.25">
      <c r="A47" s="702" t="str">
        <f>A20</f>
        <v>Dave</v>
      </c>
      <c r="B47" s="463">
        <f>ROUND(Setup!I20,0)</f>
        <v>10</v>
      </c>
      <c r="C47" s="459">
        <f>SUM('Day 1 - Match 1:Day 1 - Match 2'!$N24)</f>
        <v>88</v>
      </c>
      <c r="D47" s="104">
        <f t="shared" si="23"/>
        <v>78</v>
      </c>
      <c r="E47" s="104">
        <f t="shared" si="6"/>
        <v>7</v>
      </c>
      <c r="F47" s="200">
        <f t="shared" si="7"/>
        <v>2</v>
      </c>
      <c r="G47" s="589">
        <f>SUM('Day 3 - Match 10:Day 3 - Match 11'!N24)</f>
        <v>90</v>
      </c>
      <c r="H47" s="617">
        <f t="shared" si="8"/>
        <v>80</v>
      </c>
      <c r="I47" s="590">
        <f t="shared" si="9"/>
        <v>10</v>
      </c>
      <c r="J47" s="591">
        <f t="shared" si="10"/>
        <v>0</v>
      </c>
      <c r="K47" s="459">
        <f>'Day 4 - Front 9'!N24+'Day 4 - Back 9'!N24</f>
        <v>88</v>
      </c>
      <c r="L47" s="104">
        <f t="shared" si="11"/>
        <v>78</v>
      </c>
      <c r="M47" s="104">
        <f t="shared" si="12"/>
        <v>6</v>
      </c>
      <c r="N47" s="234">
        <f t="shared" si="13"/>
        <v>5</v>
      </c>
      <c r="AE47" s="97">
        <f t="shared" si="24"/>
        <v>0</v>
      </c>
      <c r="AF47" s="97">
        <f t="shared" si="14"/>
        <v>0</v>
      </c>
      <c r="AG47" s="97">
        <f t="shared" si="15"/>
        <v>0</v>
      </c>
      <c r="AH47" s="97">
        <f t="shared" si="16"/>
        <v>0</v>
      </c>
      <c r="AI47" s="97">
        <f t="shared" si="17"/>
        <v>0</v>
      </c>
      <c r="AJ47" s="97">
        <f t="shared" si="18"/>
        <v>5</v>
      </c>
      <c r="AK47" s="97">
        <f t="shared" si="19"/>
        <v>0</v>
      </c>
      <c r="AL47" s="97">
        <f t="shared" si="20"/>
        <v>0</v>
      </c>
      <c r="AM47" s="97">
        <f t="shared" si="21"/>
        <v>0</v>
      </c>
      <c r="AN47" s="97">
        <f t="shared" si="22"/>
        <v>0</v>
      </c>
      <c r="AO47" s="96"/>
      <c r="AP47" s="96"/>
      <c r="AQ47" s="96"/>
      <c r="AR47" s="96"/>
      <c r="AS47" s="96"/>
      <c r="AT47" s="96"/>
      <c r="AU47" s="96"/>
      <c r="AV47" s="96"/>
    </row>
    <row r="48" spans="1:58" x14ac:dyDescent="0.25">
      <c r="A48" s="702" t="str">
        <f>A22</f>
        <v>Hunter</v>
      </c>
      <c r="B48" s="463">
        <f>ROUND(Setup!I22,0)</f>
        <v>15</v>
      </c>
      <c r="C48" s="459">
        <f>SUM('Day 1 - Match 1:Day 1 - Match 2'!$N26)</f>
        <v>104</v>
      </c>
      <c r="D48" s="104">
        <f t="shared" si="23"/>
        <v>89</v>
      </c>
      <c r="E48" s="104">
        <f t="shared" si="6"/>
        <v>14</v>
      </c>
      <c r="F48" s="200">
        <f t="shared" si="7"/>
        <v>0</v>
      </c>
      <c r="G48" s="589">
        <f>SUM('Day 3 - Match 10:Day 3 - Match 11'!N26)</f>
        <v>88</v>
      </c>
      <c r="H48" s="617">
        <f t="shared" si="8"/>
        <v>73</v>
      </c>
      <c r="I48" s="590">
        <f t="shared" si="9"/>
        <v>3</v>
      </c>
      <c r="J48" s="591">
        <f t="shared" si="10"/>
        <v>2</v>
      </c>
      <c r="K48" s="459">
        <f>'Day 4 - Front 9'!N26+'Day 4 - Back 9'!N26</f>
        <v>120</v>
      </c>
      <c r="L48" s="104">
        <f t="shared" si="11"/>
        <v>105</v>
      </c>
      <c r="M48" s="104">
        <f t="shared" si="12"/>
        <v>16</v>
      </c>
      <c r="N48" s="234">
        <f t="shared" si="13"/>
        <v>0</v>
      </c>
      <c r="AE48" s="97">
        <f t="shared" si="24"/>
        <v>0</v>
      </c>
      <c r="AF48" s="97">
        <f t="shared" si="14"/>
        <v>0</v>
      </c>
      <c r="AG48" s="97">
        <f t="shared" si="15"/>
        <v>0</v>
      </c>
      <c r="AH48" s="97">
        <f t="shared" si="16"/>
        <v>0</v>
      </c>
      <c r="AI48" s="97">
        <f t="shared" si="17"/>
        <v>0</v>
      </c>
      <c r="AJ48" s="97">
        <f t="shared" si="18"/>
        <v>0</v>
      </c>
      <c r="AK48" s="97">
        <f t="shared" si="19"/>
        <v>0</v>
      </c>
      <c r="AL48" s="97">
        <f t="shared" si="20"/>
        <v>0</v>
      </c>
      <c r="AM48" s="97">
        <f t="shared" si="21"/>
        <v>0</v>
      </c>
      <c r="AN48" s="97">
        <f t="shared" si="22"/>
        <v>0</v>
      </c>
      <c r="AO48" s="96"/>
      <c r="AP48" s="96"/>
      <c r="AQ48" s="96"/>
      <c r="AR48" s="96"/>
      <c r="AS48" s="96"/>
      <c r="AT48" s="96"/>
      <c r="AU48" s="96"/>
      <c r="AV48" s="96"/>
    </row>
    <row r="49" spans="1:48" x14ac:dyDescent="0.25">
      <c r="A49" s="703" t="str">
        <f>A24</f>
        <v>Gerald C</v>
      </c>
      <c r="B49" s="463">
        <f>ROUND(Setup!I24,0)</f>
        <v>24</v>
      </c>
      <c r="C49" s="460">
        <f>SUM('Day 1 - Match 1:Day 1 - Match 2'!$N28)</f>
        <v>112</v>
      </c>
      <c r="D49" s="292">
        <f t="shared" si="23"/>
        <v>88</v>
      </c>
      <c r="E49" s="292">
        <f t="shared" si="6"/>
        <v>13</v>
      </c>
      <c r="F49" s="584">
        <f t="shared" si="7"/>
        <v>0</v>
      </c>
      <c r="G49" s="589">
        <f>SUM('Day 3 - Match 10:Day 3 - Match 11'!N28)</f>
        <v>107</v>
      </c>
      <c r="H49" s="617">
        <f t="shared" si="8"/>
        <v>83</v>
      </c>
      <c r="I49" s="590">
        <f t="shared" si="9"/>
        <v>12</v>
      </c>
      <c r="J49" s="591">
        <f t="shared" si="10"/>
        <v>0</v>
      </c>
      <c r="K49" s="460">
        <f>'Day 4 - Front 9'!N28+'Day 4 - Back 9'!N28</f>
        <v>112</v>
      </c>
      <c r="L49" s="292">
        <f t="shared" si="11"/>
        <v>88</v>
      </c>
      <c r="M49" s="292">
        <f t="shared" si="12"/>
        <v>9</v>
      </c>
      <c r="N49" s="345">
        <f t="shared" si="13"/>
        <v>0</v>
      </c>
      <c r="AE49" s="97">
        <f t="shared" si="24"/>
        <v>0</v>
      </c>
      <c r="AF49" s="97">
        <f t="shared" si="14"/>
        <v>0</v>
      </c>
      <c r="AG49" s="97">
        <f t="shared" si="15"/>
        <v>0</v>
      </c>
      <c r="AH49" s="97">
        <f t="shared" si="16"/>
        <v>0</v>
      </c>
      <c r="AI49" s="97">
        <f t="shared" si="17"/>
        <v>0</v>
      </c>
      <c r="AJ49" s="97">
        <f t="shared" si="18"/>
        <v>0</v>
      </c>
      <c r="AK49" s="97">
        <f t="shared" si="19"/>
        <v>0</v>
      </c>
      <c r="AL49" s="97">
        <f t="shared" si="20"/>
        <v>0</v>
      </c>
      <c r="AM49" s="97">
        <f t="shared" si="21"/>
        <v>0</v>
      </c>
      <c r="AN49" s="97">
        <f t="shared" si="22"/>
        <v>0</v>
      </c>
      <c r="AO49" s="96"/>
      <c r="AP49" s="96"/>
      <c r="AQ49" s="96"/>
      <c r="AR49" s="96"/>
      <c r="AS49" s="96"/>
      <c r="AT49" s="96"/>
      <c r="AU49" s="96"/>
      <c r="AV49" s="96"/>
    </row>
    <row r="50" spans="1:48" x14ac:dyDescent="0.25">
      <c r="A50" s="347" t="str">
        <f>A26</f>
        <v>Bob</v>
      </c>
      <c r="B50" s="463">
        <f>ROUND(Setup!I26,0)</f>
        <v>20</v>
      </c>
      <c r="C50" s="459">
        <f>SUM('Day 1 - Match 1:Day 1 - Match 2'!$N30)</f>
        <v>100</v>
      </c>
      <c r="D50" s="104">
        <f>C50-$B50</f>
        <v>80</v>
      </c>
      <c r="E50" s="104">
        <f t="shared" si="6"/>
        <v>9</v>
      </c>
      <c r="F50" s="200">
        <f t="shared" si="7"/>
        <v>0</v>
      </c>
      <c r="G50" s="589">
        <f>SUM('Day 3 - Match 10:Day 3 - Match 11'!N30)</f>
        <v>110</v>
      </c>
      <c r="H50" s="617">
        <f t="shared" si="8"/>
        <v>90</v>
      </c>
      <c r="I50" s="590">
        <f t="shared" si="9"/>
        <v>15</v>
      </c>
      <c r="J50" s="591">
        <f t="shared" si="10"/>
        <v>0</v>
      </c>
      <c r="K50" s="459">
        <f>'Day 4 - Front 9'!N30+'Day 4 - Back 9'!N30</f>
        <v>90</v>
      </c>
      <c r="L50" s="104">
        <f t="shared" si="11"/>
        <v>70</v>
      </c>
      <c r="M50" s="104">
        <f t="shared" si="12"/>
        <v>2</v>
      </c>
      <c r="N50" s="234">
        <f t="shared" si="13"/>
        <v>10</v>
      </c>
      <c r="AE50" s="97">
        <f t="shared" si="24"/>
        <v>0</v>
      </c>
      <c r="AF50" s="97">
        <f t="shared" si="14"/>
        <v>10</v>
      </c>
      <c r="AG50" s="97">
        <f t="shared" si="15"/>
        <v>0</v>
      </c>
      <c r="AH50" s="97">
        <f t="shared" si="16"/>
        <v>0</v>
      </c>
      <c r="AI50" s="97">
        <f t="shared" si="17"/>
        <v>0</v>
      </c>
      <c r="AJ50" s="97">
        <f t="shared" si="18"/>
        <v>0</v>
      </c>
      <c r="AK50" s="97">
        <f t="shared" si="19"/>
        <v>0</v>
      </c>
      <c r="AL50" s="97">
        <f t="shared" si="20"/>
        <v>0</v>
      </c>
      <c r="AM50" s="97">
        <f t="shared" si="21"/>
        <v>0</v>
      </c>
      <c r="AN50" s="97">
        <f t="shared" si="22"/>
        <v>0</v>
      </c>
      <c r="AO50" s="96"/>
      <c r="AP50" s="96"/>
      <c r="AQ50" s="96"/>
      <c r="AR50" s="96"/>
      <c r="AS50" s="96"/>
      <c r="AT50" s="96"/>
      <c r="AU50" s="96"/>
      <c r="AV50" s="96"/>
    </row>
    <row r="51" spans="1:48" x14ac:dyDescent="0.25">
      <c r="A51" s="704" t="str">
        <f>A28</f>
        <v>Patrick</v>
      </c>
      <c r="B51" s="561">
        <f>ROUND(Setup!I28,0)</f>
        <v>15</v>
      </c>
      <c r="C51" s="460">
        <f>SUM('Day 1 - Match 1:Day 1 - Match 2'!$N32)</f>
        <v>107</v>
      </c>
      <c r="D51" s="292">
        <f>C51-$B51</f>
        <v>92</v>
      </c>
      <c r="E51" s="292">
        <f t="shared" si="6"/>
        <v>16</v>
      </c>
      <c r="F51" s="584">
        <f t="shared" si="7"/>
        <v>0</v>
      </c>
      <c r="G51" s="589">
        <f>SUM('Day 3 - Match 10:Day 3 - Match 11'!N32)</f>
        <v>100</v>
      </c>
      <c r="H51" s="617">
        <f t="shared" si="8"/>
        <v>85</v>
      </c>
      <c r="I51" s="590">
        <f t="shared" si="9"/>
        <v>13</v>
      </c>
      <c r="J51" s="591">
        <f t="shared" si="10"/>
        <v>0</v>
      </c>
      <c r="K51" s="460">
        <f>'Day 4 - Front 9'!N32+'Day 4 - Back 9'!N32</f>
        <v>103</v>
      </c>
      <c r="L51" s="292">
        <f t="shared" si="11"/>
        <v>88</v>
      </c>
      <c r="M51" s="292">
        <f t="shared" si="12"/>
        <v>9</v>
      </c>
      <c r="N51" s="345">
        <f t="shared" si="13"/>
        <v>0</v>
      </c>
      <c r="AE51" s="97">
        <f t="shared" si="24"/>
        <v>0</v>
      </c>
      <c r="AF51" s="97">
        <f t="shared" si="14"/>
        <v>0</v>
      </c>
      <c r="AG51" s="97">
        <f t="shared" si="15"/>
        <v>0</v>
      </c>
      <c r="AH51" s="97">
        <f t="shared" si="16"/>
        <v>0</v>
      </c>
      <c r="AI51" s="97">
        <f t="shared" si="17"/>
        <v>0</v>
      </c>
      <c r="AJ51" s="97">
        <f t="shared" si="18"/>
        <v>0</v>
      </c>
      <c r="AK51" s="97">
        <f t="shared" si="19"/>
        <v>0</v>
      </c>
      <c r="AL51" s="97">
        <f t="shared" si="20"/>
        <v>0</v>
      </c>
      <c r="AM51" s="97">
        <f t="shared" si="21"/>
        <v>0</v>
      </c>
      <c r="AN51" s="97">
        <f t="shared" si="22"/>
        <v>0</v>
      </c>
      <c r="AO51" s="96"/>
      <c r="AP51" s="96"/>
      <c r="AQ51" s="96"/>
      <c r="AR51" s="96"/>
      <c r="AS51" s="96"/>
      <c r="AT51" s="96"/>
      <c r="AU51" s="96"/>
      <c r="AV51" s="96"/>
    </row>
    <row r="52" spans="1:48" x14ac:dyDescent="0.25">
      <c r="A52" s="704" t="str">
        <f>A30</f>
        <v>Brian S</v>
      </c>
      <c r="B52" s="561">
        <f>ROUND(Setup!I30,0)</f>
        <v>26</v>
      </c>
      <c r="C52" s="460">
        <f>SUM('Day 1 - Match 1:Day 1 - Match 2'!$N34)</f>
        <v>101</v>
      </c>
      <c r="D52" s="292">
        <f>C52-$B52</f>
        <v>75</v>
      </c>
      <c r="E52" s="292">
        <f t="shared" si="6"/>
        <v>3</v>
      </c>
      <c r="F52" s="584">
        <f t="shared" si="7"/>
        <v>2</v>
      </c>
      <c r="G52" s="589">
        <f>SUM('Day 3 - Match 10:Day 3 - Match 11'!N34)</f>
        <v>107</v>
      </c>
      <c r="H52" s="617">
        <f t="shared" si="8"/>
        <v>81</v>
      </c>
      <c r="I52" s="590">
        <f t="shared" si="9"/>
        <v>11</v>
      </c>
      <c r="J52" s="591">
        <f t="shared" si="10"/>
        <v>0</v>
      </c>
      <c r="K52" s="460">
        <f>'Day 4 - Front 9'!N34+'Day 4 - Back 9'!N34</f>
        <v>114</v>
      </c>
      <c r="L52" s="292">
        <f>K52-B52</f>
        <v>88</v>
      </c>
      <c r="M52" s="292">
        <f t="shared" si="12"/>
        <v>9</v>
      </c>
      <c r="N52" s="345">
        <f>SUM(AE52:AN52)</f>
        <v>0</v>
      </c>
      <c r="AE52" s="97">
        <f t="shared" si="24"/>
        <v>0</v>
      </c>
      <c r="AF52" s="97">
        <f t="shared" si="14"/>
        <v>0</v>
      </c>
      <c r="AG52" s="97">
        <f t="shared" si="15"/>
        <v>0</v>
      </c>
      <c r="AH52" s="97">
        <f t="shared" si="16"/>
        <v>0</v>
      </c>
      <c r="AI52" s="97">
        <f t="shared" si="17"/>
        <v>0</v>
      </c>
      <c r="AJ52" s="97">
        <f t="shared" si="18"/>
        <v>0</v>
      </c>
      <c r="AK52" s="97">
        <f t="shared" si="19"/>
        <v>0</v>
      </c>
      <c r="AL52" s="97">
        <f t="shared" si="20"/>
        <v>0</v>
      </c>
      <c r="AM52" s="97">
        <f t="shared" si="21"/>
        <v>0</v>
      </c>
      <c r="AN52" s="97">
        <f t="shared" si="22"/>
        <v>0</v>
      </c>
      <c r="AO52" s="96"/>
      <c r="AP52" s="96"/>
      <c r="AQ52" s="96"/>
      <c r="AR52" s="96"/>
      <c r="AS52" s="96"/>
      <c r="AT52" s="96"/>
      <c r="AU52" s="96"/>
      <c r="AV52" s="96"/>
    </row>
    <row r="53" spans="1:48" ht="15.75" thickBot="1" x14ac:dyDescent="0.3">
      <c r="A53" s="705" t="str">
        <f>A32</f>
        <v>Chris</v>
      </c>
      <c r="B53" s="464">
        <f>ROUND(Setup!I32,0)</f>
        <v>30</v>
      </c>
      <c r="C53" s="461">
        <f>SUM('Day 1 - Match 1:Day 1 - Match 2'!$N36)</f>
        <v>113</v>
      </c>
      <c r="D53" s="421">
        <f>C53-$B53</f>
        <v>83</v>
      </c>
      <c r="E53" s="421">
        <f t="shared" si="6"/>
        <v>12</v>
      </c>
      <c r="F53" s="585">
        <f t="shared" si="7"/>
        <v>0</v>
      </c>
      <c r="G53" s="592">
        <f>SUM('Day 3 - Match 10:Day 3 - Match 11'!N36)</f>
        <v>107</v>
      </c>
      <c r="H53" s="618">
        <f t="shared" si="8"/>
        <v>77</v>
      </c>
      <c r="I53" s="593">
        <f t="shared" si="9"/>
        <v>6</v>
      </c>
      <c r="J53" s="594">
        <f t="shared" si="10"/>
        <v>2</v>
      </c>
      <c r="K53" s="461">
        <f>'Day 4 - Front 9'!N36+'Day 4 - Back 9'!N36</f>
        <v>122</v>
      </c>
      <c r="L53" s="421">
        <f>K53-B53</f>
        <v>92</v>
      </c>
      <c r="M53" s="421">
        <f t="shared" si="12"/>
        <v>14</v>
      </c>
      <c r="N53" s="422">
        <f>SUM(AE53:AN53)</f>
        <v>0</v>
      </c>
      <c r="AE53" s="97">
        <f>IF(AE$1=$M53,SUM(AE$2:AK$2),0)</f>
        <v>0</v>
      </c>
      <c r="AF53" s="97">
        <f t="shared" si="14"/>
        <v>0</v>
      </c>
      <c r="AG53" s="97">
        <f t="shared" si="15"/>
        <v>0</v>
      </c>
      <c r="AH53" s="97">
        <f t="shared" si="16"/>
        <v>0</v>
      </c>
      <c r="AI53" s="97">
        <f t="shared" si="17"/>
        <v>0</v>
      </c>
      <c r="AJ53" s="97">
        <f t="shared" si="18"/>
        <v>0</v>
      </c>
      <c r="AK53" s="97">
        <f t="shared" si="19"/>
        <v>0</v>
      </c>
      <c r="AL53" s="97">
        <f t="shared" si="20"/>
        <v>0</v>
      </c>
      <c r="AM53" s="97">
        <f t="shared" si="21"/>
        <v>0</v>
      </c>
      <c r="AN53" s="97">
        <f t="shared" si="22"/>
        <v>0</v>
      </c>
      <c r="AO53" s="96"/>
      <c r="AP53" s="96"/>
      <c r="AQ53" s="96"/>
      <c r="AR53" s="96"/>
      <c r="AS53" s="96"/>
      <c r="AT53" s="96"/>
      <c r="AU53" s="96"/>
      <c r="AV53" s="96"/>
    </row>
    <row r="54" spans="1:48" x14ac:dyDescent="0.25">
      <c r="B54" s="96"/>
      <c r="C54" s="96"/>
      <c r="D54" s="96"/>
      <c r="K54" s="96"/>
      <c r="L54" s="96"/>
      <c r="M54" s="96"/>
      <c r="N54" s="96"/>
      <c r="AE54" s="97">
        <f>IF(AE$1=$M54,SUM(AE$2:AK$2),0)</f>
        <v>0</v>
      </c>
      <c r="AF54" s="97">
        <f t="shared" si="14"/>
        <v>0</v>
      </c>
      <c r="AG54" s="97">
        <f t="shared" si="15"/>
        <v>0</v>
      </c>
      <c r="AH54" s="97">
        <f t="shared" si="16"/>
        <v>0</v>
      </c>
      <c r="AI54" s="97">
        <f t="shared" si="17"/>
        <v>0</v>
      </c>
      <c r="AJ54" s="97">
        <f t="shared" si="18"/>
        <v>0</v>
      </c>
      <c r="AK54" s="97">
        <f t="shared" si="19"/>
        <v>0</v>
      </c>
      <c r="AL54" s="97">
        <f t="shared" si="20"/>
        <v>0</v>
      </c>
      <c r="AM54" s="97">
        <f t="shared" si="21"/>
        <v>0</v>
      </c>
      <c r="AN54" s="97">
        <f t="shared" si="22"/>
        <v>0</v>
      </c>
      <c r="AO54" s="96"/>
      <c r="AP54" s="96"/>
      <c r="AQ54" s="96"/>
      <c r="AR54" s="96"/>
      <c r="AS54" s="96"/>
      <c r="AT54" s="96"/>
      <c r="AU54" s="96"/>
      <c r="AV54" s="96"/>
    </row>
    <row r="55" spans="1:48" x14ac:dyDescent="0.25">
      <c r="B55" s="96"/>
      <c r="C55" s="96"/>
      <c r="D55" s="96"/>
      <c r="K55" s="96"/>
      <c r="L55" s="96"/>
      <c r="M55" s="96"/>
      <c r="N55" s="96"/>
      <c r="AE55" s="97">
        <f>IF(AE$1=$M55,SUM(AE$2:AK$2),0)</f>
        <v>0</v>
      </c>
      <c r="AF55" s="97">
        <f t="shared" si="14"/>
        <v>0</v>
      </c>
      <c r="AG55" s="97">
        <f t="shared" si="15"/>
        <v>0</v>
      </c>
      <c r="AH55" s="97">
        <f t="shared" si="16"/>
        <v>0</v>
      </c>
      <c r="AI55" s="97">
        <f t="shared" si="17"/>
        <v>0</v>
      </c>
      <c r="AJ55" s="97">
        <f t="shared" si="18"/>
        <v>0</v>
      </c>
      <c r="AK55" s="97">
        <f t="shared" si="19"/>
        <v>0</v>
      </c>
      <c r="AL55" s="97">
        <f t="shared" si="20"/>
        <v>0</v>
      </c>
      <c r="AM55" s="97">
        <f t="shared" si="21"/>
        <v>0</v>
      </c>
      <c r="AN55" s="97">
        <f t="shared" si="22"/>
        <v>0</v>
      </c>
      <c r="AO55" s="96"/>
      <c r="AP55" s="96"/>
      <c r="AQ55" s="96"/>
      <c r="AR55" s="96"/>
      <c r="AS55" s="96"/>
      <c r="AT55" s="96"/>
      <c r="AU55" s="96"/>
      <c r="AV55" s="96"/>
    </row>
    <row r="56" spans="1:48" hidden="1" x14ac:dyDescent="0.25">
      <c r="N56" s="96"/>
      <c r="O56" s="96"/>
    </row>
    <row r="57" spans="1:48" x14ac:dyDescent="0.25">
      <c r="N57" s="96"/>
      <c r="O57" s="96"/>
    </row>
    <row r="58" spans="1:48" hidden="1" x14ac:dyDescent="0.25">
      <c r="N58" s="96"/>
      <c r="O58" s="96"/>
    </row>
    <row r="59" spans="1:48" x14ac:dyDescent="0.25">
      <c r="N59" s="96"/>
      <c r="O59" s="96"/>
    </row>
    <row r="60" spans="1:48" hidden="1" x14ac:dyDescent="0.25">
      <c r="N60" s="96"/>
      <c r="O60" s="96"/>
    </row>
    <row r="61" spans="1:48" x14ac:dyDescent="0.25">
      <c r="N61" s="96"/>
      <c r="O61" s="96"/>
    </row>
    <row r="62" spans="1:48" hidden="1" x14ac:dyDescent="0.25">
      <c r="N62" s="96"/>
      <c r="O62" s="96"/>
    </row>
    <row r="63" spans="1:48" x14ac:dyDescent="0.25">
      <c r="N63" s="96"/>
      <c r="O63" s="96"/>
    </row>
    <row r="64" spans="1:48" hidden="1" x14ac:dyDescent="0.25">
      <c r="N64" s="96"/>
      <c r="O64" s="96"/>
    </row>
    <row r="65" spans="14:15" x14ac:dyDescent="0.25">
      <c r="N65" s="96"/>
      <c r="O65" s="96"/>
    </row>
    <row r="66" spans="14:15" hidden="1" x14ac:dyDescent="0.25">
      <c r="N66" s="96"/>
      <c r="O66" s="96"/>
    </row>
    <row r="67" spans="14:15" x14ac:dyDescent="0.25">
      <c r="N67" s="96"/>
      <c r="O67" s="96"/>
    </row>
    <row r="68" spans="14:15" hidden="1" x14ac:dyDescent="0.25">
      <c r="N68" s="96"/>
      <c r="O68" s="96"/>
    </row>
    <row r="69" spans="14:15" x14ac:dyDescent="0.25">
      <c r="N69" s="96"/>
      <c r="O69" s="96"/>
    </row>
    <row r="70" spans="14:15" hidden="1" x14ac:dyDescent="0.25">
      <c r="N70" s="96"/>
      <c r="O70" s="96"/>
    </row>
    <row r="71" spans="14:15" x14ac:dyDescent="0.25">
      <c r="N71" s="96"/>
      <c r="O71" s="96"/>
    </row>
    <row r="72" spans="14:15" hidden="1" x14ac:dyDescent="0.25">
      <c r="N72" s="96"/>
      <c r="O72" s="96"/>
    </row>
    <row r="73" spans="14:15" x14ac:dyDescent="0.25">
      <c r="N73" s="96"/>
      <c r="O73" s="96"/>
    </row>
    <row r="74" spans="14:15" hidden="1" x14ac:dyDescent="0.25">
      <c r="N74" s="96"/>
      <c r="O74" s="96"/>
    </row>
    <row r="75" spans="14:15" x14ac:dyDescent="0.25">
      <c r="N75" s="96"/>
      <c r="O75" s="96"/>
    </row>
    <row r="76" spans="14:15" hidden="1" x14ac:dyDescent="0.25">
      <c r="N76" s="96"/>
      <c r="O76" s="96"/>
    </row>
    <row r="77" spans="14:15" x14ac:dyDescent="0.25">
      <c r="N77" s="96"/>
      <c r="O77" s="96"/>
    </row>
    <row r="78" spans="14:15" hidden="1" x14ac:dyDescent="0.25">
      <c r="N78" s="96"/>
      <c r="O78" s="96"/>
    </row>
    <row r="79" spans="14:15" x14ac:dyDescent="0.25">
      <c r="N79" s="96"/>
      <c r="O79" s="96"/>
    </row>
    <row r="80" spans="14:15" hidden="1" x14ac:dyDescent="0.25">
      <c r="N80" s="96"/>
      <c r="O80" s="96"/>
    </row>
    <row r="81" spans="14:15" x14ac:dyDescent="0.25">
      <c r="N81" s="96"/>
      <c r="O81" s="96"/>
    </row>
    <row r="82" spans="14:15" hidden="1" x14ac:dyDescent="0.25">
      <c r="N82" s="96"/>
      <c r="O82" s="96"/>
    </row>
    <row r="83" spans="14:15" x14ac:dyDescent="0.25">
      <c r="N83" s="96"/>
      <c r="O83" s="96"/>
    </row>
    <row r="84" spans="14:15" x14ac:dyDescent="0.25">
      <c r="N84" s="96"/>
      <c r="O84" s="96"/>
    </row>
    <row r="85" spans="14:15" x14ac:dyDescent="0.25">
      <c r="N85" s="96"/>
      <c r="O85" s="96"/>
    </row>
    <row r="86" spans="14:15" x14ac:dyDescent="0.25">
      <c r="N86" s="96"/>
      <c r="O86" s="96"/>
    </row>
    <row r="87" spans="14:15" x14ac:dyDescent="0.25">
      <c r="N87" s="96"/>
      <c r="O87" s="96"/>
    </row>
    <row r="88" spans="14:15" x14ac:dyDescent="0.25">
      <c r="N88" s="96"/>
      <c r="O88" s="96"/>
    </row>
    <row r="89" spans="14:15" x14ac:dyDescent="0.25">
      <c r="N89" s="96"/>
      <c r="O89" s="96"/>
    </row>
    <row r="90" spans="14:15" x14ac:dyDescent="0.25">
      <c r="N90" s="96"/>
      <c r="O90" s="96"/>
    </row>
    <row r="91" spans="14:15" x14ac:dyDescent="0.25">
      <c r="N91" s="96"/>
      <c r="O91" s="96"/>
    </row>
    <row r="92" spans="14:15" x14ac:dyDescent="0.25">
      <c r="N92" s="96"/>
      <c r="O92" s="96"/>
    </row>
    <row r="93" spans="14:15" x14ac:dyDescent="0.25">
      <c r="N93" s="96"/>
      <c r="O93" s="96"/>
    </row>
    <row r="94" spans="14:15" x14ac:dyDescent="0.25">
      <c r="N94" s="96"/>
      <c r="O94" s="96"/>
    </row>
    <row r="95" spans="14:15" x14ac:dyDescent="0.25">
      <c r="N95" s="96"/>
      <c r="O95" s="96"/>
    </row>
    <row r="96" spans="14:15" x14ac:dyDescent="0.25">
      <c r="N96" s="96"/>
      <c r="O96" s="96"/>
    </row>
    <row r="97" spans="14:15" x14ac:dyDescent="0.25">
      <c r="N97" s="96"/>
      <c r="O97" s="96"/>
    </row>
    <row r="98" spans="14:15" x14ac:dyDescent="0.25">
      <c r="N98" s="96"/>
      <c r="O98" s="96"/>
    </row>
    <row r="99" spans="14:15" x14ac:dyDescent="0.25">
      <c r="N99" s="96"/>
      <c r="O99" s="96"/>
    </row>
    <row r="100" spans="14:15" x14ac:dyDescent="0.25">
      <c r="N100" s="96"/>
      <c r="O100" s="96"/>
    </row>
    <row r="101" spans="14:15" x14ac:dyDescent="0.25">
      <c r="N101" s="96"/>
      <c r="O101" s="96"/>
    </row>
    <row r="102" spans="14:15" x14ac:dyDescent="0.25">
      <c r="N102" s="96"/>
      <c r="O102" s="96"/>
    </row>
    <row r="103" spans="14:15" x14ac:dyDescent="0.25">
      <c r="N103" s="96"/>
      <c r="O103" s="96"/>
    </row>
    <row r="104" spans="14:15" x14ac:dyDescent="0.25">
      <c r="N104" s="96"/>
      <c r="O104" s="96"/>
    </row>
    <row r="105" spans="14:15" x14ac:dyDescent="0.25">
      <c r="N105" s="96"/>
      <c r="O105" s="96"/>
    </row>
    <row r="106" spans="14:15" x14ac:dyDescent="0.25">
      <c r="N106" s="96"/>
      <c r="O106" s="96"/>
    </row>
    <row r="107" spans="14:15" x14ac:dyDescent="0.25">
      <c r="N107" s="96"/>
      <c r="O107" s="96"/>
    </row>
  </sheetData>
  <mergeCells count="4">
    <mergeCell ref="C36:F36"/>
    <mergeCell ref="G36:J36"/>
    <mergeCell ref="A36:B36"/>
    <mergeCell ref="K36:N36"/>
  </mergeCells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9"/>
  <sheetViews>
    <sheetView tabSelected="1" zoomScale="130" zoomScaleNormal="130" workbookViewId="0">
      <selection activeCell="P9" sqref="P9"/>
    </sheetView>
  </sheetViews>
  <sheetFormatPr defaultColWidth="8.85546875" defaultRowHeight="15" outlineLevelCol="1" x14ac:dyDescent="0.25"/>
  <cols>
    <col min="1" max="1" width="5.140625" bestFit="1" customWidth="1"/>
    <col min="2" max="2" width="18" customWidth="1"/>
    <col min="4" max="4" width="13.28515625" hidden="1" customWidth="1" outlineLevel="1"/>
    <col min="5" max="5" width="8.85546875" hidden="1" customWidth="1" outlineLevel="1"/>
    <col min="6" max="6" width="8.85546875" collapsed="1"/>
    <col min="7" max="8" width="8.85546875" style="224" hidden="1" customWidth="1"/>
    <col min="9" max="9" width="12.85546875" style="224" hidden="1" customWidth="1"/>
    <col min="10" max="15" width="8.85546875" style="224" hidden="1" customWidth="1"/>
  </cols>
  <sheetData>
    <row r="1" spans="1:15" ht="15.75" thickBot="1" x14ac:dyDescent="0.3"/>
    <row r="2" spans="1:15" ht="15.75" thickBot="1" x14ac:dyDescent="0.3">
      <c r="A2" s="780" t="s">
        <v>95</v>
      </c>
      <c r="B2" s="781"/>
      <c r="C2" s="781"/>
      <c r="D2" s="781"/>
      <c r="E2" s="782"/>
    </row>
    <row r="3" spans="1:15" ht="15.75" thickBot="1" x14ac:dyDescent="0.3">
      <c r="A3" s="380" t="s">
        <v>15</v>
      </c>
      <c r="B3" s="381" t="s">
        <v>16</v>
      </c>
      <c r="C3" s="382" t="s">
        <v>19</v>
      </c>
      <c r="D3" s="382" t="s">
        <v>53</v>
      </c>
      <c r="E3" s="383" t="s">
        <v>59</v>
      </c>
      <c r="G3" s="224" t="s">
        <v>15</v>
      </c>
      <c r="H3" s="224" t="s">
        <v>96</v>
      </c>
      <c r="I3" s="224" t="s">
        <v>16</v>
      </c>
      <c r="J3" s="224" t="s">
        <v>19</v>
      </c>
      <c r="K3" s="224" t="s">
        <v>97</v>
      </c>
      <c r="N3" s="224" t="s">
        <v>53</v>
      </c>
      <c r="O3" s="224" t="s">
        <v>59</v>
      </c>
    </row>
    <row r="4" spans="1:15" x14ac:dyDescent="0.25">
      <c r="A4" s="569">
        <f t="shared" ref="A4:A17" ca="1" si="0">L4</f>
        <v>1</v>
      </c>
      <c r="B4" s="570" t="str">
        <f t="shared" ref="B4:B19" ca="1" si="1">OFFSET(H$3,MATCH(M4,H$4:H$19,0),1)</f>
        <v>John</v>
      </c>
      <c r="C4" s="571">
        <f t="shared" ref="C4:C19" ca="1" si="2">INDEX(J$4:J$19,MATCH(LARGE(K$4:K$19,A4),K$4:K$19,0))</f>
        <v>35</v>
      </c>
      <c r="D4" s="571" t="str">
        <f t="shared" ref="D4:D19" ca="1" si="3">OFFSET(H$3,MATCH(M4,H$4:H$19,0),6)</f>
        <v>Winner</v>
      </c>
      <c r="E4" s="572">
        <f t="shared" ref="E4:E19" ca="1" si="4">OFFSET(H$3,MATCH(M4,H$4:H$19,0),7)</f>
        <v>720</v>
      </c>
      <c r="G4" s="224">
        <f t="shared" ref="G4:G19" ca="1" si="5">RANK(J4,J$4:J$19,0)</f>
        <v>11</v>
      </c>
      <c r="H4" s="224">
        <f t="shared" ref="H4:H19" ca="1" si="6">RANK(K4,K$4:K$19,0)</f>
        <v>11</v>
      </c>
      <c r="I4" s="224" t="str">
        <f>Results!A5</f>
        <v>Mil</v>
      </c>
      <c r="J4" s="312">
        <f ca="1">Results!Q5</f>
        <v>15</v>
      </c>
      <c r="K4" s="224">
        <f ca="1">Results!Q5+(Results!Y5*0.0000001)</f>
        <v>15.000000099999999</v>
      </c>
      <c r="L4" s="312">
        <f ca="1">Results!S5</f>
        <v>1</v>
      </c>
      <c r="M4" s="224">
        <v>1</v>
      </c>
      <c r="N4" s="312" t="str">
        <f ca="1">Results!J5</f>
        <v/>
      </c>
      <c r="O4" s="312" t="str">
        <f ca="1">Results!K5</f>
        <v/>
      </c>
    </row>
    <row r="5" spans="1:15" x14ac:dyDescent="0.25">
      <c r="A5" s="379">
        <f t="shared" ca="1" si="0"/>
        <v>2</v>
      </c>
      <c r="B5" s="378" t="str">
        <f t="shared" ca="1" si="1"/>
        <v>Tommy</v>
      </c>
      <c r="C5" s="306">
        <f t="shared" ca="1" si="2"/>
        <v>32.625</v>
      </c>
      <c r="D5" s="306" t="str">
        <f t="shared" ca="1" si="3"/>
        <v>2nd Place</v>
      </c>
      <c r="E5" s="573">
        <f t="shared" ca="1" si="4"/>
        <v>410</v>
      </c>
      <c r="G5" s="224">
        <f t="shared" ca="1" si="5"/>
        <v>1</v>
      </c>
      <c r="H5" s="224">
        <f t="shared" ca="1" si="6"/>
        <v>1</v>
      </c>
      <c r="I5" s="224" t="str">
        <f>Results!A7</f>
        <v>John</v>
      </c>
      <c r="J5" s="312">
        <f ca="1">Results!Q7</f>
        <v>35</v>
      </c>
      <c r="K5" s="224">
        <f ca="1">Results!Q7+(Results!Y7*0.0000001)</f>
        <v>35.000000200000002</v>
      </c>
      <c r="L5" s="312">
        <f ca="1">Results!S7</f>
        <v>2</v>
      </c>
      <c r="M5" s="224">
        <v>2</v>
      </c>
      <c r="N5" s="312" t="str">
        <f ca="1">Results!J7</f>
        <v>Winner</v>
      </c>
      <c r="O5" s="312">
        <f ca="1">Results!K7</f>
        <v>720</v>
      </c>
    </row>
    <row r="6" spans="1:15" x14ac:dyDescent="0.25">
      <c r="A6" s="379">
        <f t="shared" ca="1" si="0"/>
        <v>3</v>
      </c>
      <c r="B6" s="378" t="str">
        <f t="shared" ca="1" si="1"/>
        <v>Brian P</v>
      </c>
      <c r="C6" s="306">
        <f t="shared" ca="1" si="2"/>
        <v>29.5</v>
      </c>
      <c r="D6" s="306" t="str">
        <f t="shared" ca="1" si="3"/>
        <v>3rd Place</v>
      </c>
      <c r="E6" s="573">
        <f t="shared" ca="1" si="4"/>
        <v>170</v>
      </c>
      <c r="G6" s="224">
        <f t="shared" ca="1" si="5"/>
        <v>3</v>
      </c>
      <c r="H6" s="224">
        <f t="shared" ca="1" si="6"/>
        <v>3</v>
      </c>
      <c r="I6" s="224" t="str">
        <f>Results!A9</f>
        <v>Brian P</v>
      </c>
      <c r="J6" s="312">
        <f ca="1">Results!Q9</f>
        <v>29.5</v>
      </c>
      <c r="K6" s="224">
        <f ca="1">Results!Q9+(Results!Y9*0.0000001)</f>
        <v>29.5000003</v>
      </c>
      <c r="L6" s="312">
        <f ca="1">Results!S9</f>
        <v>3</v>
      </c>
      <c r="M6" s="224">
        <v>3</v>
      </c>
      <c r="N6" s="312" t="str">
        <f ca="1">Results!J9</f>
        <v>3rd Place</v>
      </c>
      <c r="O6" s="312">
        <f ca="1">Results!K9</f>
        <v>170</v>
      </c>
    </row>
    <row r="7" spans="1:15" x14ac:dyDescent="0.25">
      <c r="A7" s="379">
        <f t="shared" ca="1" si="0"/>
        <v>4</v>
      </c>
      <c r="B7" s="378" t="str">
        <f t="shared" ca="1" si="1"/>
        <v>Bob</v>
      </c>
      <c r="C7" s="306">
        <f t="shared" ca="1" si="2"/>
        <v>28</v>
      </c>
      <c r="D7" s="306" t="str">
        <f t="shared" ca="1" si="3"/>
        <v>4th Place</v>
      </c>
      <c r="E7" s="573">
        <f t="shared" ca="1" si="4"/>
        <v>60</v>
      </c>
      <c r="G7" s="224">
        <f t="shared" ca="1" si="5"/>
        <v>6</v>
      </c>
      <c r="H7" s="224">
        <f t="shared" ca="1" si="6"/>
        <v>6</v>
      </c>
      <c r="I7" s="224" t="str">
        <f>Results!A11</f>
        <v xml:space="preserve">Pat </v>
      </c>
      <c r="J7" s="312">
        <f ca="1">Results!Q11</f>
        <v>23.625</v>
      </c>
      <c r="K7" s="224">
        <f ca="1">Results!Q11+(Results!Y11*0.0000001)</f>
        <v>23.625000400000001</v>
      </c>
      <c r="L7" s="312">
        <f ca="1">Results!S11</f>
        <v>4</v>
      </c>
      <c r="M7" s="224">
        <v>4</v>
      </c>
      <c r="N7" s="312" t="str">
        <f ca="1">Results!J11</f>
        <v/>
      </c>
      <c r="O7" s="312">
        <f ca="1">Results!K11</f>
        <v>40</v>
      </c>
    </row>
    <row r="8" spans="1:15" x14ac:dyDescent="0.25">
      <c r="A8" s="379">
        <f t="shared" ca="1" si="0"/>
        <v>5</v>
      </c>
      <c r="B8" s="378" t="str">
        <f t="shared" ca="1" si="1"/>
        <v>Rick</v>
      </c>
      <c r="C8" s="306">
        <f t="shared" ca="1" si="2"/>
        <v>25</v>
      </c>
      <c r="D8" s="306" t="str">
        <f t="shared" ca="1" si="3"/>
        <v/>
      </c>
      <c r="E8" s="573">
        <f t="shared" ca="1" si="4"/>
        <v>20</v>
      </c>
      <c r="G8" s="224">
        <f t="shared" ca="1" si="5"/>
        <v>5</v>
      </c>
      <c r="H8" s="224">
        <f t="shared" ca="1" si="6"/>
        <v>5</v>
      </c>
      <c r="I8" s="224" t="str">
        <f>Results!A13</f>
        <v>Rick</v>
      </c>
      <c r="J8" s="312">
        <f ca="1">Results!Q13</f>
        <v>25</v>
      </c>
      <c r="K8" s="224">
        <f ca="1">Results!Q13+(Results!Y13*0.0000001)</f>
        <v>25.000000499999999</v>
      </c>
      <c r="L8" s="312">
        <f ca="1">Results!S13</f>
        <v>5</v>
      </c>
      <c r="M8" s="224">
        <v>5</v>
      </c>
      <c r="N8" s="312" t="str">
        <f ca="1">Results!J13</f>
        <v/>
      </c>
      <c r="O8" s="312">
        <f ca="1">Results!K13</f>
        <v>20</v>
      </c>
    </row>
    <row r="9" spans="1:15" x14ac:dyDescent="0.25">
      <c r="A9" s="379">
        <f t="shared" ca="1" si="0"/>
        <v>6</v>
      </c>
      <c r="B9" s="378" t="str">
        <f t="shared" ca="1" si="1"/>
        <v xml:space="preserve">Pat </v>
      </c>
      <c r="C9" s="306">
        <f t="shared" ca="1" si="2"/>
        <v>23.625</v>
      </c>
      <c r="D9" s="306" t="str">
        <f t="shared" ca="1" si="3"/>
        <v/>
      </c>
      <c r="E9" s="573">
        <f t="shared" ca="1" si="4"/>
        <v>40</v>
      </c>
      <c r="G9" s="224">
        <f t="shared" ca="1" si="5"/>
        <v>10</v>
      </c>
      <c r="H9" s="224">
        <f t="shared" ca="1" si="6"/>
        <v>10</v>
      </c>
      <c r="I9" s="224" t="str">
        <f>Results!A15</f>
        <v>Keith</v>
      </c>
      <c r="J9" s="312">
        <f ca="1">Results!Q15</f>
        <v>16</v>
      </c>
      <c r="K9" s="224">
        <f ca="1">Results!Q15+(Results!Y15*0.0000001)</f>
        <v>16.0000006</v>
      </c>
      <c r="L9" s="312">
        <f ca="1">Results!S15</f>
        <v>6</v>
      </c>
      <c r="M9" s="224">
        <v>6</v>
      </c>
      <c r="N9" s="312" t="str">
        <f ca="1">Results!J15</f>
        <v/>
      </c>
      <c r="O9" s="312">
        <f ca="1">Results!K15</f>
        <v>20</v>
      </c>
    </row>
    <row r="10" spans="1:15" x14ac:dyDescent="0.25">
      <c r="A10" s="379">
        <f t="shared" ca="1" si="0"/>
        <v>7</v>
      </c>
      <c r="B10" s="378" t="str">
        <f t="shared" ca="1" si="1"/>
        <v>Hunter</v>
      </c>
      <c r="C10" s="306">
        <f t="shared" ca="1" si="2"/>
        <v>20</v>
      </c>
      <c r="D10" s="306" t="str">
        <f t="shared" ca="1" si="3"/>
        <v/>
      </c>
      <c r="E10" s="573">
        <f t="shared" ca="1" si="4"/>
        <v>20</v>
      </c>
      <c r="G10" s="224">
        <f t="shared" ca="1" si="5"/>
        <v>16</v>
      </c>
      <c r="H10" s="224">
        <f t="shared" ca="1" si="6"/>
        <v>16</v>
      </c>
      <c r="I10" s="224" t="str">
        <f>Results!A17</f>
        <v>Tony W</v>
      </c>
      <c r="J10" s="312">
        <f ca="1">Results!Q17</f>
        <v>3</v>
      </c>
      <c r="K10" s="224">
        <f ca="1">Results!Q17+(Results!Y17*0.0000001)</f>
        <v>3.0000007000000002</v>
      </c>
      <c r="L10" s="312">
        <f ca="1">Results!S17</f>
        <v>7</v>
      </c>
      <c r="M10" s="224">
        <v>7</v>
      </c>
      <c r="N10" s="312" t="str">
        <f ca="1">Results!J17</f>
        <v/>
      </c>
      <c r="O10" s="312" t="str">
        <f ca="1">Results!K17</f>
        <v/>
      </c>
    </row>
    <row r="11" spans="1:15" x14ac:dyDescent="0.25">
      <c r="A11" s="379">
        <f t="shared" ca="1" si="0"/>
        <v>8</v>
      </c>
      <c r="B11" s="378" t="str">
        <f t="shared" ca="1" si="1"/>
        <v>Dave</v>
      </c>
      <c r="C11" s="306">
        <f t="shared" ca="1" si="2"/>
        <v>19</v>
      </c>
      <c r="D11" s="306" t="str">
        <f t="shared" ca="1" si="3"/>
        <v/>
      </c>
      <c r="E11" s="573">
        <f t="shared" ca="1" si="4"/>
        <v>20</v>
      </c>
      <c r="G11" s="224">
        <f t="shared" ca="1" si="5"/>
        <v>13</v>
      </c>
      <c r="H11" s="224">
        <f t="shared" ca="1" si="6"/>
        <v>13</v>
      </c>
      <c r="I11" s="224" t="str">
        <f>Results!A19</f>
        <v>Manny</v>
      </c>
      <c r="J11" s="312">
        <f ca="1">Results!Q19</f>
        <v>11</v>
      </c>
      <c r="K11" s="224">
        <f ca="1">Results!Q19+(Results!Y19*0.0000001)</f>
        <v>11.0000008</v>
      </c>
      <c r="L11" s="312">
        <f ca="1">Results!S19</f>
        <v>8</v>
      </c>
      <c r="M11" s="224">
        <v>8</v>
      </c>
      <c r="N11" s="312" t="str">
        <f ca="1">Results!J19</f>
        <v/>
      </c>
      <c r="O11" s="312">
        <f ca="1">Results!K19</f>
        <v>20</v>
      </c>
    </row>
    <row r="12" spans="1:15" x14ac:dyDescent="0.25">
      <c r="A12" s="379">
        <f t="shared" ca="1" si="0"/>
        <v>9</v>
      </c>
      <c r="B12" s="378" t="str">
        <f t="shared" ca="1" si="1"/>
        <v>Brian S</v>
      </c>
      <c r="C12" s="306">
        <f t="shared" ca="1" si="2"/>
        <v>18</v>
      </c>
      <c r="D12" s="306" t="str">
        <f t="shared" ca="1" si="3"/>
        <v/>
      </c>
      <c r="E12" s="573">
        <f t="shared" ca="1" si="4"/>
        <v>20</v>
      </c>
      <c r="G12" s="224">
        <f t="shared" ca="1" si="5"/>
        <v>2</v>
      </c>
      <c r="H12" s="224">
        <f t="shared" ca="1" si="6"/>
        <v>2</v>
      </c>
      <c r="I12" s="224" t="str">
        <f>Results!A21</f>
        <v>Tommy</v>
      </c>
      <c r="J12" s="312">
        <f ca="1">Results!Q21</f>
        <v>32.625</v>
      </c>
      <c r="K12" s="224">
        <f ca="1">Results!Q21+(Results!Y21*0.0000001)</f>
        <v>32.625000900000003</v>
      </c>
      <c r="L12" s="312">
        <f ca="1">Results!S21</f>
        <v>9</v>
      </c>
      <c r="M12" s="224">
        <v>9</v>
      </c>
      <c r="N12" s="312" t="str">
        <f ca="1">Results!J21</f>
        <v>2nd Place</v>
      </c>
      <c r="O12" s="312">
        <f ca="1">Results!K21</f>
        <v>410</v>
      </c>
    </row>
    <row r="13" spans="1:15" x14ac:dyDescent="0.25">
      <c r="A13" s="379">
        <f t="shared" ca="1" si="0"/>
        <v>10</v>
      </c>
      <c r="B13" s="378" t="str">
        <f t="shared" ca="1" si="1"/>
        <v>Keith</v>
      </c>
      <c r="C13" s="306">
        <f t="shared" ca="1" si="2"/>
        <v>16</v>
      </c>
      <c r="D13" s="306" t="str">
        <f t="shared" ca="1" si="3"/>
        <v/>
      </c>
      <c r="E13" s="573">
        <f t="shared" ca="1" si="4"/>
        <v>20</v>
      </c>
      <c r="G13" s="224">
        <f t="shared" ca="1" si="5"/>
        <v>8</v>
      </c>
      <c r="H13" s="224">
        <f t="shared" ca="1" si="6"/>
        <v>8</v>
      </c>
      <c r="I13" s="224" t="str">
        <f>Results!A23</f>
        <v>Dave</v>
      </c>
      <c r="J13" s="312">
        <f ca="1">Results!Q23</f>
        <v>19</v>
      </c>
      <c r="K13" s="224">
        <f ca="1">Results!Q23+(Results!Y23*0.0000001)</f>
        <v>19.000001000000001</v>
      </c>
      <c r="L13" s="312">
        <f ca="1">Results!S23</f>
        <v>10</v>
      </c>
      <c r="M13" s="224">
        <v>10</v>
      </c>
      <c r="N13" s="312" t="str">
        <f ca="1">Results!J23</f>
        <v/>
      </c>
      <c r="O13" s="312">
        <f ca="1">Results!K23</f>
        <v>20</v>
      </c>
    </row>
    <row r="14" spans="1:15" x14ac:dyDescent="0.25">
      <c r="A14" s="379">
        <f t="shared" ca="1" si="0"/>
        <v>11</v>
      </c>
      <c r="B14" s="378" t="str">
        <f t="shared" ca="1" si="1"/>
        <v>Mil</v>
      </c>
      <c r="C14" s="306">
        <f t="shared" ca="1" si="2"/>
        <v>15</v>
      </c>
      <c r="D14" s="306" t="str">
        <f t="shared" ca="1" si="3"/>
        <v/>
      </c>
      <c r="E14" s="573" t="str">
        <f t="shared" ca="1" si="4"/>
        <v/>
      </c>
      <c r="G14" s="224">
        <f t="shared" ca="1" si="5"/>
        <v>7</v>
      </c>
      <c r="H14" s="224">
        <f t="shared" ca="1" si="6"/>
        <v>7</v>
      </c>
      <c r="I14" s="224" t="str">
        <f>Results!A25</f>
        <v>Hunter</v>
      </c>
      <c r="J14" s="312">
        <f ca="1">Results!Q25</f>
        <v>20</v>
      </c>
      <c r="K14" s="224">
        <f ca="1">Results!Q25+(Results!Y25*0.0000001)</f>
        <v>20.000001099999999</v>
      </c>
      <c r="L14" s="312">
        <f ca="1">Results!S25</f>
        <v>11</v>
      </c>
      <c r="M14" s="224">
        <v>11</v>
      </c>
      <c r="N14" s="312" t="str">
        <f ca="1">Results!J25</f>
        <v/>
      </c>
      <c r="O14" s="312">
        <f ca="1">Results!K25</f>
        <v>20</v>
      </c>
    </row>
    <row r="15" spans="1:15" x14ac:dyDescent="0.25">
      <c r="A15" s="379">
        <f t="shared" ca="1" si="0"/>
        <v>12</v>
      </c>
      <c r="B15" s="378" t="str">
        <f t="shared" ca="1" si="1"/>
        <v>Chris</v>
      </c>
      <c r="C15" s="306">
        <f t="shared" ca="1" si="2"/>
        <v>12</v>
      </c>
      <c r="D15" s="306" t="str">
        <f t="shared" ca="1" si="3"/>
        <v/>
      </c>
      <c r="E15" s="573">
        <f t="shared" ca="1" si="4"/>
        <v>60</v>
      </c>
      <c r="G15" s="224">
        <f t="shared" ca="1" si="5"/>
        <v>14</v>
      </c>
      <c r="H15" s="224">
        <f t="shared" ca="1" si="6"/>
        <v>14</v>
      </c>
      <c r="I15" s="224" t="str">
        <f>Results!A27</f>
        <v>Gerald C</v>
      </c>
      <c r="J15" s="312">
        <f ca="1">Results!Q27</f>
        <v>9</v>
      </c>
      <c r="K15" s="224">
        <f ca="1">Results!Q27+(Results!Y27*0.0000001)</f>
        <v>9.0000011999999998</v>
      </c>
      <c r="L15" s="312">
        <f ca="1">Results!S27</f>
        <v>12</v>
      </c>
      <c r="M15" s="224">
        <v>12</v>
      </c>
      <c r="N15" s="312" t="str">
        <f ca="1">Results!J27</f>
        <v/>
      </c>
      <c r="O15" s="312">
        <f ca="1">Results!K27</f>
        <v>20</v>
      </c>
    </row>
    <row r="16" spans="1:15" x14ac:dyDescent="0.25">
      <c r="A16" s="379">
        <f t="shared" ca="1" si="0"/>
        <v>13</v>
      </c>
      <c r="B16" s="378" t="str">
        <f t="shared" ca="1" si="1"/>
        <v>Manny</v>
      </c>
      <c r="C16" s="306">
        <f t="shared" ca="1" si="2"/>
        <v>11</v>
      </c>
      <c r="D16" s="306" t="str">
        <f t="shared" ca="1" si="3"/>
        <v/>
      </c>
      <c r="E16" s="573">
        <f t="shared" ca="1" si="4"/>
        <v>20</v>
      </c>
      <c r="G16" s="224">
        <f t="shared" ca="1" si="5"/>
        <v>4</v>
      </c>
      <c r="H16" s="224">
        <f t="shared" ca="1" si="6"/>
        <v>4</v>
      </c>
      <c r="I16" s="224" t="str">
        <f>Results!A29</f>
        <v>Bob</v>
      </c>
      <c r="J16" s="312">
        <f ca="1">Results!Q29</f>
        <v>28</v>
      </c>
      <c r="K16" s="224">
        <f ca="1">Results!Q29+(Results!Y29*0.0000001)</f>
        <v>28.000001300000001</v>
      </c>
      <c r="L16" s="312">
        <f ca="1">Results!S29</f>
        <v>13</v>
      </c>
      <c r="M16" s="224">
        <v>13</v>
      </c>
      <c r="N16" s="312" t="str">
        <f ca="1">Results!J29</f>
        <v>4th Place</v>
      </c>
      <c r="O16" s="312">
        <f ca="1">Results!K29</f>
        <v>60</v>
      </c>
    </row>
    <row r="17" spans="1:15" x14ac:dyDescent="0.25">
      <c r="A17" s="379">
        <f t="shared" ca="1" si="0"/>
        <v>14</v>
      </c>
      <c r="B17" s="378" t="str">
        <f t="shared" ca="1" si="1"/>
        <v>Gerald C</v>
      </c>
      <c r="C17" s="306">
        <f t="shared" ca="1" si="2"/>
        <v>9</v>
      </c>
      <c r="D17" s="306" t="str">
        <f t="shared" ca="1" si="3"/>
        <v/>
      </c>
      <c r="E17" s="573">
        <f t="shared" ca="1" si="4"/>
        <v>20</v>
      </c>
      <c r="G17" s="224">
        <f t="shared" ca="1" si="5"/>
        <v>15</v>
      </c>
      <c r="H17" s="224">
        <f t="shared" ca="1" si="6"/>
        <v>15</v>
      </c>
      <c r="I17" s="224" t="str">
        <f>Results!A31</f>
        <v>Patrick</v>
      </c>
      <c r="J17" s="312">
        <f ca="1">Results!Q31</f>
        <v>7</v>
      </c>
      <c r="K17" s="224">
        <f ca="1">Results!Q31+(Results!Y31*0.0000001)</f>
        <v>7.0000014000000004</v>
      </c>
      <c r="L17" s="312">
        <f ca="1">Results!S31</f>
        <v>14</v>
      </c>
      <c r="M17" s="224">
        <v>14</v>
      </c>
      <c r="N17" s="312" t="str">
        <f ca="1">Results!J31</f>
        <v/>
      </c>
      <c r="O17" s="312" t="str">
        <f ca="1">Results!K31</f>
        <v/>
      </c>
    </row>
    <row r="18" spans="1:15" x14ac:dyDescent="0.25">
      <c r="A18" s="379">
        <f ca="1">L18</f>
        <v>15</v>
      </c>
      <c r="B18" s="378" t="str">
        <f t="shared" ca="1" si="1"/>
        <v>Patrick</v>
      </c>
      <c r="C18" s="306">
        <f t="shared" ca="1" si="2"/>
        <v>7</v>
      </c>
      <c r="D18" s="306" t="str">
        <f t="shared" ca="1" si="3"/>
        <v/>
      </c>
      <c r="E18" s="573" t="str">
        <f t="shared" ca="1" si="4"/>
        <v/>
      </c>
      <c r="G18" s="224">
        <f t="shared" ca="1" si="5"/>
        <v>9</v>
      </c>
      <c r="H18" s="224">
        <f t="shared" ca="1" si="6"/>
        <v>9</v>
      </c>
      <c r="I18" s="224" t="str">
        <f>Results!A33</f>
        <v>Brian S</v>
      </c>
      <c r="J18" s="312">
        <f ca="1">Results!Q33</f>
        <v>18</v>
      </c>
      <c r="K18" s="224">
        <f ca="1">Results!Q33+(Results!Y33*0.0000001)</f>
        <v>18.0000015</v>
      </c>
      <c r="L18" s="312">
        <f ca="1">Results!S33</f>
        <v>15</v>
      </c>
      <c r="M18" s="224">
        <v>15</v>
      </c>
      <c r="N18" s="312" t="str">
        <f ca="1">Results!J33</f>
        <v/>
      </c>
      <c r="O18" s="312">
        <f ca="1">Results!K33</f>
        <v>20</v>
      </c>
    </row>
    <row r="19" spans="1:15" ht="15.75" thickBot="1" x14ac:dyDescent="0.3">
      <c r="A19" s="574">
        <f ca="1">L19</f>
        <v>16</v>
      </c>
      <c r="B19" s="575" t="str">
        <f t="shared" ca="1" si="1"/>
        <v>Tony W</v>
      </c>
      <c r="C19" s="576">
        <f t="shared" ca="1" si="2"/>
        <v>3</v>
      </c>
      <c r="D19" s="576" t="str">
        <f t="shared" ca="1" si="3"/>
        <v/>
      </c>
      <c r="E19" s="577" t="str">
        <f t="shared" ca="1" si="4"/>
        <v/>
      </c>
      <c r="G19" s="224">
        <f t="shared" ca="1" si="5"/>
        <v>12</v>
      </c>
      <c r="H19" s="224">
        <f t="shared" ca="1" si="6"/>
        <v>12</v>
      </c>
      <c r="I19" s="224" t="str">
        <f>Results!A35</f>
        <v>Chris</v>
      </c>
      <c r="J19" s="312">
        <f ca="1">Results!Q35</f>
        <v>12</v>
      </c>
      <c r="K19" s="224">
        <f ca="1">Results!Q35+(Results!Y35*0.0000001)</f>
        <v>12.000001599999999</v>
      </c>
      <c r="L19" s="312">
        <f ca="1">Results!S35</f>
        <v>16</v>
      </c>
      <c r="M19" s="224">
        <v>16</v>
      </c>
      <c r="N19" s="312" t="str">
        <f ca="1">Results!J35</f>
        <v/>
      </c>
      <c r="O19" s="312">
        <f ca="1">Results!K35</f>
        <v>60</v>
      </c>
    </row>
  </sheetData>
  <mergeCells count="1">
    <mergeCell ref="A2:E2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74"/>
  <sheetViews>
    <sheetView zoomScaleNormal="100" workbookViewId="0">
      <selection activeCell="BW40" sqref="BW40"/>
    </sheetView>
  </sheetViews>
  <sheetFormatPr defaultColWidth="8.85546875" defaultRowHeight="15" x14ac:dyDescent="0.25"/>
  <cols>
    <col min="1" max="1" width="17.85546875" customWidth="1"/>
    <col min="2" max="2" width="11.7109375" customWidth="1"/>
    <col min="4" max="4" width="11.42578125" customWidth="1"/>
    <col min="6" max="6" width="10.42578125" customWidth="1"/>
    <col min="8" max="8" width="10.85546875" customWidth="1"/>
    <col min="10" max="10" width="13.140625" customWidth="1"/>
    <col min="13" max="16" width="7.7109375" style="224" hidden="1" customWidth="1"/>
    <col min="17" max="17" width="8.28515625" style="224" hidden="1" customWidth="1"/>
    <col min="18" max="19" width="7.42578125" hidden="1" customWidth="1"/>
    <col min="20" max="20" width="11" hidden="1" customWidth="1"/>
    <col min="21" max="24" width="7.42578125" hidden="1" customWidth="1"/>
    <col min="25" max="35" width="4.28515625" hidden="1" customWidth="1"/>
    <col min="36" max="46" width="4.28515625" style="224" hidden="1" customWidth="1"/>
    <col min="47" max="47" width="13.28515625" style="224" hidden="1" customWidth="1"/>
    <col min="48" max="53" width="7.7109375" style="224" hidden="1" customWidth="1"/>
    <col min="54" max="54" width="7.7109375" style="275" hidden="1" customWidth="1"/>
    <col min="55" max="57" width="7.7109375" style="224" hidden="1" customWidth="1"/>
    <col min="58" max="58" width="4.28515625" style="224" hidden="1" customWidth="1"/>
    <col min="59" max="59" width="7.7109375" style="224" hidden="1" customWidth="1"/>
    <col min="60" max="67" width="8.85546875" style="224" hidden="1" customWidth="1"/>
    <col min="68" max="72" width="8.85546875" hidden="1" customWidth="1"/>
    <col min="73" max="74" width="8.85546875" customWidth="1"/>
  </cols>
  <sheetData>
    <row r="1" spans="1:72" x14ac:dyDescent="0.25">
      <c r="B1" s="276"/>
      <c r="D1" s="276">
        <f ca="1">TODAY()</f>
        <v>44695</v>
      </c>
      <c r="F1" s="276">
        <f ca="1">TODAY()</f>
        <v>44695</v>
      </c>
      <c r="H1" s="276">
        <f ca="1">TODAY()</f>
        <v>44695</v>
      </c>
      <c r="AU1" s="224">
        <v>3</v>
      </c>
    </row>
    <row r="2" spans="1:72" x14ac:dyDescent="0.25">
      <c r="B2" s="276"/>
      <c r="D2" s="276">
        <v>44693</v>
      </c>
      <c r="F2" s="276">
        <f>D2+1</f>
        <v>44694</v>
      </c>
      <c r="H2" s="276">
        <f>F2+1</f>
        <v>44695</v>
      </c>
      <c r="AU2" s="224">
        <v>2</v>
      </c>
      <c r="BB2" s="224"/>
    </row>
    <row r="3" spans="1:72" ht="15.75" thickBot="1" x14ac:dyDescent="0.3">
      <c r="B3" s="276"/>
      <c r="D3" s="224">
        <f ca="1">IF(D1&gt;=D2,1,0)</f>
        <v>1</v>
      </c>
      <c r="F3" s="224">
        <f ca="1">IF(F1&gt;=F2,1,0)</f>
        <v>1</v>
      </c>
      <c r="H3" s="224">
        <f ca="1">IF(H1&gt;=H2,1,0)</f>
        <v>1</v>
      </c>
      <c r="Z3" s="224">
        <v>1</v>
      </c>
      <c r="AA3" s="224">
        <v>2</v>
      </c>
      <c r="AB3" s="224">
        <v>3</v>
      </c>
      <c r="AC3" s="224">
        <v>4</v>
      </c>
      <c r="AD3" s="224">
        <v>5</v>
      </c>
      <c r="AE3" s="224">
        <v>6</v>
      </c>
      <c r="AF3" s="224">
        <v>7</v>
      </c>
      <c r="AG3" s="224">
        <v>8</v>
      </c>
      <c r="AH3" s="224">
        <v>9</v>
      </c>
      <c r="AI3" s="224">
        <v>10</v>
      </c>
      <c r="AJ3" s="224">
        <v>11</v>
      </c>
      <c r="AK3" s="224">
        <v>12</v>
      </c>
      <c r="AL3" s="224">
        <v>13</v>
      </c>
      <c r="AM3" s="224">
        <v>14</v>
      </c>
      <c r="AN3" s="224">
        <v>15</v>
      </c>
      <c r="AO3" s="224">
        <v>16</v>
      </c>
      <c r="AP3" s="224">
        <v>17</v>
      </c>
      <c r="AQ3" s="224">
        <v>18</v>
      </c>
      <c r="AR3" s="224">
        <v>19</v>
      </c>
      <c r="AS3" s="224">
        <v>20</v>
      </c>
      <c r="AU3" s="224">
        <v>1</v>
      </c>
      <c r="AV3" s="432"/>
      <c r="AW3" s="432"/>
      <c r="AX3" s="432"/>
      <c r="AY3" s="432"/>
      <c r="BA3"/>
      <c r="BB3" s="224">
        <v>1</v>
      </c>
      <c r="BC3" s="224">
        <v>2</v>
      </c>
      <c r="BD3" s="224">
        <v>3</v>
      </c>
      <c r="BE3" s="224">
        <v>4</v>
      </c>
      <c r="BI3" s="224">
        <v>1</v>
      </c>
      <c r="BJ3" s="224">
        <v>2</v>
      </c>
      <c r="BK3" s="224">
        <v>3</v>
      </c>
      <c r="BL3" s="224">
        <v>4</v>
      </c>
      <c r="BM3" s="224">
        <v>5</v>
      </c>
      <c r="BN3" s="224">
        <v>6</v>
      </c>
      <c r="BO3" s="224">
        <v>7</v>
      </c>
      <c r="BP3" s="224">
        <v>8</v>
      </c>
      <c r="BQ3" s="224">
        <v>9</v>
      </c>
      <c r="BR3" s="224">
        <v>10</v>
      </c>
      <c r="BS3" s="224">
        <v>11</v>
      </c>
      <c r="BT3" s="224">
        <v>12</v>
      </c>
    </row>
    <row r="4" spans="1:72" ht="30.75" thickBot="1" x14ac:dyDescent="0.3">
      <c r="A4" s="279" t="s">
        <v>16</v>
      </c>
      <c r="B4" s="280" t="s">
        <v>56</v>
      </c>
      <c r="C4" s="129" t="s">
        <v>15</v>
      </c>
      <c r="D4" s="280" t="s">
        <v>57</v>
      </c>
      <c r="E4" s="129" t="s">
        <v>15</v>
      </c>
      <c r="F4" s="280" t="s">
        <v>58</v>
      </c>
      <c r="G4" s="129" t="s">
        <v>15</v>
      </c>
      <c r="H4" s="351" t="s">
        <v>52</v>
      </c>
      <c r="I4" s="129" t="s">
        <v>15</v>
      </c>
      <c r="J4" s="289" t="s">
        <v>53</v>
      </c>
      <c r="K4" s="110" t="s">
        <v>59</v>
      </c>
      <c r="M4" s="224" t="s">
        <v>45</v>
      </c>
      <c r="N4" s="224" t="s">
        <v>77</v>
      </c>
      <c r="O4" s="224" t="s">
        <v>46</v>
      </c>
      <c r="P4" s="224" t="s">
        <v>47</v>
      </c>
      <c r="Q4" s="224" t="s">
        <v>7</v>
      </c>
      <c r="R4" s="224" t="s">
        <v>15</v>
      </c>
      <c r="S4" s="224"/>
      <c r="T4" s="313" t="s">
        <v>106</v>
      </c>
      <c r="U4" s="313" t="s">
        <v>107</v>
      </c>
      <c r="V4" s="313" t="s">
        <v>108</v>
      </c>
      <c r="W4" s="313" t="s">
        <v>134</v>
      </c>
      <c r="X4" s="224"/>
      <c r="Y4" s="224">
        <v>0</v>
      </c>
      <c r="Z4" s="224">
        <f t="shared" ref="Z4:AS4" ca="1" si="0">COUNTIF($R$5:$R$36,Z$3)</f>
        <v>1</v>
      </c>
      <c r="AA4" s="224">
        <f t="shared" ca="1" si="0"/>
        <v>1</v>
      </c>
      <c r="AB4" s="224">
        <f t="shared" ca="1" si="0"/>
        <v>1</v>
      </c>
      <c r="AC4" s="224">
        <f t="shared" ca="1" si="0"/>
        <v>1</v>
      </c>
      <c r="AD4" s="224">
        <f t="shared" ca="1" si="0"/>
        <v>1</v>
      </c>
      <c r="AE4" s="224">
        <f t="shared" ca="1" si="0"/>
        <v>1</v>
      </c>
      <c r="AF4" s="224">
        <f t="shared" ca="1" si="0"/>
        <v>1</v>
      </c>
      <c r="AG4" s="224">
        <f t="shared" ca="1" si="0"/>
        <v>1</v>
      </c>
      <c r="AH4" s="224">
        <f t="shared" ca="1" si="0"/>
        <v>1</v>
      </c>
      <c r="AI4" s="224">
        <f t="shared" ca="1" si="0"/>
        <v>1</v>
      </c>
      <c r="AJ4" s="224">
        <f t="shared" ca="1" si="0"/>
        <v>1</v>
      </c>
      <c r="AK4" s="224">
        <f t="shared" ca="1" si="0"/>
        <v>1</v>
      </c>
      <c r="AL4" s="224">
        <f t="shared" ca="1" si="0"/>
        <v>1</v>
      </c>
      <c r="AM4" s="224">
        <f t="shared" ca="1" si="0"/>
        <v>1</v>
      </c>
      <c r="AN4" s="224">
        <f t="shared" ca="1" si="0"/>
        <v>1</v>
      </c>
      <c r="AO4" s="224">
        <f t="shared" ca="1" si="0"/>
        <v>1</v>
      </c>
      <c r="AP4" s="224">
        <f t="shared" ca="1" si="0"/>
        <v>0</v>
      </c>
      <c r="AQ4" s="224">
        <f t="shared" ca="1" si="0"/>
        <v>0</v>
      </c>
      <c r="AR4" s="224">
        <f t="shared" ca="1" si="0"/>
        <v>0</v>
      </c>
      <c r="AS4" s="224">
        <f t="shared" ca="1" si="0"/>
        <v>0</v>
      </c>
      <c r="AV4" s="224" t="s">
        <v>109</v>
      </c>
      <c r="AW4" s="224" t="s">
        <v>110</v>
      </c>
      <c r="AX4" s="224" t="s">
        <v>135</v>
      </c>
      <c r="AY4" s="224" t="s">
        <v>136</v>
      </c>
      <c r="BA4" s="224">
        <v>0</v>
      </c>
      <c r="BB4" s="224">
        <f ca="1">COUNTIF($R$5:$R$36,BB$3)</f>
        <v>1</v>
      </c>
      <c r="BC4" s="224">
        <f ca="1">COUNTIF($R$5:$R$36,BC$3)</f>
        <v>1</v>
      </c>
      <c r="BD4" s="224">
        <f ca="1">COUNTIF($R$5:$R$36,BD$3)</f>
        <v>1</v>
      </c>
      <c r="BE4" s="224">
        <f ca="1">COUNTIF($R$5:$R$36,BE$3)</f>
        <v>1</v>
      </c>
      <c r="BI4" s="224" t="str">
        <f>A5</f>
        <v>Mil</v>
      </c>
      <c r="BJ4" s="224" t="str">
        <f>A7</f>
        <v>John</v>
      </c>
      <c r="BK4" s="224" t="str">
        <f>A9</f>
        <v>Brian P</v>
      </c>
      <c r="BL4" s="224" t="str">
        <f>A11</f>
        <v xml:space="preserve">Pat </v>
      </c>
      <c r="BM4" s="224" t="str">
        <f>A13</f>
        <v>Rick</v>
      </c>
      <c r="BN4" s="224" t="str">
        <f>A15</f>
        <v>Keith</v>
      </c>
      <c r="BO4" s="224" t="str">
        <f>A17</f>
        <v>Tony W</v>
      </c>
      <c r="BP4" s="224" t="str">
        <f>A19</f>
        <v>Manny</v>
      </c>
      <c r="BQ4" s="224" t="str">
        <f>A21</f>
        <v>Tommy</v>
      </c>
      <c r="BR4" s="224" t="str">
        <f>A23</f>
        <v>Dave</v>
      </c>
      <c r="BS4" s="224" t="str">
        <f>A25</f>
        <v>Hunter</v>
      </c>
      <c r="BT4" s="224" t="str">
        <f>A27</f>
        <v>Gerald C</v>
      </c>
    </row>
    <row r="5" spans="1:72" x14ac:dyDescent="0.25">
      <c r="A5" s="278" t="str">
        <f>Setup!B2</f>
        <v>Mil</v>
      </c>
      <c r="B5" s="281">
        <f>Points!B2</f>
        <v>4</v>
      </c>
      <c r="C5" s="282">
        <f>RANK(B5,B$5:B$36,0)</f>
        <v>9</v>
      </c>
      <c r="D5" s="281">
        <f ca="1">D$3*SUM(Points!B2:C2)</f>
        <v>10</v>
      </c>
      <c r="E5" s="282">
        <f ca="1">RANK(D5,D$5:D$36,0)</f>
        <v>10</v>
      </c>
      <c r="F5" s="286">
        <f ca="1">F$3*SUM(Points!B2:D2)</f>
        <v>15</v>
      </c>
      <c r="G5" s="282">
        <f ca="1">RANK(F5,F$5:F$36,0)</f>
        <v>10</v>
      </c>
      <c r="H5" s="352">
        <f ca="1">H$3*SUM(Points!B2:E2)</f>
        <v>15</v>
      </c>
      <c r="I5" s="295">
        <f ca="1">RANK(H5,H$5:H$36,0)</f>
        <v>11</v>
      </c>
      <c r="J5" s="290" t="str">
        <f ca="1">IF(ISNUMBER(FIND("Winner",Points!AY2)),"Winner",IF(ISNUMBER(FIND("2nd Place",Points!AZ2)),"2nd Place",IF(ISNUMBER(FIND("3rd Place",Points!BA2)),"3rd Place",IF(ISNUMBER(FIND("4th Place",Points!BB2)),"4th Place",""))))</f>
        <v/>
      </c>
      <c r="K5" s="293" t="str">
        <f ca="1">Results!B41</f>
        <v/>
      </c>
      <c r="M5" s="312">
        <f>B5</f>
        <v>4</v>
      </c>
      <c r="N5" s="312">
        <f ca="1">IF(D$37=0,M5,D5)</f>
        <v>10</v>
      </c>
      <c r="O5" s="312">
        <f ca="1">IF(F$37=0,N5,F5)</f>
        <v>15</v>
      </c>
      <c r="P5" s="322">
        <f ca="1">IF(H$37=0,O5,H5)</f>
        <v>15</v>
      </c>
      <c r="Q5" s="312">
        <f ca="1">P5</f>
        <v>15</v>
      </c>
      <c r="R5" s="224">
        <f ca="1">RANK(Q5,Q$5:Q$36,0)</f>
        <v>11</v>
      </c>
      <c r="S5" s="224">
        <f ca="1">SUM(Z5:AS5)</f>
        <v>1</v>
      </c>
      <c r="T5" s="224" t="str">
        <f ca="1">IF($R5=$Y$5,1,"")</f>
        <v/>
      </c>
      <c r="U5" s="224" t="str">
        <f ca="1">IF($R5=$Y$7,1,"")</f>
        <v/>
      </c>
      <c r="V5" s="224" t="str">
        <f ca="1">IF($R5=$Y$9,1,"")</f>
        <v/>
      </c>
      <c r="W5" s="224" t="str">
        <f ca="1">IF($R5=$Y$11,1,"")</f>
        <v/>
      </c>
      <c r="X5" s="224"/>
      <c r="Y5" s="224">
        <v>1</v>
      </c>
      <c r="Z5" s="224">
        <f ca="1">IF(Z$4&gt;=$Y5,Z$3,"")</f>
        <v>1</v>
      </c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3"/>
      <c r="AN5" s="323"/>
      <c r="AO5" s="323"/>
      <c r="AP5" s="323"/>
      <c r="AQ5" s="323"/>
      <c r="AR5" s="323"/>
      <c r="AS5" s="323"/>
      <c r="AT5" s="224">
        <f ca="1">SUM(Z5:AS5)</f>
        <v>1</v>
      </c>
      <c r="AU5" s="224" t="str">
        <f>A5</f>
        <v>Mil</v>
      </c>
      <c r="AV5" s="432" t="str">
        <f ca="1">IF(T5=1,SUM(BB$5:BB$27),"")</f>
        <v/>
      </c>
      <c r="AW5" s="432" t="str">
        <f ca="1">IF(U5=1,SUM(BC$7:BC$27),"")</f>
        <v/>
      </c>
      <c r="AX5" s="432" t="str">
        <f ca="1">IF(V5=1,SUM(BD$9:BD$27),"")</f>
        <v/>
      </c>
      <c r="AY5" s="432" t="str">
        <f ca="1">IF(W5=1,SUM(BE$11:BE$27),"")</f>
        <v/>
      </c>
      <c r="BA5" s="224">
        <v>1</v>
      </c>
      <c r="BB5" s="224">
        <f ca="1">IF(BB$4=$Y5,Setup!$C$42,"")</f>
        <v>700</v>
      </c>
      <c r="BC5" s="323"/>
      <c r="BD5" s="323"/>
      <c r="BE5" s="323"/>
      <c r="BJ5" s="224" t="str">
        <f ca="1">IF(R$7=$BF5,BJ$4,"")</f>
        <v/>
      </c>
    </row>
    <row r="6" spans="1:72" hidden="1" x14ac:dyDescent="0.25">
      <c r="A6" s="277"/>
      <c r="B6" s="283"/>
      <c r="C6" s="284"/>
      <c r="D6" s="283"/>
      <c r="E6" s="284"/>
      <c r="F6" s="287"/>
      <c r="G6" s="284"/>
      <c r="H6" s="353"/>
      <c r="I6" s="296"/>
      <c r="J6" s="291"/>
      <c r="K6" s="294"/>
      <c r="M6" s="312"/>
      <c r="N6" s="312"/>
      <c r="O6" s="312"/>
      <c r="P6" s="322"/>
      <c r="Q6" s="312"/>
      <c r="R6" s="224"/>
      <c r="S6" s="224"/>
      <c r="T6" s="224"/>
      <c r="U6" s="224"/>
      <c r="V6" s="224"/>
      <c r="W6" s="224"/>
      <c r="X6" s="224"/>
      <c r="Z6" s="224"/>
      <c r="AA6" s="224"/>
      <c r="AB6" s="323"/>
      <c r="AC6" s="323"/>
      <c r="AD6" s="323"/>
      <c r="AE6" s="323"/>
      <c r="AF6" s="323"/>
      <c r="AG6" s="323"/>
      <c r="AH6" s="323"/>
      <c r="AI6" s="323"/>
      <c r="AJ6" s="323"/>
      <c r="AK6" s="323"/>
      <c r="AL6" s="323"/>
      <c r="AM6" s="323"/>
      <c r="AN6" s="323"/>
      <c r="AO6" s="323"/>
      <c r="AP6" s="323"/>
      <c r="AQ6" s="323"/>
      <c r="AR6" s="323"/>
      <c r="AS6" s="323"/>
      <c r="BA6"/>
      <c r="BB6" s="224"/>
      <c r="BD6" s="323"/>
      <c r="BE6" s="323"/>
    </row>
    <row r="7" spans="1:72" x14ac:dyDescent="0.25">
      <c r="A7" s="278" t="str">
        <f>Setup!B4</f>
        <v>John</v>
      </c>
      <c r="B7" s="283">
        <f>Points!B4</f>
        <v>7</v>
      </c>
      <c r="C7" s="284">
        <f>RANK(B7,B$5:B$36,0)</f>
        <v>3</v>
      </c>
      <c r="D7" s="283">
        <f ca="1">D$3*SUM(Points!B4:C4)</f>
        <v>14</v>
      </c>
      <c r="E7" s="284">
        <f ca="1">RANK(D7,D$5:D$36,0)</f>
        <v>2</v>
      </c>
      <c r="F7" s="287">
        <f ca="1">F$3*SUM(Points!B4:D4)</f>
        <v>23</v>
      </c>
      <c r="G7" s="284">
        <f ca="1">RANK(F7,F$5:F$36,0)</f>
        <v>2</v>
      </c>
      <c r="H7" s="353">
        <f ca="1">H$3*SUM(Points!B4:E4)</f>
        <v>35</v>
      </c>
      <c r="I7" s="296">
        <f ca="1">RANK(H7,H$5:H$36,0)</f>
        <v>1</v>
      </c>
      <c r="J7" s="291" t="str">
        <f ca="1">IF(ISNUMBER(FIND("Winner",Points!AY4)),"Winner",IF(ISNUMBER(FIND("2nd Place",Points!AZ4)),"2nd Place",IF(ISNUMBER(FIND("3rd Place",Points!BA4)),"3rd Place",IF(ISNUMBER(FIND("4th Place",Points!BB4)),"4th Place",""))))</f>
        <v>Winner</v>
      </c>
      <c r="K7" s="294">
        <f ca="1">Results!B43</f>
        <v>720</v>
      </c>
      <c r="M7" s="312">
        <f>B7</f>
        <v>7</v>
      </c>
      <c r="N7" s="312">
        <f ca="1">IF(D$37=0,M7,D7)</f>
        <v>14</v>
      </c>
      <c r="O7" s="312">
        <f ca="1">IF(F$37=0,N7,F7)</f>
        <v>23</v>
      </c>
      <c r="P7" s="322">
        <f ca="1">IF(H$37=0,O7,H7)</f>
        <v>35</v>
      </c>
      <c r="Q7" s="312">
        <f ca="1">P7</f>
        <v>35</v>
      </c>
      <c r="R7" s="224">
        <f ca="1">RANK(Q7,Q$5:Q$36,0)</f>
        <v>1</v>
      </c>
      <c r="S7" s="224">
        <f ca="1">SUM(Z7:AS7)</f>
        <v>2</v>
      </c>
      <c r="T7" s="224">
        <f ca="1">IF($R7=$Y$5,1,"")</f>
        <v>1</v>
      </c>
      <c r="U7" s="224" t="str">
        <f ca="1">IF($R7=$Y$7,1,"")</f>
        <v/>
      </c>
      <c r="V7" s="224" t="str">
        <f ca="1">IF($R7=$Y$9,1,"")</f>
        <v/>
      </c>
      <c r="W7" s="224" t="str">
        <f ca="1">IF($R7=$Y$11,1,"")</f>
        <v/>
      </c>
      <c r="X7" s="224"/>
      <c r="Y7" s="224">
        <v>2</v>
      </c>
      <c r="Z7" s="224" t="str">
        <f ca="1">IF(Z$4&gt;=$Y7,Z$3,"")</f>
        <v/>
      </c>
      <c r="AA7" s="224">
        <f ca="1">IF(AA$4&gt;$Y4,AA$3,"")</f>
        <v>2</v>
      </c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  <c r="AQ7" s="323"/>
      <c r="AR7" s="323"/>
      <c r="AS7" s="323"/>
      <c r="AT7" s="224">
        <f ca="1">SUM(Z7:AS7)</f>
        <v>2</v>
      </c>
      <c r="AU7" s="224" t="str">
        <f>A7</f>
        <v>John</v>
      </c>
      <c r="AV7" s="432">
        <f ca="1">IF(T7=1,SUM(BB$5:BB$27),"")</f>
        <v>700</v>
      </c>
      <c r="AW7" s="432" t="str">
        <f ca="1">IF(U7=1,SUM(BC$7:BC$27),"")</f>
        <v/>
      </c>
      <c r="AX7" s="432" t="str">
        <f ca="1">IF(V7=1,SUM(BD$9:BD$27),"")</f>
        <v/>
      </c>
      <c r="AY7" s="432" t="str">
        <f ca="1">IF(W7=1,SUM(BE$11:BE$27),"")</f>
        <v/>
      </c>
      <c r="BA7" s="224">
        <v>2</v>
      </c>
      <c r="BB7" s="224" t="str">
        <f ca="1">IF(BB$4=$Y7,SUM(Setup!$C$42:$C$43)/$BA7,"")</f>
        <v/>
      </c>
      <c r="BC7" s="224">
        <f ca="1">IF(BC$4=$Y5,Setup!$C$43,"")</f>
        <v>350</v>
      </c>
      <c r="BD7" s="323"/>
      <c r="BE7" s="323"/>
      <c r="BI7" s="224">
        <f ca="1">IF(AV7=AV5,"",AV$3)</f>
        <v>0</v>
      </c>
    </row>
    <row r="8" spans="1:72" hidden="1" x14ac:dyDescent="0.25">
      <c r="A8" s="277"/>
      <c r="B8" s="283"/>
      <c r="C8" s="284"/>
      <c r="D8" s="283"/>
      <c r="E8" s="284"/>
      <c r="F8" s="287"/>
      <c r="G8" s="284"/>
      <c r="H8" s="353"/>
      <c r="I8" s="296"/>
      <c r="J8" s="291"/>
      <c r="K8" s="294"/>
      <c r="M8" s="312"/>
      <c r="N8" s="312"/>
      <c r="O8" s="312"/>
      <c r="P8" s="322"/>
      <c r="Q8" s="312"/>
      <c r="R8" s="224"/>
      <c r="S8" s="224"/>
      <c r="T8" s="224"/>
      <c r="U8" s="224"/>
      <c r="V8" s="224"/>
      <c r="W8" s="224"/>
      <c r="X8" s="224"/>
      <c r="Z8" s="224"/>
      <c r="AA8" s="224"/>
      <c r="AB8" s="224"/>
      <c r="AC8" s="323"/>
      <c r="AD8" s="323"/>
      <c r="AE8" s="323"/>
      <c r="AF8" s="323"/>
      <c r="AG8" s="323"/>
      <c r="AH8" s="323"/>
      <c r="AI8" s="323"/>
      <c r="AJ8" s="323"/>
      <c r="AK8" s="323"/>
      <c r="AL8" s="323"/>
      <c r="AM8" s="323"/>
      <c r="AN8" s="323"/>
      <c r="AO8" s="323"/>
      <c r="AP8" s="323"/>
      <c r="AQ8" s="323"/>
      <c r="AR8" s="323"/>
      <c r="AS8" s="323"/>
      <c r="BA8"/>
      <c r="BB8" s="224"/>
      <c r="BE8" s="323"/>
    </row>
    <row r="9" spans="1:72" x14ac:dyDescent="0.25">
      <c r="A9" s="278" t="str">
        <f>Setup!B6</f>
        <v>Brian P</v>
      </c>
      <c r="B9" s="283">
        <f>Points!B6</f>
        <v>2</v>
      </c>
      <c r="C9" s="284">
        <f>RANK(B9,B$5:B$36,0)</f>
        <v>10</v>
      </c>
      <c r="D9" s="283">
        <f ca="1">D$3*SUM(Points!B6:C6)</f>
        <v>12</v>
      </c>
      <c r="E9" s="284">
        <f ca="1">RANK(D9,D$5:D$36,0)</f>
        <v>5</v>
      </c>
      <c r="F9" s="287">
        <f ca="1">F$3*SUM(Points!B6:D6)</f>
        <v>21</v>
      </c>
      <c r="G9" s="284">
        <f ca="1">RANK(F9,F$5:F$36,0)</f>
        <v>3</v>
      </c>
      <c r="H9" s="353">
        <f ca="1">H$3*SUM(Points!B6:E6)</f>
        <v>29.5</v>
      </c>
      <c r="I9" s="296">
        <f ca="1">RANK(H9,H$5:H$36,0)</f>
        <v>3</v>
      </c>
      <c r="J9" s="291" t="str">
        <f ca="1">IF(ISNUMBER(FIND("Winner",Points!AY6)),"Winner",IF(ISNUMBER(FIND("2nd Place",Points!AZ6)),"2nd Place",IF(ISNUMBER(FIND("3rd Place",Points!BA6)),"3rd Place",IF(ISNUMBER(FIND("4th Place",Points!BB6)),"4th Place",""))))</f>
        <v>3rd Place</v>
      </c>
      <c r="K9" s="294">
        <f ca="1">Results!B45</f>
        <v>170</v>
      </c>
      <c r="M9" s="312">
        <f>B9</f>
        <v>2</v>
      </c>
      <c r="N9" s="312">
        <f ca="1">IF(D$37=0,M9,D9)</f>
        <v>12</v>
      </c>
      <c r="O9" s="312">
        <f ca="1">IF(F$37=0,N9,F9)</f>
        <v>21</v>
      </c>
      <c r="P9" s="322">
        <f ca="1">IF(H$37=0,O9,H9)</f>
        <v>29.5</v>
      </c>
      <c r="Q9" s="312">
        <f ca="1">P9</f>
        <v>29.5</v>
      </c>
      <c r="R9" s="224">
        <f ca="1">RANK(Q9,Q$5:Q$36,0)</f>
        <v>3</v>
      </c>
      <c r="S9" s="224">
        <f ca="1">SUM(Z9:AS9)</f>
        <v>3</v>
      </c>
      <c r="T9" s="224" t="str">
        <f ca="1">IF($R9=$Y$5,1,"")</f>
        <v/>
      </c>
      <c r="U9" s="224" t="str">
        <f ca="1">IF($R9=$Y$7,1,"")</f>
        <v/>
      </c>
      <c r="V9" s="224">
        <f ca="1">IF($R9=$Y$9,1,"")</f>
        <v>1</v>
      </c>
      <c r="W9" s="224" t="str">
        <f ca="1">IF($R9=$Y$11,1,"")</f>
        <v/>
      </c>
      <c r="X9" s="224"/>
      <c r="Y9" s="224">
        <v>3</v>
      </c>
      <c r="Z9" s="224" t="str">
        <f ca="1">IF(Z$4&gt;=$Y9,Z$3,"")</f>
        <v/>
      </c>
      <c r="AA9" s="224" t="str">
        <f ca="1">IF(AA$4&gt;$Y5,AA$3,"")</f>
        <v/>
      </c>
      <c r="AB9" s="224">
        <f ca="1">IF(AB$4&gt;$Y4,AB$3,"")</f>
        <v>3</v>
      </c>
      <c r="AC9" s="323"/>
      <c r="AD9" s="323"/>
      <c r="AE9" s="323"/>
      <c r="AF9" s="323"/>
      <c r="AG9" s="323"/>
      <c r="AH9" s="323"/>
      <c r="AI9" s="323"/>
      <c r="AJ9" s="323"/>
      <c r="AK9" s="323"/>
      <c r="AL9" s="323"/>
      <c r="AM9" s="323"/>
      <c r="AN9" s="323"/>
      <c r="AO9" s="323"/>
      <c r="AP9" s="323"/>
      <c r="AQ9" s="323"/>
      <c r="AR9" s="323"/>
      <c r="AS9" s="323"/>
      <c r="AT9" s="224">
        <f ca="1">SUM(Z9:AS9)</f>
        <v>3</v>
      </c>
      <c r="AU9" s="224" t="str">
        <f>A9</f>
        <v>Brian P</v>
      </c>
      <c r="AV9" s="432" t="str">
        <f ca="1">IF(T9=1,SUM(BB$5:BB$27),"")</f>
        <v/>
      </c>
      <c r="AW9" s="432" t="str">
        <f ca="1">IF(U9=1,SUM(BC$7:BC$27),"")</f>
        <v/>
      </c>
      <c r="AX9" s="432">
        <f ca="1">IF(V9=1,SUM(BD$9:BD$27),"")</f>
        <v>150</v>
      </c>
      <c r="AY9" s="432" t="str">
        <f ca="1">IF(W9=1,SUM(BE$11:BE$27),"")</f>
        <v/>
      </c>
      <c r="BA9" s="224">
        <v>3</v>
      </c>
      <c r="BB9" s="224" t="str">
        <f ca="1">IF(BB$4=$Y9,SUM(Setup!$C$42:$C$44)/$BA9,"")</f>
        <v/>
      </c>
      <c r="BC9" s="224" t="str">
        <f ca="1">IF(BC$4=$Y7,SUM(Setup!$C$43:$C$44)/$BA7,"")</f>
        <v/>
      </c>
      <c r="BD9" s="224">
        <f ca="1">IF(BD$4=$Y5,Setup!C44,"")</f>
        <v>150</v>
      </c>
      <c r="BE9" s="323"/>
      <c r="BI9" s="224">
        <f ca="1">IF(AV9=AV7,"",AV$3)</f>
        <v>0</v>
      </c>
    </row>
    <row r="10" spans="1:72" hidden="1" x14ac:dyDescent="0.25">
      <c r="A10" s="277"/>
      <c r="B10" s="283"/>
      <c r="C10" s="284"/>
      <c r="D10" s="283"/>
      <c r="E10" s="284"/>
      <c r="F10" s="287"/>
      <c r="G10" s="284"/>
      <c r="H10" s="353"/>
      <c r="I10" s="296"/>
      <c r="J10" s="291"/>
      <c r="K10" s="294"/>
      <c r="M10" s="312"/>
      <c r="N10" s="312"/>
      <c r="O10" s="312"/>
      <c r="P10" s="322"/>
      <c r="Q10" s="312"/>
      <c r="R10" s="224"/>
      <c r="S10" s="224"/>
      <c r="T10" s="224"/>
      <c r="U10" s="224"/>
      <c r="V10" s="224"/>
      <c r="W10" s="224"/>
      <c r="X10" s="224"/>
      <c r="Z10" s="224"/>
      <c r="AA10" s="224"/>
      <c r="AB10" s="224"/>
      <c r="AC10" s="224"/>
      <c r="AD10" s="323"/>
      <c r="AE10" s="323"/>
      <c r="AF10" s="323"/>
      <c r="AG10" s="323"/>
      <c r="AH10" s="323"/>
      <c r="AI10" s="323"/>
      <c r="AJ10" s="323"/>
      <c r="AK10" s="323"/>
      <c r="AL10" s="323"/>
      <c r="AM10" s="323"/>
      <c r="AN10" s="323"/>
      <c r="AO10" s="323"/>
      <c r="AP10" s="323"/>
      <c r="AQ10" s="323"/>
      <c r="AR10" s="323"/>
      <c r="AS10" s="323"/>
      <c r="BA10"/>
      <c r="BB10" s="224"/>
    </row>
    <row r="11" spans="1:72" x14ac:dyDescent="0.25">
      <c r="A11" s="278" t="str">
        <f>Setup!B8</f>
        <v xml:space="preserve">Pat </v>
      </c>
      <c r="B11" s="283">
        <f>Points!B8</f>
        <v>5</v>
      </c>
      <c r="C11" s="284">
        <f>RANK(B11,B$5:B$36,0)</f>
        <v>8</v>
      </c>
      <c r="D11" s="283">
        <f ca="1">D$3*SUM(Points!B8:C8)</f>
        <v>12</v>
      </c>
      <c r="E11" s="284">
        <f ca="1">RANK(D11,D$5:D$36,0)</f>
        <v>5</v>
      </c>
      <c r="F11" s="287">
        <f ca="1">F$3*SUM(Points!B8:D8)</f>
        <v>17</v>
      </c>
      <c r="G11" s="284">
        <f ca="1">RANK(F11,F$5:F$36,0)</f>
        <v>8</v>
      </c>
      <c r="H11" s="353">
        <f ca="1">H$3*SUM(Points!B8:E8)</f>
        <v>23.625</v>
      </c>
      <c r="I11" s="296">
        <f ca="1">RANK(H11,H$5:H$36,0)</f>
        <v>6</v>
      </c>
      <c r="J11" s="291" t="str">
        <f ca="1">IF(ISNUMBER(FIND("Winner",Points!AY8)),"Winner",IF(ISNUMBER(FIND("2nd Place",Points!AZ8)),"2nd Place",IF(ISNUMBER(FIND("3rd Place",Points!BA8)),"3rd Place",IF(ISNUMBER(FIND("4th Place",Points!BB8)),"4th Place",""))))</f>
        <v/>
      </c>
      <c r="K11" s="294">
        <f ca="1">Results!B47</f>
        <v>40</v>
      </c>
      <c r="M11" s="312">
        <f>B11</f>
        <v>5</v>
      </c>
      <c r="N11" s="312">
        <f ca="1">IF(D$37=0,M11,D11)</f>
        <v>12</v>
      </c>
      <c r="O11" s="312">
        <f ca="1">IF(F$37=0,N11,F11)</f>
        <v>17</v>
      </c>
      <c r="P11" s="322">
        <f ca="1">IF(H$37=0,O11,H11)</f>
        <v>23.625</v>
      </c>
      <c r="Q11" s="312">
        <f ca="1">P11</f>
        <v>23.625</v>
      </c>
      <c r="R11" s="224">
        <f ca="1">RANK(Q11,Q$5:Q$36,0)</f>
        <v>6</v>
      </c>
      <c r="S11" s="224">
        <f ca="1">SUM(Z11:AS11)</f>
        <v>4</v>
      </c>
      <c r="T11" s="224" t="str">
        <f ca="1">IF($R11=$Y$5,1,"")</f>
        <v/>
      </c>
      <c r="U11" s="224" t="str">
        <f ca="1">IF($R11=$Y$7,1,"")</f>
        <v/>
      </c>
      <c r="V11" s="224" t="str">
        <f ca="1">IF($R11=$Y$9,1,"")</f>
        <v/>
      </c>
      <c r="W11" s="224" t="str">
        <f ca="1">IF($R11=$Y$11,1,"")</f>
        <v/>
      </c>
      <c r="X11" s="224"/>
      <c r="Y11" s="224">
        <v>4</v>
      </c>
      <c r="Z11" s="224" t="str">
        <f ca="1">IF(Z$4&gt;=$Y11,Z$3,"")</f>
        <v/>
      </c>
      <c r="AA11" s="224" t="str">
        <f ca="1">IF(AA$4&gt;$Y7,AA$3,"")</f>
        <v/>
      </c>
      <c r="AB11" s="224" t="str">
        <f ca="1">IF(AB$4&gt;$Y5,AB$3,"")</f>
        <v/>
      </c>
      <c r="AC11" s="224">
        <f ca="1">IF(AC$4&gt;$Y$4,AC$3,"")</f>
        <v>4</v>
      </c>
      <c r="AD11" s="323"/>
      <c r="AE11" s="323"/>
      <c r="AF11" s="323"/>
      <c r="AG11" s="323"/>
      <c r="AH11" s="323"/>
      <c r="AI11" s="323"/>
      <c r="AJ11" s="323"/>
      <c r="AK11" s="323"/>
      <c r="AL11" s="323"/>
      <c r="AM11" s="323"/>
      <c r="AN11" s="323"/>
      <c r="AO11" s="323"/>
      <c r="AP11" s="323"/>
      <c r="AQ11" s="323"/>
      <c r="AR11" s="323"/>
      <c r="AS11" s="323"/>
      <c r="AT11" s="224">
        <f ca="1">SUM(Z11:AS11)</f>
        <v>4</v>
      </c>
      <c r="AU11" s="224" t="str">
        <f>A11</f>
        <v xml:space="preserve">Pat </v>
      </c>
      <c r="AV11" s="432" t="str">
        <f ca="1">IF(T11=1,SUM(BB$5:BB$27),"")</f>
        <v/>
      </c>
      <c r="AW11" s="432" t="str">
        <f ca="1">IF(U11=1,SUM(BC$7:BC$27),"")</f>
        <v/>
      </c>
      <c r="AX11" s="432" t="str">
        <f ca="1">IF(V11=1,SUM(BD$9:BD$27),"")</f>
        <v/>
      </c>
      <c r="AY11" s="432" t="str">
        <f ca="1">IF(W11=1,SUM(BE$11:BE$27),"")</f>
        <v/>
      </c>
      <c r="BA11" s="224">
        <v>4</v>
      </c>
      <c r="BB11" s="224" t="str">
        <f ca="1">IF(BB$4=$Y11,SUM(Setup!$C$42:$C$45)/$BA11,"")</f>
        <v/>
      </c>
      <c r="BC11" s="224" t="str">
        <f ca="1">IF(BC$4=$Y9,SUM(Setup!$C$43:$C$45)/$BA9,"")</f>
        <v/>
      </c>
      <c r="BD11" s="224" t="str">
        <f ca="1">IF(BD$4=$Y7,SUM(Setup!$C$44:$C$45)/$BA7,"")</f>
        <v/>
      </c>
      <c r="BE11" s="224">
        <f ca="1">IF(BE$4=$Y$5,Setup!C45,"")</f>
        <v>0</v>
      </c>
      <c r="BI11" s="224" t="str">
        <f ca="1">IF(AV11=AV9,"",AV$3)</f>
        <v/>
      </c>
    </row>
    <row r="12" spans="1:72" hidden="1" x14ac:dyDescent="0.25">
      <c r="A12" s="277"/>
      <c r="B12" s="283"/>
      <c r="C12" s="284"/>
      <c r="D12" s="283"/>
      <c r="E12" s="284"/>
      <c r="F12" s="287"/>
      <c r="G12" s="284"/>
      <c r="H12" s="353"/>
      <c r="I12" s="296"/>
      <c r="J12" s="291"/>
      <c r="K12" s="294"/>
      <c r="M12" s="312"/>
      <c r="N12" s="312"/>
      <c r="O12" s="312"/>
      <c r="P12" s="322"/>
      <c r="Q12" s="312"/>
      <c r="R12" s="224"/>
      <c r="S12" s="224"/>
      <c r="T12" s="224"/>
      <c r="U12" s="224"/>
      <c r="V12" s="224"/>
      <c r="W12" s="224"/>
      <c r="X12" s="224"/>
      <c r="Z12" s="224"/>
      <c r="AA12" s="224"/>
      <c r="AB12" s="224"/>
      <c r="AC12" s="224"/>
      <c r="AD12" s="224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3"/>
      <c r="AQ12" s="323"/>
      <c r="AR12" s="323"/>
      <c r="AS12" s="323"/>
      <c r="BA12"/>
      <c r="BB12" s="224"/>
    </row>
    <row r="13" spans="1:72" x14ac:dyDescent="0.25">
      <c r="A13" s="278" t="str">
        <f>Setup!B10</f>
        <v>Rick</v>
      </c>
      <c r="B13" s="283">
        <f>Points!B10</f>
        <v>6</v>
      </c>
      <c r="C13" s="284">
        <f>RANK(B13,B$5:B$36,0)</f>
        <v>4</v>
      </c>
      <c r="D13" s="283">
        <f ca="1">D$3*SUM(Points!B10:C10)</f>
        <v>12</v>
      </c>
      <c r="E13" s="284">
        <f ca="1">RANK(D13,D$5:D$36,0)</f>
        <v>5</v>
      </c>
      <c r="F13" s="287">
        <f ca="1">F$3*SUM(Points!B10:D10)</f>
        <v>21</v>
      </c>
      <c r="G13" s="284">
        <f ca="1">RANK(F13,F$5:F$36,0)</f>
        <v>3</v>
      </c>
      <c r="H13" s="353">
        <f ca="1">H$3*SUM(Points!B10:E10)</f>
        <v>25</v>
      </c>
      <c r="I13" s="296">
        <f ca="1">RANK(H13,H$5:H$36,0)</f>
        <v>5</v>
      </c>
      <c r="J13" s="291" t="str">
        <f ca="1">IF(ISNUMBER(FIND("Winner",Points!AY10)),"Winner",IF(ISNUMBER(FIND("2nd Place",Points!AZ10)),"2nd Place",IF(ISNUMBER(FIND("3rd Place",Points!BA10)),"3rd Place",IF(ISNUMBER(FIND("4th Place",Points!BB10)),"4th Place",""))))</f>
        <v/>
      </c>
      <c r="K13" s="294">
        <f ca="1">Results!B49</f>
        <v>20</v>
      </c>
      <c r="M13" s="312">
        <f>B13</f>
        <v>6</v>
      </c>
      <c r="N13" s="312">
        <f ca="1">IF(D$37=0,M13,D13)</f>
        <v>12</v>
      </c>
      <c r="O13" s="312">
        <f ca="1">IF(F$37=0,N13,F13)</f>
        <v>21</v>
      </c>
      <c r="P13" s="322">
        <f ca="1">IF(H$37=0,O13,H13)</f>
        <v>25</v>
      </c>
      <c r="Q13" s="312">
        <f ca="1">P13</f>
        <v>25</v>
      </c>
      <c r="R13" s="224">
        <f ca="1">RANK(Q13,Q$5:Q$36,0)</f>
        <v>5</v>
      </c>
      <c r="S13" s="224">
        <f ca="1">SUM(Z13:AS13)</f>
        <v>5</v>
      </c>
      <c r="T13" s="224" t="str">
        <f ca="1">IF($R13=$Y$5,1,"")</f>
        <v/>
      </c>
      <c r="U13" s="224" t="str">
        <f ca="1">IF($R13=$Y$7,1,"")</f>
        <v/>
      </c>
      <c r="V13" s="224" t="str">
        <f ca="1">IF($R13=$Y$9,1,"")</f>
        <v/>
      </c>
      <c r="W13" s="224" t="str">
        <f ca="1">IF($R13=$Y$11,1,"")</f>
        <v/>
      </c>
      <c r="X13" s="224"/>
      <c r="Y13" s="224">
        <v>5</v>
      </c>
      <c r="Z13" s="224" t="str">
        <f ca="1">IF(Z$4&gt;=$Y13,Z$3,"")</f>
        <v/>
      </c>
      <c r="AA13" s="224" t="str">
        <f ca="1">IF(AA$4&gt;$Y9,AA$3,"")</f>
        <v/>
      </c>
      <c r="AB13" s="224" t="str">
        <f ca="1">IF(AB$4&gt;$Y7,AB$3,"")</f>
        <v/>
      </c>
      <c r="AC13" s="224" t="str">
        <f ca="1">IF(AC$4&gt;$Y5,AC$3,"")</f>
        <v/>
      </c>
      <c r="AD13" s="224">
        <f ca="1">IF(AD$4&gt;$Y$4,AD$3,"")</f>
        <v>5</v>
      </c>
      <c r="AE13" s="323"/>
      <c r="AF13" s="323"/>
      <c r="AG13" s="323"/>
      <c r="AH13" s="323"/>
      <c r="AI13" s="323"/>
      <c r="AJ13" s="323"/>
      <c r="AK13" s="323"/>
      <c r="AL13" s="323"/>
      <c r="AM13" s="323"/>
      <c r="AN13" s="323"/>
      <c r="AO13" s="323"/>
      <c r="AP13" s="323"/>
      <c r="AQ13" s="323"/>
      <c r="AR13" s="323"/>
      <c r="AS13" s="323"/>
      <c r="AT13" s="224">
        <f ca="1">SUM(Z13:AS13)</f>
        <v>5</v>
      </c>
      <c r="AU13" s="224" t="str">
        <f>A13</f>
        <v>Rick</v>
      </c>
      <c r="AV13" s="432" t="str">
        <f ca="1">IF(T13=1,SUM(BB$5:BB$27),"")</f>
        <v/>
      </c>
      <c r="AW13" s="432" t="str">
        <f ca="1">IF(U13=1,SUM(BC$7:BC$27),"")</f>
        <v/>
      </c>
      <c r="AX13" s="432" t="str">
        <f ca="1">IF(V13=1,SUM(BD$9:BD$27),"")</f>
        <v/>
      </c>
      <c r="AY13" s="432" t="str">
        <f ca="1">IF(W13=1,SUM(BE$11:BE$27),"")</f>
        <v/>
      </c>
      <c r="BA13" s="224">
        <v>5</v>
      </c>
      <c r="BB13" s="224" t="str">
        <f ca="1">IF(BB$4=$Y13,SUM(Setup!$C$42:$C$45)/$BA13,"")</f>
        <v/>
      </c>
      <c r="BC13" s="224" t="str">
        <f ca="1">IF(BC$4=$Y11,SUM(Setup!$C$43:$C$45)/$BA11,"")</f>
        <v/>
      </c>
      <c r="BD13" s="224" t="str">
        <f ca="1">IF(BD$4=$Y9,SUM(Setup!$C$44:$C$45)/$BA9,"")</f>
        <v/>
      </c>
      <c r="BE13" s="224" t="str">
        <f ca="1">IF(BE$4=$Y7,Setup!$C$45/$BA7,"")</f>
        <v/>
      </c>
      <c r="BI13" s="224" t="str">
        <f ca="1">IF(AV13=AV11,"",AV$3)</f>
        <v/>
      </c>
    </row>
    <row r="14" spans="1:72" hidden="1" x14ac:dyDescent="0.25">
      <c r="A14" s="277"/>
      <c r="B14" s="283"/>
      <c r="C14" s="284"/>
      <c r="D14" s="283"/>
      <c r="E14" s="284"/>
      <c r="F14" s="287"/>
      <c r="G14" s="284"/>
      <c r="H14" s="353"/>
      <c r="I14" s="296"/>
      <c r="J14" s="291"/>
      <c r="K14" s="294"/>
      <c r="M14" s="312"/>
      <c r="N14" s="312"/>
      <c r="O14" s="312"/>
      <c r="P14" s="322"/>
      <c r="Q14" s="312"/>
      <c r="R14" s="224"/>
      <c r="S14" s="224"/>
      <c r="T14" s="224"/>
      <c r="U14" s="224"/>
      <c r="V14" s="224"/>
      <c r="W14" s="224"/>
      <c r="X14" s="224"/>
      <c r="Z14" s="224"/>
      <c r="AA14" s="224"/>
      <c r="AB14" s="224"/>
      <c r="AC14" s="224"/>
      <c r="AD14" s="224"/>
      <c r="AE14" s="224"/>
      <c r="AF14" s="323"/>
      <c r="AG14" s="323"/>
      <c r="AH14" s="323"/>
      <c r="AI14" s="323"/>
      <c r="AJ14" s="323"/>
      <c r="AK14" s="323"/>
      <c r="AL14" s="323"/>
      <c r="AM14" s="323"/>
      <c r="AN14" s="323"/>
      <c r="AO14" s="323"/>
      <c r="AP14" s="323"/>
      <c r="AQ14" s="323"/>
      <c r="AR14" s="323"/>
      <c r="AS14" s="323"/>
      <c r="BA14"/>
      <c r="BB14" s="224"/>
    </row>
    <row r="15" spans="1:72" x14ac:dyDescent="0.25">
      <c r="A15" s="278" t="str">
        <f>Setup!B12</f>
        <v>Keith</v>
      </c>
      <c r="B15" s="283">
        <f>Points!B12</f>
        <v>8</v>
      </c>
      <c r="C15" s="284">
        <f>RANK(B15,B$5:B$36,0)</f>
        <v>1</v>
      </c>
      <c r="D15" s="283">
        <f ca="1">D$3*SUM(Points!B12:C12)</f>
        <v>10</v>
      </c>
      <c r="E15" s="284">
        <f ca="1">RANK(D15,D$5:D$36,0)</f>
        <v>10</v>
      </c>
      <c r="F15" s="287">
        <f ca="1">F$3*SUM(Points!B12:D12)</f>
        <v>16</v>
      </c>
      <c r="G15" s="284">
        <f ca="1">RANK(F15,F$5:F$36,0)</f>
        <v>9</v>
      </c>
      <c r="H15" s="353">
        <f ca="1">H$3*SUM(Points!B12:E12)</f>
        <v>16</v>
      </c>
      <c r="I15" s="296">
        <f ca="1">RANK(H15,H$5:H$36,0)</f>
        <v>10</v>
      </c>
      <c r="J15" s="291" t="str">
        <f ca="1">IF(ISNUMBER(FIND("Winner",Points!AY12)),"Winner",IF(ISNUMBER(FIND("2nd Place",Points!AZ12)),"2nd Place",IF(ISNUMBER(FIND("3rd Place",Points!BA12)),"3rd Place",IF(ISNUMBER(FIND("4th Place",Points!BB12)),"4th Place",""))))</f>
        <v/>
      </c>
      <c r="K15" s="294">
        <f ca="1">Results!B51</f>
        <v>20</v>
      </c>
      <c r="M15" s="312">
        <f>B15</f>
        <v>8</v>
      </c>
      <c r="N15" s="312">
        <f ca="1">IF(D$37=0,M15,D15)</f>
        <v>10</v>
      </c>
      <c r="O15" s="312">
        <f ca="1">IF(F$37=0,N15,F15)</f>
        <v>16</v>
      </c>
      <c r="P15" s="322">
        <f ca="1">IF(H$37=0,O15,H15)</f>
        <v>16</v>
      </c>
      <c r="Q15" s="312">
        <f ca="1">P15</f>
        <v>16</v>
      </c>
      <c r="R15" s="224">
        <f ca="1">RANK(Q15,Q$5:Q$36,0)</f>
        <v>10</v>
      </c>
      <c r="S15" s="224">
        <f ca="1">SUM(Z15:AS15)</f>
        <v>6</v>
      </c>
      <c r="T15" s="224" t="str">
        <f ca="1">IF($R15=$Y$5,1,"")</f>
        <v/>
      </c>
      <c r="U15" s="224" t="str">
        <f ca="1">IF($R15=$Y$7,1,"")</f>
        <v/>
      </c>
      <c r="V15" s="224" t="str">
        <f ca="1">IF($R15=$Y$9,1,"")</f>
        <v/>
      </c>
      <c r="W15" s="224" t="str">
        <f ca="1">IF($R15=$Y$11,1,"")</f>
        <v/>
      </c>
      <c r="X15" s="224"/>
      <c r="Y15" s="224">
        <v>6</v>
      </c>
      <c r="Z15" s="224" t="str">
        <f ca="1">IF(Z$4&gt;=$Y15,Z$3,"")</f>
        <v/>
      </c>
      <c r="AA15" s="224" t="str">
        <f ca="1">IF(AA$4&gt;$Y11,AA$3,"")</f>
        <v/>
      </c>
      <c r="AB15" s="224" t="str">
        <f ca="1">IF(AB$4&gt;$Y9,AB$3,"")</f>
        <v/>
      </c>
      <c r="AC15" s="224" t="str">
        <f ca="1">IF(AC$4&gt;$Y7,AC$3,"")</f>
        <v/>
      </c>
      <c r="AD15" s="224" t="str">
        <f ca="1">IF(AD$4&gt;$Y5,AD$3,"")</f>
        <v/>
      </c>
      <c r="AE15" s="224">
        <f ca="1">IF(AE$4&gt;$Y$4,AE$3,"")</f>
        <v>6</v>
      </c>
      <c r="AF15" s="323"/>
      <c r="AG15" s="323"/>
      <c r="AH15" s="323"/>
      <c r="AI15" s="323"/>
      <c r="AJ15" s="323"/>
      <c r="AK15" s="323"/>
      <c r="AL15" s="323"/>
      <c r="AM15" s="323"/>
      <c r="AN15" s="323"/>
      <c r="AO15" s="323"/>
      <c r="AP15" s="323"/>
      <c r="AQ15" s="323"/>
      <c r="AR15" s="323"/>
      <c r="AS15" s="323"/>
      <c r="AT15" s="224">
        <f ca="1">SUM(Z15:AS15)</f>
        <v>6</v>
      </c>
      <c r="AU15" s="224" t="str">
        <f>A15</f>
        <v>Keith</v>
      </c>
      <c r="AV15" s="432" t="str">
        <f ca="1">IF(T15=1,SUM(BB$5:BB$27),"")</f>
        <v/>
      </c>
      <c r="AW15" s="432" t="str">
        <f ca="1">IF(U15=1,SUM(BC$7:BC$27),"")</f>
        <v/>
      </c>
      <c r="AX15" s="432" t="str">
        <f ca="1">IF(V15=1,SUM(BD$9:BD$27),"")</f>
        <v/>
      </c>
      <c r="AY15" s="432" t="str">
        <f ca="1">IF(W15=1,SUM(BE$11:BE$27),"")</f>
        <v/>
      </c>
      <c r="BA15" s="224">
        <v>6</v>
      </c>
      <c r="BB15" s="224" t="str">
        <f ca="1">IF(BB$4=$Y15,SUM(Setup!$C$42:$C$45)/$BA15,"")</f>
        <v/>
      </c>
      <c r="BC15" s="224" t="str">
        <f ca="1">IF(BC$4=$Y13,SUM(Setup!$C$43:$C$45)/$BA13,"")</f>
        <v/>
      </c>
      <c r="BD15" s="224" t="str">
        <f ca="1">IF(BD$4=$Y11,SUM(Setup!$C$44:$C$45)/$BA11,"")</f>
        <v/>
      </c>
      <c r="BE15" s="224" t="str">
        <f ca="1">IF(BE$4=$Y9,Setup!$C$45/$BA9,"")</f>
        <v/>
      </c>
      <c r="BI15" s="224" t="str">
        <f ca="1">IF(AV15=AV13,"",AV$3)</f>
        <v/>
      </c>
    </row>
    <row r="16" spans="1:72" hidden="1" x14ac:dyDescent="0.25">
      <c r="A16" s="277"/>
      <c r="B16" s="283"/>
      <c r="C16" s="284"/>
      <c r="D16" s="283"/>
      <c r="E16" s="284"/>
      <c r="F16" s="287"/>
      <c r="G16" s="284"/>
      <c r="H16" s="353"/>
      <c r="I16" s="296"/>
      <c r="J16" s="291"/>
      <c r="K16" s="294"/>
      <c r="M16" s="312"/>
      <c r="N16" s="312"/>
      <c r="O16" s="312"/>
      <c r="P16" s="322"/>
      <c r="Q16" s="312"/>
      <c r="R16" s="224"/>
      <c r="S16" s="224"/>
      <c r="T16" s="224"/>
      <c r="U16" s="224"/>
      <c r="V16" s="224"/>
      <c r="W16" s="224"/>
      <c r="X16" s="224"/>
      <c r="Z16" s="224"/>
      <c r="AA16" s="224"/>
      <c r="AB16" s="224"/>
      <c r="AC16" s="224"/>
      <c r="AD16" s="224"/>
      <c r="AE16" s="224"/>
      <c r="AF16" s="224"/>
      <c r="AG16" s="323"/>
      <c r="AH16" s="323"/>
      <c r="AI16" s="323"/>
      <c r="AJ16" s="323"/>
      <c r="AK16" s="323"/>
      <c r="AL16" s="323"/>
      <c r="AM16" s="323"/>
      <c r="AN16" s="323"/>
      <c r="AO16" s="323"/>
      <c r="AP16" s="323"/>
      <c r="AQ16" s="323"/>
      <c r="AR16" s="323"/>
      <c r="AS16" s="323"/>
      <c r="BB16" s="224"/>
    </row>
    <row r="17" spans="1:72" x14ac:dyDescent="0.25">
      <c r="A17" s="278" t="str">
        <f>Setup!B14</f>
        <v>Tony W</v>
      </c>
      <c r="B17" s="283">
        <f>Points!B14</f>
        <v>0</v>
      </c>
      <c r="C17" s="284">
        <f>RANK(B17,B$5:B$36,0)</f>
        <v>14</v>
      </c>
      <c r="D17" s="283">
        <f ca="1">D$3*SUM(Points!B14:C14)</f>
        <v>3</v>
      </c>
      <c r="E17" s="284">
        <f ca="1">RANK(D17,D$5:D$36,0)</f>
        <v>14</v>
      </c>
      <c r="F17" s="287">
        <f ca="1">F$3*SUM(Points!B14:D14)</f>
        <v>3</v>
      </c>
      <c r="G17" s="284">
        <f ca="1">RANK(F17,F$5:F$36,0)</f>
        <v>16</v>
      </c>
      <c r="H17" s="353">
        <f ca="1">H$3*SUM(Points!B14:E14)</f>
        <v>3</v>
      </c>
      <c r="I17" s="296">
        <f ca="1">RANK(H17,H$5:H$36,0)</f>
        <v>16</v>
      </c>
      <c r="J17" s="291" t="str">
        <f ca="1">IF(ISNUMBER(FIND("Winner",Points!AY14)),"Winner",IF(ISNUMBER(FIND("2nd Place",Points!AZ14)),"2nd Place",IF(ISNUMBER(FIND("3rd Place",Points!BA14)),"3rd Place",IF(ISNUMBER(FIND("4th Place",Points!BB14)),"4th Place",""))))</f>
        <v/>
      </c>
      <c r="K17" s="294" t="str">
        <f ca="1">Results!B53</f>
        <v/>
      </c>
      <c r="M17" s="312">
        <f>B17</f>
        <v>0</v>
      </c>
      <c r="N17" s="312">
        <f ca="1">IF(D$37=0,M17,D17)</f>
        <v>3</v>
      </c>
      <c r="O17" s="312">
        <f ca="1">IF(F$37=0,N17,F17)</f>
        <v>3</v>
      </c>
      <c r="P17" s="322">
        <f ca="1">IF(H$37=0,O17,H17)</f>
        <v>3</v>
      </c>
      <c r="Q17" s="312">
        <f ca="1">P17</f>
        <v>3</v>
      </c>
      <c r="R17" s="224">
        <f ca="1">RANK(Q17,Q$5:Q$36,0)</f>
        <v>16</v>
      </c>
      <c r="S17" s="224">
        <f ca="1">SUM(Z17:AS17)</f>
        <v>7</v>
      </c>
      <c r="T17" s="224" t="str">
        <f ca="1">IF($R17=$Y$5,1,"")</f>
        <v/>
      </c>
      <c r="U17" s="224" t="str">
        <f ca="1">IF($R17=$Y$7,1,"")</f>
        <v/>
      </c>
      <c r="V17" s="224" t="str">
        <f ca="1">IF($R17=$Y$9,1,"")</f>
        <v/>
      </c>
      <c r="W17" s="224" t="str">
        <f ca="1">IF($R17=$Y$11,1,"")</f>
        <v/>
      </c>
      <c r="X17" s="224"/>
      <c r="Y17" s="224">
        <v>7</v>
      </c>
      <c r="Z17" s="224" t="str">
        <f ca="1">IF(Z$4&gt;=$Y17,Z$3,"")</f>
        <v/>
      </c>
      <c r="AA17" s="224" t="str">
        <f ca="1">IF(AA$4&gt;$Y13,AA$3,"")</f>
        <v/>
      </c>
      <c r="AB17" s="224" t="str">
        <f ca="1">IF(AB$4&gt;$Y11,AB$3,"")</f>
        <v/>
      </c>
      <c r="AC17" s="224" t="str">
        <f ca="1">IF(AC$4&gt;$Y9,AC$3,"")</f>
        <v/>
      </c>
      <c r="AD17" s="224" t="str">
        <f ca="1">IF(AD$4&gt;$Y7,AD$3,"")</f>
        <v/>
      </c>
      <c r="AE17" s="224" t="str">
        <f ca="1">IF(AE$4&gt;$Y5,AE$3,"")</f>
        <v/>
      </c>
      <c r="AF17" s="224">
        <f ca="1">IF(AF$4&gt;$Y$4,AF$3,"")</f>
        <v>7</v>
      </c>
      <c r="AG17" s="323"/>
      <c r="AH17" s="323"/>
      <c r="AI17" s="323"/>
      <c r="AJ17" s="323"/>
      <c r="AK17" s="323"/>
      <c r="AL17" s="323"/>
      <c r="AM17" s="323"/>
      <c r="AN17" s="323"/>
      <c r="AO17" s="323"/>
      <c r="AP17" s="323"/>
      <c r="AQ17" s="323"/>
      <c r="AR17" s="323"/>
      <c r="AS17" s="323"/>
      <c r="AT17" s="224">
        <f ca="1">SUM(Z17:AS17)</f>
        <v>7</v>
      </c>
      <c r="AU17" s="224" t="str">
        <f>A17</f>
        <v>Tony W</v>
      </c>
      <c r="AV17" s="432" t="str">
        <f ca="1">IF(T17=1,SUM(BB$5:BB$27),"")</f>
        <v/>
      </c>
      <c r="AW17" s="432" t="str">
        <f ca="1">IF(U17=1,SUM(BC$7:BC$27),"")</f>
        <v/>
      </c>
      <c r="AX17" s="432" t="str">
        <f ca="1">IF(V17=1,SUM(BD$9:BD$27),"")</f>
        <v/>
      </c>
      <c r="AY17" s="432" t="str">
        <f ca="1">IF(W17=1,SUM(BE$11:BE$27),"")</f>
        <v/>
      </c>
      <c r="BA17" s="224">
        <v>7</v>
      </c>
      <c r="BB17" s="224" t="str">
        <f ca="1">IF(BB$4=$Y17,SUM(Setup!$C$42:$C$45)/$BA17,"")</f>
        <v/>
      </c>
      <c r="BC17" s="224" t="str">
        <f ca="1">IF(BC$4=$Y15,SUM(Setup!$C$43:$C$45)/$BA15,"")</f>
        <v/>
      </c>
      <c r="BD17" s="224" t="str">
        <f ca="1">IF(BD$4=$Y13,SUM(Setup!$C$44:$C$45)/$BA13,"")</f>
        <v/>
      </c>
      <c r="BE17" s="224" t="str">
        <f ca="1">IF(BE$4=$Y11,Setup!$C$45/$BA11,"")</f>
        <v/>
      </c>
      <c r="BI17" s="224" t="str">
        <f ca="1">IF(AV17=AV15,"",AV$3)</f>
        <v/>
      </c>
      <c r="BP17" s="224"/>
    </row>
    <row r="18" spans="1:72" hidden="1" x14ac:dyDescent="0.25">
      <c r="A18" s="277"/>
      <c r="B18" s="283"/>
      <c r="C18" s="284"/>
      <c r="D18" s="283"/>
      <c r="E18" s="284"/>
      <c r="F18" s="287"/>
      <c r="G18" s="284"/>
      <c r="H18" s="353"/>
      <c r="I18" s="296"/>
      <c r="J18" s="291"/>
      <c r="K18" s="294"/>
      <c r="M18" s="312"/>
      <c r="N18" s="312"/>
      <c r="O18" s="312"/>
      <c r="P18" s="322"/>
      <c r="Q18" s="312"/>
      <c r="R18" s="224"/>
      <c r="S18" s="224"/>
      <c r="T18" s="224"/>
      <c r="U18" s="224"/>
      <c r="V18" s="224"/>
      <c r="W18" s="224"/>
      <c r="X18" s="224"/>
      <c r="Z18" s="224"/>
      <c r="AA18" s="224"/>
      <c r="AB18" s="224"/>
      <c r="AC18" s="224"/>
      <c r="AD18" s="224"/>
      <c r="AE18" s="224"/>
      <c r="AF18" s="224"/>
      <c r="AG18" s="224"/>
      <c r="AH18" s="323"/>
      <c r="AI18" s="323"/>
      <c r="AJ18" s="323"/>
      <c r="AK18" s="323"/>
      <c r="AL18" s="323"/>
      <c r="AM18" s="323"/>
      <c r="AN18" s="323"/>
      <c r="AO18" s="323"/>
      <c r="AP18" s="323"/>
      <c r="AQ18" s="323"/>
      <c r="AR18" s="323"/>
      <c r="AS18" s="323"/>
      <c r="BB18" s="224"/>
    </row>
    <row r="19" spans="1:72" x14ac:dyDescent="0.25">
      <c r="A19" s="278" t="str">
        <f>Setup!B16</f>
        <v>Manny</v>
      </c>
      <c r="B19" s="283">
        <f>Points!B16</f>
        <v>2</v>
      </c>
      <c r="C19" s="284">
        <f>RANK(B19,B$5:B$36,0)</f>
        <v>10</v>
      </c>
      <c r="D19" s="283">
        <f ca="1">D$3*SUM(Points!B16:C16)</f>
        <v>7</v>
      </c>
      <c r="E19" s="284">
        <f ca="1">RANK(D19,D$5:D$36,0)</f>
        <v>13</v>
      </c>
      <c r="F19" s="287">
        <f ca="1">F$3*SUM(Points!B16:D16)</f>
        <v>8</v>
      </c>
      <c r="G19" s="284">
        <f ca="1">RANK(F19,F$5:F$36,0)</f>
        <v>14</v>
      </c>
      <c r="H19" s="353">
        <f ca="1">H$3*SUM(Points!B16:E16)</f>
        <v>11</v>
      </c>
      <c r="I19" s="296">
        <f ca="1">RANK(H19,H$5:H$36,0)</f>
        <v>13</v>
      </c>
      <c r="J19" s="291" t="str">
        <f ca="1">IF(ISNUMBER(FIND("Winner",Points!AY16)),"Winner",IF(ISNUMBER(FIND("2nd Place",Points!AZ16)),"2nd Place",IF(ISNUMBER(FIND("3rd Place",Points!BA16)),"3rd Place",IF(ISNUMBER(FIND("4th Place",Points!BB16)),"4th Place",""))))</f>
        <v/>
      </c>
      <c r="K19" s="294">
        <f ca="1">Results!B55</f>
        <v>20</v>
      </c>
      <c r="M19" s="312">
        <f>B19</f>
        <v>2</v>
      </c>
      <c r="N19" s="312">
        <f ca="1">IF(D$37=0,M19,D19)</f>
        <v>7</v>
      </c>
      <c r="O19" s="312">
        <f ca="1">IF(F$37=0,N19,F19)</f>
        <v>8</v>
      </c>
      <c r="P19" s="322">
        <f ca="1">IF(H$37=0,O19,H19)</f>
        <v>11</v>
      </c>
      <c r="Q19" s="312">
        <f ca="1">P19</f>
        <v>11</v>
      </c>
      <c r="R19" s="224">
        <f ca="1">RANK(Q19,Q$5:Q$36,0)</f>
        <v>13</v>
      </c>
      <c r="S19" s="224">
        <f ca="1">SUM(Z19:AS19)</f>
        <v>8</v>
      </c>
      <c r="T19" s="224" t="str">
        <f ca="1">IF($R19=$Y$5,1,"")</f>
        <v/>
      </c>
      <c r="U19" s="224" t="str">
        <f ca="1">IF($R19=$Y$7,1,"")</f>
        <v/>
      </c>
      <c r="V19" s="224" t="str">
        <f ca="1">IF($R19=$Y$9,1,"")</f>
        <v/>
      </c>
      <c r="W19" s="224" t="str">
        <f ca="1">IF($R19=$Y$11,1,"")</f>
        <v/>
      </c>
      <c r="X19" s="224"/>
      <c r="Y19" s="224">
        <v>8</v>
      </c>
      <c r="Z19" s="224" t="str">
        <f ca="1">IF(Z$4&gt;=$Y19,Z$3,"")</f>
        <v/>
      </c>
      <c r="AA19" s="224" t="str">
        <f ca="1">IF(AA$4&gt;$Y15,AA$3,"")</f>
        <v/>
      </c>
      <c r="AB19" s="224" t="str">
        <f ca="1">IF(AB$4&gt;$Y13,AB$3,"")</f>
        <v/>
      </c>
      <c r="AC19" s="224" t="str">
        <f ca="1">IF(AC$4&gt;$Y11,AC$3,"")</f>
        <v/>
      </c>
      <c r="AD19" s="224" t="str">
        <f ca="1">IF(AD$4&gt;$Y9,AD$3,"")</f>
        <v/>
      </c>
      <c r="AE19" s="224" t="str">
        <f ca="1">IF(AE$4&gt;$Y7,AE$3,"")</f>
        <v/>
      </c>
      <c r="AF19" s="224" t="str">
        <f ca="1">IF(AF$4&gt;$Y5,AF$3,"")</f>
        <v/>
      </c>
      <c r="AG19" s="224">
        <f ca="1">IF(AG$4&gt;$Y$4,AG$3,"")</f>
        <v>8</v>
      </c>
      <c r="AH19" s="323"/>
      <c r="AI19" s="323"/>
      <c r="AJ19" s="323"/>
      <c r="AK19" s="323"/>
      <c r="AL19" s="323"/>
      <c r="AM19" s="323"/>
      <c r="AN19" s="323"/>
      <c r="AO19" s="323"/>
      <c r="AP19" s="323"/>
      <c r="AQ19" s="323"/>
      <c r="AR19" s="323"/>
      <c r="AS19" s="323"/>
      <c r="AT19" s="224">
        <f ca="1">SUM(Z19:AS19)</f>
        <v>8</v>
      </c>
      <c r="AU19" s="224" t="str">
        <f>A19</f>
        <v>Manny</v>
      </c>
      <c r="AV19" s="432" t="str">
        <f ca="1">IF(T19=1,SUM(BB$5:BB$27),"")</f>
        <v/>
      </c>
      <c r="AW19" s="432" t="str">
        <f ca="1">IF(U19=1,SUM(BC$7:BC$27),"")</f>
        <v/>
      </c>
      <c r="AX19" s="432" t="str">
        <f ca="1">IF(V19=1,SUM(BD$9:BD$27),"")</f>
        <v/>
      </c>
      <c r="AY19" s="432" t="str">
        <f ca="1">IF(W19=1,SUM(BE$11:BE$27),"")</f>
        <v/>
      </c>
      <c r="BA19" s="224">
        <v>8</v>
      </c>
      <c r="BB19" s="224" t="str">
        <f ca="1">IF(BB$4=$Y19,SUM(Setup!$C$42:$C$45)/$BA19,"")</f>
        <v/>
      </c>
      <c r="BC19" s="224" t="str">
        <f ca="1">IF(BC$4=$Y17,SUM(Setup!$C$43:$C$45)/$BA17,"")</f>
        <v/>
      </c>
      <c r="BD19" s="224" t="str">
        <f ca="1">IF(BD$4=$Y15,SUM(Setup!$C$44:$C$45)/$BA15,"")</f>
        <v/>
      </c>
      <c r="BE19" s="224" t="str">
        <f ca="1">IF(BE$4=$Y13,Setup!$C$45/$BA13,"")</f>
        <v/>
      </c>
      <c r="BI19" s="224" t="str">
        <f ca="1">IF(AV19=AV17,"",AV$3)</f>
        <v/>
      </c>
      <c r="BP19" s="224"/>
      <c r="BQ19" s="224"/>
    </row>
    <row r="20" spans="1:72" hidden="1" x14ac:dyDescent="0.25">
      <c r="A20" s="277"/>
      <c r="B20" s="283"/>
      <c r="C20" s="284"/>
      <c r="D20" s="283"/>
      <c r="E20" s="284"/>
      <c r="F20" s="287"/>
      <c r="G20" s="284"/>
      <c r="H20" s="353"/>
      <c r="I20" s="296"/>
      <c r="J20" s="291"/>
      <c r="K20" s="294"/>
      <c r="M20" s="312"/>
      <c r="N20" s="312"/>
      <c r="O20" s="312"/>
      <c r="P20" s="322"/>
      <c r="Q20" s="312"/>
      <c r="R20" s="224"/>
      <c r="S20" s="224"/>
      <c r="T20" s="224"/>
      <c r="U20" s="224"/>
      <c r="V20" s="224"/>
      <c r="W20" s="224"/>
      <c r="X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323"/>
      <c r="AJ20" s="323"/>
      <c r="AK20" s="323"/>
      <c r="AL20" s="323"/>
      <c r="AM20" s="323"/>
      <c r="AN20" s="323"/>
      <c r="AO20" s="323"/>
      <c r="AP20" s="323"/>
      <c r="AQ20" s="323"/>
      <c r="AR20" s="323"/>
      <c r="AS20" s="323"/>
      <c r="BB20" s="224"/>
    </row>
    <row r="21" spans="1:72" x14ac:dyDescent="0.25">
      <c r="A21" s="278" t="str">
        <f>Setup!B18</f>
        <v>Tommy</v>
      </c>
      <c r="B21" s="283">
        <f>Points!B18</f>
        <v>8</v>
      </c>
      <c r="C21" s="284">
        <f>RANK(B21,B$5:B$36,0)</f>
        <v>1</v>
      </c>
      <c r="D21" s="283">
        <f ca="1">D$3*SUM(Points!B18:C18)</f>
        <v>19</v>
      </c>
      <c r="E21" s="284">
        <f ca="1">RANK(D21,D$5:D$36,0)</f>
        <v>1</v>
      </c>
      <c r="F21" s="287">
        <f ca="1">F$3*SUM(Points!B18:D18)</f>
        <v>26</v>
      </c>
      <c r="G21" s="284">
        <f ca="1">RANK(F21,F$5:F$36,0)</f>
        <v>1</v>
      </c>
      <c r="H21" s="353">
        <f ca="1">H$3*SUM(Points!B18:E18)</f>
        <v>32.625</v>
      </c>
      <c r="I21" s="296">
        <f ca="1">RANK(H21,H$5:H$36,0)</f>
        <v>2</v>
      </c>
      <c r="J21" s="291" t="str">
        <f ca="1">IF(ISNUMBER(FIND("Winner",Points!AY18)),"Winner",IF(ISNUMBER(FIND("2nd Place",Points!AZ18)),"2nd Place",IF(ISNUMBER(FIND("3rd Place",Points!BA18)),"3rd Place",IF(ISNUMBER(FIND("4th Place",Points!BB18)),"4th Place",""))))</f>
        <v>2nd Place</v>
      </c>
      <c r="K21" s="294">
        <f ca="1">Results!B57</f>
        <v>410</v>
      </c>
      <c r="M21" s="312">
        <f>B21</f>
        <v>8</v>
      </c>
      <c r="N21" s="312">
        <f ca="1">IF(D$37=0,M21,D21)</f>
        <v>19</v>
      </c>
      <c r="O21" s="312">
        <f ca="1">IF(F$37=0,N21,F21)</f>
        <v>26</v>
      </c>
      <c r="P21" s="322">
        <f ca="1">IF(H$37=0,O21,H21)</f>
        <v>32.625</v>
      </c>
      <c r="Q21" s="312">
        <f ca="1">P21</f>
        <v>32.625</v>
      </c>
      <c r="R21" s="224">
        <f ca="1">RANK(Q21,Q$5:Q$36,0)</f>
        <v>2</v>
      </c>
      <c r="S21" s="224">
        <f ca="1">SUM(Z21:AS21)</f>
        <v>9</v>
      </c>
      <c r="T21" s="224" t="str">
        <f ca="1">IF($R21=$Y$5,1,"")</f>
        <v/>
      </c>
      <c r="U21" s="224">
        <f ca="1">IF($R21=$Y$7,1,"")</f>
        <v>1</v>
      </c>
      <c r="V21" s="224" t="str">
        <f ca="1">IF($R21=$Y$9,1,"")</f>
        <v/>
      </c>
      <c r="W21" s="224" t="str">
        <f ca="1">IF($R21=$Y$11,1,"")</f>
        <v/>
      </c>
      <c r="X21" s="224"/>
      <c r="Y21" s="224">
        <v>9</v>
      </c>
      <c r="Z21" s="224" t="str">
        <f ca="1">IF(Z$4&gt;=$Y21,Z$3,"")</f>
        <v/>
      </c>
      <c r="AA21" s="224" t="str">
        <f ca="1">IF(AA$4&gt;$Y17,AA$3,"")</f>
        <v/>
      </c>
      <c r="AB21" s="224" t="str">
        <f ca="1">IF(AB$4&gt;$Y15,AB$3,"")</f>
        <v/>
      </c>
      <c r="AC21" s="224" t="str">
        <f ca="1">IF(AC$4&gt;$Y13,AC$3,"")</f>
        <v/>
      </c>
      <c r="AD21" s="224" t="str">
        <f ca="1">IF(AD$4&gt;$Y11,AD$3,"")</f>
        <v/>
      </c>
      <c r="AE21" s="224" t="str">
        <f ca="1">IF(AE$4&gt;$Y9,AE$3,"")</f>
        <v/>
      </c>
      <c r="AF21" s="224" t="str">
        <f ca="1">IF(AF$4&gt;$Y7,AF$3,"")</f>
        <v/>
      </c>
      <c r="AG21" s="224" t="str">
        <f ca="1">IF(AG$4&gt;$Y5,AG$3,"")</f>
        <v/>
      </c>
      <c r="AH21" s="224">
        <f ca="1">IF(AH$4&gt;$Y$4,AH$3,"")</f>
        <v>9</v>
      </c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323"/>
      <c r="AT21" s="224">
        <f ca="1">SUM(Z21:AS21)</f>
        <v>9</v>
      </c>
      <c r="AU21" s="224" t="str">
        <f>A21</f>
        <v>Tommy</v>
      </c>
      <c r="AV21" s="432" t="str">
        <f ca="1">IF(T21=1,SUM(BB$5:BB$27),"")</f>
        <v/>
      </c>
      <c r="AW21" s="432">
        <f ca="1">IF(U21=1,SUM(BC$7:BC$27),"")</f>
        <v>350</v>
      </c>
      <c r="AX21" s="432" t="str">
        <f ca="1">IF(V21=1,SUM(BD$9:BD$27),"")</f>
        <v/>
      </c>
      <c r="AY21" s="432" t="str">
        <f ca="1">IF(W21=1,SUM(BE$11:BE$27),"")</f>
        <v/>
      </c>
      <c r="BA21" s="224">
        <v>9</v>
      </c>
      <c r="BB21" s="224" t="str">
        <f ca="1">IF(BB$4=$Y21,SUM(Setup!$C$42:$C$45)/$BA21,"")</f>
        <v/>
      </c>
      <c r="BC21" s="224" t="str">
        <f ca="1">IF(BC$4=$Y19,SUM(Setup!$C$43:$C$45)/$BA19,"")</f>
        <v/>
      </c>
      <c r="BD21" s="224" t="str">
        <f ca="1">IF(BD$4=$Y17,SUM(Setup!$C$44:$C$45)/$BA17,"")</f>
        <v/>
      </c>
      <c r="BE21" s="224" t="str">
        <f ca="1">IF(BE$4=$Y15,Setup!$C$45/$BA15,"")</f>
        <v/>
      </c>
      <c r="BI21" s="224" t="str">
        <f ca="1">IF(AV21=AV19,"",AV$3)</f>
        <v/>
      </c>
      <c r="BQ21" s="224"/>
      <c r="BR21" s="224"/>
    </row>
    <row r="22" spans="1:72" hidden="1" x14ac:dyDescent="0.25">
      <c r="A22" s="277"/>
      <c r="B22" s="283"/>
      <c r="C22" s="284"/>
      <c r="D22" s="283"/>
      <c r="E22" s="284"/>
      <c r="F22" s="287"/>
      <c r="G22" s="284"/>
      <c r="H22" s="353"/>
      <c r="I22" s="296"/>
      <c r="J22" s="291"/>
      <c r="K22" s="294"/>
      <c r="M22" s="312"/>
      <c r="N22" s="312"/>
      <c r="O22" s="312"/>
      <c r="P22" s="322"/>
      <c r="Q22" s="312"/>
      <c r="R22" s="224"/>
      <c r="S22" s="224"/>
      <c r="T22" s="224"/>
      <c r="U22" s="224"/>
      <c r="V22" s="224"/>
      <c r="W22" s="224"/>
      <c r="X22" s="224"/>
      <c r="Z22" s="224"/>
      <c r="AA22" s="224"/>
      <c r="AB22" s="224"/>
      <c r="AC22" s="224"/>
      <c r="AD22" s="224"/>
      <c r="AE22" s="224"/>
      <c r="AF22" s="224"/>
      <c r="AG22" s="224"/>
      <c r="AH22" s="224"/>
      <c r="AI22" s="224"/>
      <c r="AJ22" s="323"/>
      <c r="AK22" s="323"/>
      <c r="AL22" s="323"/>
      <c r="AM22" s="323"/>
      <c r="AN22" s="323"/>
      <c r="AO22" s="323"/>
      <c r="AP22" s="323"/>
      <c r="AQ22" s="323"/>
      <c r="AR22" s="323"/>
      <c r="AS22" s="323"/>
      <c r="BB22" s="224"/>
    </row>
    <row r="23" spans="1:72" x14ac:dyDescent="0.25">
      <c r="A23" s="278" t="str">
        <f>Setup!B20</f>
        <v>Dave</v>
      </c>
      <c r="B23" s="283">
        <f>Points!B20</f>
        <v>6</v>
      </c>
      <c r="C23" s="284">
        <f>RANK(B23,B$5:B$36,0)</f>
        <v>4</v>
      </c>
      <c r="D23" s="283">
        <f ca="1">D$3*SUM(Points!B20:C20)</f>
        <v>13</v>
      </c>
      <c r="E23" s="284">
        <f ca="1">RANK(D23,D$5:D$36,0)</f>
        <v>4</v>
      </c>
      <c r="F23" s="287">
        <f ca="1">F$3*SUM(Points!B20:D20)</f>
        <v>14</v>
      </c>
      <c r="G23" s="284">
        <f ca="1">RANK(F23,F$5:F$36,0)</f>
        <v>11</v>
      </c>
      <c r="H23" s="353">
        <f ca="1">H$3*SUM(Points!B20:E20)</f>
        <v>19</v>
      </c>
      <c r="I23" s="296">
        <f ca="1">RANK(H23,H$5:H$36,0)</f>
        <v>8</v>
      </c>
      <c r="J23" s="291" t="str">
        <f ca="1">IF(ISNUMBER(FIND("Winner",Points!AY20)),"Winner",IF(ISNUMBER(FIND("2nd Place",Points!AZ20)),"2nd Place",IF(ISNUMBER(FIND("3rd Place",Points!BA20)),"3rd Place",IF(ISNUMBER(FIND("4th Place",Points!BB20)),"4th Place",""))))</f>
        <v/>
      </c>
      <c r="K23" s="294">
        <f ca="1">Results!B59</f>
        <v>20</v>
      </c>
      <c r="M23" s="312">
        <f>B23</f>
        <v>6</v>
      </c>
      <c r="N23" s="312">
        <f ca="1">IF(D$37=0,M23,D23)</f>
        <v>13</v>
      </c>
      <c r="O23" s="312">
        <f ca="1">IF(F$37=0,N23,F23)</f>
        <v>14</v>
      </c>
      <c r="P23" s="322">
        <f ca="1">IF(H$37=0,O23,H23)</f>
        <v>19</v>
      </c>
      <c r="Q23" s="312">
        <f ca="1">P23</f>
        <v>19</v>
      </c>
      <c r="R23" s="224">
        <f ca="1">RANK(Q23,Q$5:Q$36,0)</f>
        <v>8</v>
      </c>
      <c r="S23" s="224">
        <f ca="1">SUM(Z23:AS23)</f>
        <v>10</v>
      </c>
      <c r="T23" s="224" t="str">
        <f ca="1">IF($R23=$Y$5,1,"")</f>
        <v/>
      </c>
      <c r="U23" s="224" t="str">
        <f ca="1">IF($R23=$Y$7,1,"")</f>
        <v/>
      </c>
      <c r="V23" s="224" t="str">
        <f ca="1">IF($R23=$Y$9,1,"")</f>
        <v/>
      </c>
      <c r="W23" s="224" t="str">
        <f ca="1">IF($R23=$Y$11,1,"")</f>
        <v/>
      </c>
      <c r="X23" s="224"/>
      <c r="Y23" s="224">
        <v>10</v>
      </c>
      <c r="Z23" s="224" t="str">
        <f ca="1">IF(Z$4&gt;=$Y23,Z$3,"")</f>
        <v/>
      </c>
      <c r="AA23" s="224" t="str">
        <f ca="1">IF(AA$4&gt;$Y19,AA$3,"")</f>
        <v/>
      </c>
      <c r="AB23" s="224" t="str">
        <f ca="1">IF(AB$4&gt;$Y17,AB$3,"")</f>
        <v/>
      </c>
      <c r="AC23" s="224" t="str">
        <f ca="1">IF(AC$4&gt;$Y15,AC$3,"")</f>
        <v/>
      </c>
      <c r="AD23" s="224" t="str">
        <f ca="1">IF(AD$4&gt;$Y13,AD$3,"")</f>
        <v/>
      </c>
      <c r="AE23" s="224" t="str">
        <f ca="1">IF(AE$4&gt;$Y11,AE$3,"")</f>
        <v/>
      </c>
      <c r="AF23" s="224" t="str">
        <f ca="1">IF(AF$4&gt;$Y9,AF$3,"")</f>
        <v/>
      </c>
      <c r="AG23" s="224" t="str">
        <f ca="1">IF(AG$4&gt;$Y7,AG$3,"")</f>
        <v/>
      </c>
      <c r="AH23" s="224" t="str">
        <f ca="1">IF(AH$4&gt;$Y5,AH$3,"")</f>
        <v/>
      </c>
      <c r="AI23" s="224">
        <f ca="1">IF(AI$4&gt;$Y$4,AI$3,"")</f>
        <v>10</v>
      </c>
      <c r="AJ23" s="323"/>
      <c r="AK23" s="323"/>
      <c r="AL23" s="323"/>
      <c r="AM23" s="323"/>
      <c r="AN23" s="323"/>
      <c r="AO23" s="323"/>
      <c r="AP23" s="323"/>
      <c r="AQ23" s="323"/>
      <c r="AR23" s="323"/>
      <c r="AS23" s="323"/>
      <c r="AT23" s="224">
        <f ca="1">SUM(Z23:AS23)</f>
        <v>10</v>
      </c>
      <c r="AU23" s="224" t="str">
        <f>A23</f>
        <v>Dave</v>
      </c>
      <c r="AV23" s="432" t="str">
        <f ca="1">IF(T23=1,SUM(BB$5:BB$27),"")</f>
        <v/>
      </c>
      <c r="AW23" s="432" t="str">
        <f ca="1">IF(U23=1,SUM(BC$7:BC$27),"")</f>
        <v/>
      </c>
      <c r="AX23" s="432" t="str">
        <f ca="1">IF(V23=1,SUM(BD$9:BD$27),"")</f>
        <v/>
      </c>
      <c r="AY23" s="432" t="str">
        <f ca="1">IF(W23=1,SUM(BE$11:BE$27),"")</f>
        <v/>
      </c>
      <c r="BA23" s="224">
        <v>10</v>
      </c>
      <c r="BB23" s="224" t="str">
        <f ca="1">IF(BB$4=$Y23,SUM(Setup!$C$42:$C$45)/$BA23,"")</f>
        <v/>
      </c>
      <c r="BC23" s="224" t="str">
        <f ca="1">IF(BC$4=$Y21,SUM(Setup!$C$43:$C$45)/$BA21,"")</f>
        <v/>
      </c>
      <c r="BD23" s="224" t="str">
        <f ca="1">IF(BD$4=$Y19,SUM(Setup!$C$44:$C$45)/$BA19,"")</f>
        <v/>
      </c>
      <c r="BE23" s="224" t="str">
        <f ca="1">IF(BE$4=$Y17,Setup!$C$45/$BA17,"")</f>
        <v/>
      </c>
      <c r="BI23" s="224" t="str">
        <f ca="1">IF(AV23=AV21,"",AV$3)</f>
        <v/>
      </c>
      <c r="BR23" s="224"/>
      <c r="BS23" s="224"/>
    </row>
    <row r="24" spans="1:72" hidden="1" x14ac:dyDescent="0.25">
      <c r="A24" s="277"/>
      <c r="B24" s="283"/>
      <c r="C24" s="284"/>
      <c r="D24" s="283"/>
      <c r="E24" s="284"/>
      <c r="F24" s="287"/>
      <c r="G24" s="284"/>
      <c r="H24" s="353"/>
      <c r="I24" s="296"/>
      <c r="J24" s="291"/>
      <c r="K24" s="294"/>
      <c r="M24" s="312"/>
      <c r="N24" s="312"/>
      <c r="O24" s="312"/>
      <c r="P24" s="322"/>
      <c r="Q24" s="312"/>
      <c r="R24" s="224"/>
      <c r="S24" s="224"/>
      <c r="T24" s="224"/>
      <c r="U24" s="224"/>
      <c r="V24" s="224"/>
      <c r="W24" s="224"/>
      <c r="X24" s="224"/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K24" s="323"/>
      <c r="AL24" s="323"/>
      <c r="AM24" s="323"/>
      <c r="AN24" s="323"/>
      <c r="AO24" s="323"/>
      <c r="AP24" s="323"/>
      <c r="AQ24" s="323"/>
      <c r="AR24" s="323"/>
      <c r="AS24" s="323"/>
      <c r="BB24" s="224"/>
    </row>
    <row r="25" spans="1:72" x14ac:dyDescent="0.25">
      <c r="A25" s="278" t="str">
        <f>Setup!B22</f>
        <v>Hunter</v>
      </c>
      <c r="B25" s="283">
        <f>Points!B22</f>
        <v>2</v>
      </c>
      <c r="C25" s="284">
        <f>RANK(B25,B$5:B$36,0)</f>
        <v>10</v>
      </c>
      <c r="D25" s="283">
        <f ca="1">D$3*SUM(Points!B22:C22)</f>
        <v>11</v>
      </c>
      <c r="E25" s="284">
        <f ca="1">RANK(D25,D$5:D$36,0)</f>
        <v>8</v>
      </c>
      <c r="F25" s="287">
        <f ca="1">F$3*SUM(Points!B22:D22)</f>
        <v>20</v>
      </c>
      <c r="G25" s="284">
        <f ca="1">RANK(F25,F$5:F$36,0)</f>
        <v>5</v>
      </c>
      <c r="H25" s="353">
        <f ca="1">H$3*SUM(Points!B22:E22)</f>
        <v>20</v>
      </c>
      <c r="I25" s="296">
        <f ca="1">RANK(H25,H$5:H$36,0)</f>
        <v>7</v>
      </c>
      <c r="J25" s="291" t="str">
        <f ca="1">IF(ISNUMBER(FIND("Winner",Points!AY22)),"Winner",IF(ISNUMBER(FIND("2nd Place",Points!AZ22)),"2nd Place",IF(ISNUMBER(FIND("3rd Place",Points!BA22)),"3rd Place",IF(ISNUMBER(FIND("4th Place",Points!BB22)),"4th Place",""))))</f>
        <v/>
      </c>
      <c r="K25" s="294">
        <f ca="1">Results!B61</f>
        <v>20</v>
      </c>
      <c r="M25" s="312">
        <f>B25</f>
        <v>2</v>
      </c>
      <c r="N25" s="312">
        <f ca="1">IF(D$37=0,M25,D25)</f>
        <v>11</v>
      </c>
      <c r="O25" s="312">
        <f ca="1">IF(F$37=0,N25,F25)</f>
        <v>20</v>
      </c>
      <c r="P25" s="322">
        <f ca="1">IF(H$37=0,O25,H25)</f>
        <v>20</v>
      </c>
      <c r="Q25" s="312">
        <f ca="1">P25</f>
        <v>20</v>
      </c>
      <c r="R25" s="224">
        <f ca="1">RANK(Q25,Q$5:Q$36,0)</f>
        <v>7</v>
      </c>
      <c r="S25" s="224">
        <f ca="1">SUM(Z25:AS25)</f>
        <v>11</v>
      </c>
      <c r="T25" s="224" t="str">
        <f ca="1">IF($R25=$Y$5,1,"")</f>
        <v/>
      </c>
      <c r="U25" s="224" t="str">
        <f ca="1">IF($R25=$Y$7,1,"")</f>
        <v/>
      </c>
      <c r="V25" s="224" t="str">
        <f ca="1">IF($R25=$Y$9,1,"")</f>
        <v/>
      </c>
      <c r="W25" s="224" t="str">
        <f ca="1">IF($R25=$Y$11,1,"")</f>
        <v/>
      </c>
      <c r="X25" s="224"/>
      <c r="Y25" s="224">
        <v>11</v>
      </c>
      <c r="Z25" s="224" t="str">
        <f ca="1">IF(Z$4&gt;=$Y25,Z$3,"")</f>
        <v/>
      </c>
      <c r="AA25" s="224" t="str">
        <f ca="1">IF(AA$4&gt;$Y21,AA$3,"")</f>
        <v/>
      </c>
      <c r="AB25" s="224" t="str">
        <f ca="1">IF(AB$4&gt;$Y19,AB$3,"")</f>
        <v/>
      </c>
      <c r="AC25" s="224" t="str">
        <f ca="1">IF(AC$4&gt;$Y17,AC$3,"")</f>
        <v/>
      </c>
      <c r="AD25" s="224" t="str">
        <f ca="1">IF(AD$4&gt;$Y15,AD$3,"")</f>
        <v/>
      </c>
      <c r="AE25" s="224" t="str">
        <f ca="1">IF(AE$4&gt;$Y13,AE$3,"")</f>
        <v/>
      </c>
      <c r="AF25" s="224" t="str">
        <f ca="1">IF(AF$4&gt;$Y11,AF$3,"")</f>
        <v/>
      </c>
      <c r="AG25" s="224" t="str">
        <f ca="1">IF(AG$4&gt;$Y9,AG$3,"")</f>
        <v/>
      </c>
      <c r="AH25" s="224" t="str">
        <f ca="1">IF(AH$4&gt;$Y7,AH$3,"")</f>
        <v/>
      </c>
      <c r="AI25" s="224" t="str">
        <f ca="1">IF(AI$4&gt;$Y5,AI$3,"")</f>
        <v/>
      </c>
      <c r="AJ25" s="224">
        <f ca="1">IF(AJ$4&gt;$Y$4,AJ$3,"")</f>
        <v>11</v>
      </c>
      <c r="AK25" s="323"/>
      <c r="AL25" s="323"/>
      <c r="AM25" s="323"/>
      <c r="AN25" s="323"/>
      <c r="AO25" s="323"/>
      <c r="AP25" s="323"/>
      <c r="AQ25" s="323"/>
      <c r="AR25" s="323"/>
      <c r="AS25" s="323"/>
      <c r="AT25" s="224">
        <f ca="1">SUM(Z25:AS25)</f>
        <v>11</v>
      </c>
      <c r="AU25" s="224" t="str">
        <f>A25</f>
        <v>Hunter</v>
      </c>
      <c r="AV25" s="432" t="str">
        <f ca="1">IF(T25=1,SUM(BB$5:BB$27),"")</f>
        <v/>
      </c>
      <c r="AW25" s="432" t="str">
        <f ca="1">IF(U25=1,SUM(BC$7:BC$27),"")</f>
        <v/>
      </c>
      <c r="AX25" s="432" t="str">
        <f ca="1">IF(V25=1,SUM(BD$9:BD$27),"")</f>
        <v/>
      </c>
      <c r="AY25" s="432" t="str">
        <f ca="1">IF(W25=1,SUM(BE$11:BE$27),"")</f>
        <v/>
      </c>
      <c r="BA25" s="224">
        <v>11</v>
      </c>
      <c r="BB25" s="224" t="str">
        <f ca="1">IF(BB$4=$Y25,SUM(Setup!$C$42:$C$45)/$BA25,"")</f>
        <v/>
      </c>
      <c r="BC25" s="224" t="str">
        <f ca="1">IF(BC$4=$Y23,SUM(Setup!$C$43:$C$45)/$BA23,"")</f>
        <v/>
      </c>
      <c r="BD25" s="224" t="str">
        <f ca="1">IF(BD$4=$Y21,SUM(Setup!$C$44:$C$45)/$BA21,"")</f>
        <v/>
      </c>
      <c r="BE25" s="224" t="str">
        <f ca="1">IF(BE$4=$Y19,Setup!$C$45/$BA19,"")</f>
        <v/>
      </c>
      <c r="BI25" s="224" t="str">
        <f ca="1">IF(AV25=AV23,"",AV$3)</f>
        <v/>
      </c>
      <c r="BS25" s="224"/>
      <c r="BT25" s="224"/>
    </row>
    <row r="26" spans="1:72" hidden="1" x14ac:dyDescent="0.25">
      <c r="A26" s="277"/>
      <c r="B26" s="283"/>
      <c r="C26" s="284"/>
      <c r="D26" s="283"/>
      <c r="E26" s="284"/>
      <c r="F26" s="287"/>
      <c r="G26" s="284"/>
      <c r="H26" s="353"/>
      <c r="I26" s="296"/>
      <c r="J26" s="291"/>
      <c r="K26" s="294"/>
      <c r="M26" s="312"/>
      <c r="N26" s="312"/>
      <c r="O26" s="312"/>
      <c r="P26" s="322"/>
      <c r="Q26" s="312"/>
      <c r="R26" s="224"/>
      <c r="S26" s="224"/>
      <c r="T26" s="224"/>
      <c r="U26" s="224"/>
      <c r="V26" s="224"/>
      <c r="W26" s="224"/>
      <c r="X26" s="224"/>
      <c r="Z26" s="224"/>
      <c r="AA26" s="224"/>
      <c r="AB26" s="224"/>
      <c r="AC26" s="224"/>
      <c r="AD26" s="224"/>
      <c r="AE26" s="224"/>
      <c r="AF26" s="224"/>
      <c r="AG26" s="224"/>
      <c r="AH26" s="224"/>
      <c r="AI26" s="224"/>
      <c r="BB26" s="224"/>
    </row>
    <row r="27" spans="1:72" x14ac:dyDescent="0.25">
      <c r="A27" s="278" t="str">
        <f>Setup!B24</f>
        <v>Gerald C</v>
      </c>
      <c r="B27" s="283">
        <f>Points!B24</f>
        <v>0</v>
      </c>
      <c r="C27" s="284">
        <f>RANK(B27,B$5:B$36,0)</f>
        <v>14</v>
      </c>
      <c r="D27" s="283">
        <f ca="1">D$3*SUM(Points!B24:C24)</f>
        <v>2</v>
      </c>
      <c r="E27" s="284">
        <f ca="1">RANK(D27,D$5:D$36,0)</f>
        <v>15</v>
      </c>
      <c r="F27" s="287">
        <f ca="1">F$3*SUM(Points!B24:D24)</f>
        <v>9</v>
      </c>
      <c r="G27" s="284">
        <f ca="1">RANK(F27,F$5:F$36,0)</f>
        <v>13</v>
      </c>
      <c r="H27" s="353">
        <f ca="1">H$3*SUM(Points!B24:E24)</f>
        <v>9</v>
      </c>
      <c r="I27" s="296">
        <f ca="1">RANK(H27,H$5:H$36,0)</f>
        <v>14</v>
      </c>
      <c r="J27" s="291" t="str">
        <f ca="1">IF(ISNUMBER(FIND("Winner",Points!AY24)),"Winner",IF(ISNUMBER(FIND("2nd Place",Points!AZ24)),"2nd Place",IF(ISNUMBER(FIND("3rd Place",Points!BA24)),"3rd Place",IF(ISNUMBER(FIND("4th Place",Points!BB24)),"4th Place",""))))</f>
        <v/>
      </c>
      <c r="K27" s="294">
        <f ca="1">Results!B63</f>
        <v>20</v>
      </c>
      <c r="M27" s="312">
        <f>B27</f>
        <v>0</v>
      </c>
      <c r="N27" s="312">
        <f ca="1">IF(D$37=0,M27,D27)</f>
        <v>2</v>
      </c>
      <c r="O27" s="312">
        <f ca="1">IF(F$37=0,N27,F27)</f>
        <v>9</v>
      </c>
      <c r="P27" s="322">
        <f ca="1">IF(H$37=0,O27,H27)</f>
        <v>9</v>
      </c>
      <c r="Q27" s="312">
        <f ca="1">P27</f>
        <v>9</v>
      </c>
      <c r="R27" s="224">
        <f ca="1">RANK(Q27,Q$5:Q$36,0)</f>
        <v>14</v>
      </c>
      <c r="S27" s="224">
        <f ca="1">SUM(Z27:AS27)</f>
        <v>12</v>
      </c>
      <c r="T27" s="224" t="str">
        <f ca="1">IF($R27=$Y$5,1,"")</f>
        <v/>
      </c>
      <c r="U27" s="224" t="str">
        <f ca="1">IF($R27=$Y$7,1,"")</f>
        <v/>
      </c>
      <c r="V27" s="224" t="str">
        <f ca="1">IF($R27=$Y$9,1,"")</f>
        <v/>
      </c>
      <c r="W27" s="224" t="str">
        <f ca="1">IF($R27=$Y$11,1,"")</f>
        <v/>
      </c>
      <c r="X27" s="224"/>
      <c r="Y27" s="224">
        <v>12</v>
      </c>
      <c r="Z27" s="224" t="str">
        <f ca="1">IF(Z$4&gt;=$Y27,Z$3,"")</f>
        <v/>
      </c>
      <c r="AA27" s="224" t="str">
        <f ca="1">IF(AA$4&gt;$Y23,AA$3,"")</f>
        <v/>
      </c>
      <c r="AB27" s="224" t="str">
        <f ca="1">IF(AB$4&gt;$Y21,AB$3,"")</f>
        <v/>
      </c>
      <c r="AC27" s="224" t="str">
        <f ca="1">IF(AC$4&gt;$Y19,AC$3,"")</f>
        <v/>
      </c>
      <c r="AD27" s="224" t="str">
        <f ca="1">IF(AD$4&gt;$Y17,AD$3,"")</f>
        <v/>
      </c>
      <c r="AE27" s="224" t="str">
        <f ca="1">IF(AE$4&gt;$Y15,AE$3,"")</f>
        <v/>
      </c>
      <c r="AF27" s="224" t="str">
        <f ca="1">IF(AF$4&gt;$Y13,AF$3,"")</f>
        <v/>
      </c>
      <c r="AG27" s="224" t="str">
        <f ca="1">IF(AG$4&gt;$Y11,AG$3,"")</f>
        <v/>
      </c>
      <c r="AH27" s="224" t="str">
        <f ca="1">IF(AH$4&gt;$Y9,AH$3,"")</f>
        <v/>
      </c>
      <c r="AI27" s="224" t="str">
        <f ca="1">IF(AI$4&gt;$Y7,AI$3,"")</f>
        <v/>
      </c>
      <c r="AJ27" s="224" t="str">
        <f ca="1">IF(AJ$4&gt;$Y5,AJ$3,"")</f>
        <v/>
      </c>
      <c r="AK27" s="224">
        <f ca="1">IF(AK$4&gt;$Y4,AK$3,"")</f>
        <v>12</v>
      </c>
      <c r="AL27" s="323"/>
      <c r="AM27" s="323"/>
      <c r="AN27" s="323"/>
      <c r="AO27" s="323"/>
      <c r="AP27" s="323"/>
      <c r="AQ27" s="323"/>
      <c r="AR27" s="323"/>
      <c r="AS27" s="323"/>
      <c r="AT27" s="224">
        <f ca="1">SUM(Z27:AS27)</f>
        <v>12</v>
      </c>
      <c r="AU27" s="224" t="str">
        <f>A27</f>
        <v>Gerald C</v>
      </c>
      <c r="AV27" s="432" t="str">
        <f ca="1">IF(T27=1,SUM(BB$5:BB$27),"")</f>
        <v/>
      </c>
      <c r="AW27" s="432" t="str">
        <f ca="1">IF(U27=1,SUM(BC$7:BC$27),"")</f>
        <v/>
      </c>
      <c r="AX27" s="432" t="str">
        <f ca="1">IF(V27=1,SUM(BD$9:BD$27),"")</f>
        <v/>
      </c>
      <c r="AY27" s="432" t="str">
        <f ca="1">IF(W27=1,SUM(BE$11:BE$27),"")</f>
        <v/>
      </c>
      <c r="BA27" s="224">
        <v>12</v>
      </c>
      <c r="BB27" s="224" t="str">
        <f ca="1">IF(BB$4=$Y27,SUM(Setup!$C$42:$C$45)/$BA27,"")</f>
        <v/>
      </c>
      <c r="BC27" s="224" t="str">
        <f ca="1">IF(BC$4=$Y25,SUM(Setup!$C$43:$C$45)/$BA25,"")</f>
        <v/>
      </c>
      <c r="BD27" s="224" t="str">
        <f ca="1">IF(BD$4=$Y23,SUM(Setup!$C$44:$C$45)/$BA23,"")</f>
        <v/>
      </c>
      <c r="BE27" s="224" t="str">
        <f ca="1">IF(BE$4=$Y21,Setup!$C$45/$BA21,"")</f>
        <v/>
      </c>
      <c r="BI27" s="224" t="str">
        <f ca="1">IF(AV27=AV25,"",AV$3)</f>
        <v/>
      </c>
      <c r="BT27" s="224"/>
    </row>
    <row r="28" spans="1:72" hidden="1" x14ac:dyDescent="0.25">
      <c r="A28" s="277"/>
      <c r="B28" s="283"/>
      <c r="C28" s="284"/>
      <c r="D28" s="283"/>
      <c r="E28" s="284"/>
      <c r="F28" s="287"/>
      <c r="G28" s="284"/>
      <c r="H28" s="353"/>
      <c r="I28" s="296"/>
      <c r="J28" s="291"/>
      <c r="K28" s="294"/>
      <c r="M28" s="312"/>
      <c r="N28" s="312"/>
      <c r="O28" s="312"/>
      <c r="P28" s="322"/>
      <c r="Q28" s="312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  <c r="AH28" s="224"/>
      <c r="AI28" s="224"/>
      <c r="AN28" s="323"/>
      <c r="AO28" s="323"/>
      <c r="AP28" s="323"/>
      <c r="AQ28" s="323"/>
      <c r="AR28" s="323"/>
      <c r="AS28" s="323"/>
      <c r="BB28" s="224"/>
    </row>
    <row r="29" spans="1:72" x14ac:dyDescent="0.25">
      <c r="A29" s="278" t="str">
        <f>Setup!B26</f>
        <v>Bob</v>
      </c>
      <c r="B29" s="283">
        <f>Points!B26</f>
        <v>6</v>
      </c>
      <c r="C29" s="284">
        <f>RANK(B29,B$5:B$36,0)</f>
        <v>4</v>
      </c>
      <c r="D29" s="283">
        <f ca="1">D$3*SUM(Points!B26:C26)</f>
        <v>14</v>
      </c>
      <c r="E29" s="284">
        <f ca="1">RANK(D29,D$5:D$36,0)</f>
        <v>2</v>
      </c>
      <c r="F29" s="287">
        <f ca="1">F$3*SUM(Points!B26:D26)</f>
        <v>18</v>
      </c>
      <c r="G29" s="284">
        <f ca="1">RANK(F29,F$5:F$36,0)</f>
        <v>6</v>
      </c>
      <c r="H29" s="353">
        <f ca="1">H$3*SUM(Points!B26:E26)</f>
        <v>28</v>
      </c>
      <c r="I29" s="296">
        <f ca="1">RANK(H29,H$5:H$36,0)</f>
        <v>4</v>
      </c>
      <c r="J29" s="291" t="str">
        <f ca="1">IF(ISNUMBER(FIND("Winner",Points!AY26)),"Winner",IF(ISNUMBER(FIND("2nd Place",Points!AZ26)),"2nd Place",IF(ISNUMBER(FIND("3rd Place",Points!BA26)),"3rd Place",IF(ISNUMBER(FIND("4th Place",Points!BB26)),"4th Place",""))))</f>
        <v>4th Place</v>
      </c>
      <c r="K29" s="294">
        <f ca="1">Results!B65</f>
        <v>60</v>
      </c>
      <c r="M29" s="312">
        <f>B29</f>
        <v>6</v>
      </c>
      <c r="N29" s="312">
        <f ca="1">IF(D$37=0,M29,D29)</f>
        <v>14</v>
      </c>
      <c r="O29" s="312">
        <f ca="1">IF(F$37=0,N29,F29)</f>
        <v>18</v>
      </c>
      <c r="P29" s="322">
        <f ca="1">IF(H$37=0,O29,H29)</f>
        <v>28</v>
      </c>
      <c r="Q29" s="312">
        <f ca="1">P29</f>
        <v>28</v>
      </c>
      <c r="R29" s="224">
        <f ca="1">RANK(Q29,Q$5:Q$36,0)</f>
        <v>4</v>
      </c>
      <c r="S29" s="224">
        <f ca="1">SUM(Z29:AS29)</f>
        <v>13</v>
      </c>
      <c r="T29" s="224" t="str">
        <f ca="1">IF($R29=$Y$5,1,"")</f>
        <v/>
      </c>
      <c r="U29" s="224" t="str">
        <f ca="1">IF($R29=$Y$7,1,"")</f>
        <v/>
      </c>
      <c r="V29" s="224" t="str">
        <f ca="1">IF($R29=$Y$9,1,"")</f>
        <v/>
      </c>
      <c r="W29" s="224">
        <f ca="1">IF($R29=$Y$11,1,"")</f>
        <v>1</v>
      </c>
      <c r="X29" s="224"/>
      <c r="Y29" s="224">
        <v>13</v>
      </c>
      <c r="Z29" s="224" t="str">
        <f ca="1">IF(Z$4&gt;=$Y29,Z$3,"")</f>
        <v/>
      </c>
      <c r="AA29" s="224" t="str">
        <f ca="1">IF(AA$4&gt;$Y25,AA$3,"")</f>
        <v/>
      </c>
      <c r="AB29" s="224" t="str">
        <f ca="1">IF(AB$4&gt;$Y23,AB$3,"")</f>
        <v/>
      </c>
      <c r="AC29" s="224" t="str">
        <f ca="1">IF(AC$4&gt;$Y21,AC$3,"")</f>
        <v/>
      </c>
      <c r="AD29" s="224" t="str">
        <f ca="1">IF(AD$4&gt;$Y19,AD$3,"")</f>
        <v/>
      </c>
      <c r="AE29" s="224" t="str">
        <f ca="1">IF(AE$4&gt;$Y17,AE$3,"")</f>
        <v/>
      </c>
      <c r="AF29" s="224" t="str">
        <f ca="1">IF(AF$4&gt;$Y15,AF$3,"")</f>
        <v/>
      </c>
      <c r="AG29" s="224" t="str">
        <f ca="1">IF(AG$4&gt;$Y13,AG$3,"")</f>
        <v/>
      </c>
      <c r="AH29" s="224" t="str">
        <f ca="1">IF(AH$4&gt;$Y11,AH$3,"")</f>
        <v/>
      </c>
      <c r="AI29" s="224" t="str">
        <f ca="1">IF(AI$4&gt;$Y9,AI$3,"")</f>
        <v/>
      </c>
      <c r="AJ29" s="224" t="str">
        <f ca="1">IF(AJ$4&gt;$Y7,AJ$3,"")</f>
        <v/>
      </c>
      <c r="AK29" s="224" t="str">
        <f ca="1">IF(AK$4&gt;$Y5,AK$3,"")</f>
        <v/>
      </c>
      <c r="AL29" s="224">
        <f ca="1">IF(AL$4&gt;$Y$4,AL$3,"")</f>
        <v>13</v>
      </c>
      <c r="AM29" s="323"/>
      <c r="AN29" s="323"/>
      <c r="AO29" s="323"/>
      <c r="AP29" s="323"/>
      <c r="AQ29" s="323"/>
      <c r="AR29" s="323"/>
      <c r="AS29" s="323"/>
      <c r="AT29" s="224">
        <f ca="1">SUM(Z29:AS29)</f>
        <v>13</v>
      </c>
      <c r="AU29" s="224" t="str">
        <f>A29</f>
        <v>Bob</v>
      </c>
      <c r="AV29" s="432" t="str">
        <f ca="1">IF(T29=1,SUM(BB$5:BB$27),"")</f>
        <v/>
      </c>
      <c r="AW29" s="432" t="str">
        <f ca="1">IF(U29=1,SUM(BC$7:BC$27),"")</f>
        <v/>
      </c>
      <c r="AX29" s="432" t="str">
        <f ca="1">IF(V29=1,SUM(BD$9:BD$27),"")</f>
        <v/>
      </c>
      <c r="AY29" s="432">
        <f ca="1">IF(W29=1,SUM(BE$11:BE$27),"")</f>
        <v>0</v>
      </c>
      <c r="BB29" s="224"/>
      <c r="BI29" s="224" t="str">
        <f ca="1">IF(AV29=AV27,"",AV$3)</f>
        <v/>
      </c>
    </row>
    <row r="30" spans="1:72" hidden="1" x14ac:dyDescent="0.25">
      <c r="A30" s="277"/>
      <c r="B30" s="283"/>
      <c r="C30" s="284"/>
      <c r="D30" s="283"/>
      <c r="E30" s="284"/>
      <c r="F30" s="287"/>
      <c r="G30" s="284"/>
      <c r="H30" s="353"/>
      <c r="I30" s="296"/>
      <c r="J30" s="291"/>
      <c r="K30" s="294"/>
      <c r="M30" s="312"/>
      <c r="N30" s="312"/>
      <c r="O30" s="312"/>
      <c r="P30" s="322"/>
      <c r="Q30" s="312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4"/>
      <c r="AI30" s="224"/>
      <c r="AN30" s="323"/>
      <c r="AO30" s="323"/>
      <c r="AP30" s="323"/>
      <c r="AQ30" s="323"/>
      <c r="AR30" s="323"/>
      <c r="AS30" s="323"/>
      <c r="BB30" s="224"/>
    </row>
    <row r="31" spans="1:72" x14ac:dyDescent="0.25">
      <c r="A31" s="278" t="str">
        <f>Setup!B28</f>
        <v>Patrick</v>
      </c>
      <c r="B31" s="283">
        <f>Points!B28</f>
        <v>0</v>
      </c>
      <c r="C31" s="284">
        <f>RANK(B31,B$5:B$36,0)</f>
        <v>14</v>
      </c>
      <c r="D31" s="283">
        <f ca="1">D$3*SUM(Points!B28:C28)</f>
        <v>2</v>
      </c>
      <c r="E31" s="284">
        <f ca="1">RANK(D31,D$5:D$36,0)</f>
        <v>15</v>
      </c>
      <c r="F31" s="287">
        <f ca="1">F$3*SUM(Points!B28:D28)</f>
        <v>7</v>
      </c>
      <c r="G31" s="284">
        <f ca="1">RANK(F31,F$5:F$36,0)</f>
        <v>15</v>
      </c>
      <c r="H31" s="353">
        <f ca="1">H$3*SUM(Points!B28:E28)</f>
        <v>7</v>
      </c>
      <c r="I31" s="296">
        <f ca="1">RANK(H31,H$5:H$36,0)</f>
        <v>15</v>
      </c>
      <c r="J31" s="291" t="str">
        <f ca="1">IF(ISNUMBER(FIND("Winner",Points!AY28)),"Winner",IF(ISNUMBER(FIND("2nd Place",Points!AZ28)),"2nd Place",IF(ISNUMBER(FIND("3rd Place",Points!BA28)),"3rd Place",IF(ISNUMBER(FIND("4th Place",Points!BB28)),"4th Place",""))))</f>
        <v/>
      </c>
      <c r="K31" s="294" t="str">
        <f ca="1">Results!B67</f>
        <v/>
      </c>
      <c r="M31" s="312">
        <f>B31</f>
        <v>0</v>
      </c>
      <c r="N31" s="312">
        <f ca="1">IF(D$37=0,M31,D31)</f>
        <v>2</v>
      </c>
      <c r="O31" s="312">
        <f ca="1">IF(F$37=0,N31,F31)</f>
        <v>7</v>
      </c>
      <c r="P31" s="322">
        <f ca="1">IF(H$37=0,O31,H31)</f>
        <v>7</v>
      </c>
      <c r="Q31" s="312">
        <f ca="1">P31</f>
        <v>7</v>
      </c>
      <c r="R31" s="224">
        <f ca="1">RANK(Q31,Q$5:Q$36,0)</f>
        <v>15</v>
      </c>
      <c r="S31" s="224">
        <f ca="1">SUM(Z31:AS31)</f>
        <v>14</v>
      </c>
      <c r="T31" s="224" t="str">
        <f ca="1">IF($R31=$Y$5,1,"")</f>
        <v/>
      </c>
      <c r="U31" s="224" t="str">
        <f ca="1">IF($R31=$Y$7,1,"")</f>
        <v/>
      </c>
      <c r="V31" s="224" t="str">
        <f ca="1">IF($R31=$Y$9,1,"")</f>
        <v/>
      </c>
      <c r="W31" s="224" t="str">
        <f ca="1">IF($R31=$Y$11,1,"")</f>
        <v/>
      </c>
      <c r="X31" s="224"/>
      <c r="Y31" s="224">
        <v>14</v>
      </c>
      <c r="Z31" s="224" t="str">
        <f ca="1">IF(Z$4&gt;=$Y31,Z$3,"")</f>
        <v/>
      </c>
      <c r="AA31" s="224" t="str">
        <f ca="1">IF(AA$4&gt;$Y27,AA$3,"")</f>
        <v/>
      </c>
      <c r="AB31" s="224" t="str">
        <f ca="1">IF(AB$4&gt;$Y25,AB$3,"")</f>
        <v/>
      </c>
      <c r="AC31" s="224" t="str">
        <f ca="1">IF(AC$4&gt;$Y23,AC$3,"")</f>
        <v/>
      </c>
      <c r="AD31" s="224" t="str">
        <f ca="1">IF(AD$4&gt;$Y21,AD$3,"")</f>
        <v/>
      </c>
      <c r="AE31" s="224" t="str">
        <f ca="1">IF(AE$4&gt;$Y19,AE$3,"")</f>
        <v/>
      </c>
      <c r="AF31" s="224" t="str">
        <f ca="1">IF(AF$4&gt;$Y17,AF$3,"")</f>
        <v/>
      </c>
      <c r="AG31" s="224" t="str">
        <f ca="1">IF(AG$4&gt;$Y15,AG$3,"")</f>
        <v/>
      </c>
      <c r="AH31" s="224" t="str">
        <f ca="1">IF(AH$4&gt;$Y13,AH$3,"")</f>
        <v/>
      </c>
      <c r="AI31" s="224" t="str">
        <f ca="1">IF(AI$4&gt;$Y11,AI$3,"")</f>
        <v/>
      </c>
      <c r="AJ31" s="224" t="str">
        <f ca="1">IF(AJ$4&gt;$Y9,AJ$3,"")</f>
        <v/>
      </c>
      <c r="AK31" s="224" t="str">
        <f ca="1">IF(AK$4&gt;$Y7,AK$3,"")</f>
        <v/>
      </c>
      <c r="AL31" s="224" t="str">
        <f ca="1">IF(AL$4&gt;$Y5,AL$3,"")</f>
        <v/>
      </c>
      <c r="AM31" s="224">
        <f ca="1">IF(AM$4&gt;$Y$4,AM$3,"")</f>
        <v>14</v>
      </c>
      <c r="AN31" s="323"/>
      <c r="AO31" s="323"/>
      <c r="AP31" s="323"/>
      <c r="AQ31" s="323"/>
      <c r="AR31" s="323"/>
      <c r="AS31" s="323"/>
      <c r="AT31" s="224">
        <f ca="1">SUM(Z31:AS31)</f>
        <v>14</v>
      </c>
      <c r="AU31" s="224" t="str">
        <f>A31</f>
        <v>Patrick</v>
      </c>
      <c r="AV31" s="432" t="str">
        <f ca="1">IF(T31=1,SUM(BB$5:BB$27),"")</f>
        <v/>
      </c>
      <c r="AW31" s="432" t="str">
        <f ca="1">IF(U31=1,SUM(BC$7:BC$27),"")</f>
        <v/>
      </c>
      <c r="AX31" s="432" t="str">
        <f ca="1">IF(V31=1,SUM(BD$9:BD$27),"")</f>
        <v/>
      </c>
      <c r="AY31" s="432" t="str">
        <f ca="1">IF(W31=1,SUM(BE$11:BE$27),"")</f>
        <v/>
      </c>
      <c r="BB31" s="224"/>
      <c r="BI31" s="224" t="str">
        <f ca="1">IF(AV31=AV29,"",AV$3)</f>
        <v/>
      </c>
    </row>
    <row r="32" spans="1:72" hidden="1" x14ac:dyDescent="0.25">
      <c r="A32" s="278"/>
      <c r="B32" s="283"/>
      <c r="C32" s="284"/>
      <c r="D32" s="283"/>
      <c r="E32" s="284"/>
      <c r="F32" s="287"/>
      <c r="G32" s="284"/>
      <c r="H32" s="353"/>
      <c r="I32" s="296"/>
      <c r="J32" s="291"/>
      <c r="K32" s="294"/>
      <c r="M32" s="312"/>
      <c r="N32" s="312"/>
      <c r="O32" s="312"/>
      <c r="P32" s="322"/>
      <c r="Q32" s="312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  <c r="AD32" s="224"/>
      <c r="AE32" s="224"/>
      <c r="AF32" s="224"/>
      <c r="AG32" s="224"/>
      <c r="AH32" s="224"/>
      <c r="AI32" s="224"/>
      <c r="AN32" s="323"/>
      <c r="AO32" s="323"/>
      <c r="AP32" s="323"/>
      <c r="AQ32" s="323"/>
      <c r="AR32" s="323"/>
      <c r="AS32" s="323"/>
      <c r="BB32" s="224"/>
    </row>
    <row r="33" spans="1:54" x14ac:dyDescent="0.25">
      <c r="A33" s="278" t="str">
        <f>Setup!B30</f>
        <v>Brian S</v>
      </c>
      <c r="B33" s="283">
        <f>Points!B30</f>
        <v>6</v>
      </c>
      <c r="C33" s="284">
        <f>RANK(B33,B$5:B$36,0)</f>
        <v>4</v>
      </c>
      <c r="D33" s="283">
        <f ca="1">D$3*SUM(Points!B30:C30)</f>
        <v>11</v>
      </c>
      <c r="E33" s="284">
        <f ca="1">RANK(D33,D$5:D$36,0)</f>
        <v>8</v>
      </c>
      <c r="F33" s="287">
        <f ca="1">F$3*SUM(Points!B30:D30)</f>
        <v>18</v>
      </c>
      <c r="G33" s="284">
        <f ca="1">RANK(F33,F$5:F$36,0)</f>
        <v>6</v>
      </c>
      <c r="H33" s="353">
        <f ca="1">H$3*SUM(Points!B30:E30)</f>
        <v>18</v>
      </c>
      <c r="I33" s="296">
        <f ca="1">RANK(H33,H$5:H$36,0)</f>
        <v>9</v>
      </c>
      <c r="J33" s="291" t="str">
        <f ca="1">IF(ISNUMBER(FIND("Winner",Points!AY30)),"Winner",IF(ISNUMBER(FIND("2nd Place",Points!AZ30)),"2nd Place",IF(ISNUMBER(FIND("3rd Place",Points!BA30)),"3rd Place",IF(ISNUMBER(FIND("4th Place",Points!BB30)),"4th Place",""))))</f>
        <v/>
      </c>
      <c r="K33" s="294">
        <f ca="1">Results!B69</f>
        <v>20</v>
      </c>
      <c r="M33" s="312">
        <f>B33</f>
        <v>6</v>
      </c>
      <c r="N33" s="312">
        <f ca="1">IF(D$37=0,M33,D33)</f>
        <v>11</v>
      </c>
      <c r="O33" s="312">
        <f ca="1">IF(F$37=0,N33,F33)</f>
        <v>18</v>
      </c>
      <c r="P33" s="322">
        <f ca="1">IF(H$37=0,O33,H33)</f>
        <v>18</v>
      </c>
      <c r="Q33" s="312">
        <f ca="1">P33</f>
        <v>18</v>
      </c>
      <c r="R33" s="224">
        <f ca="1">RANK(Q33,Q$5:Q$36,0)</f>
        <v>9</v>
      </c>
      <c r="S33" s="224">
        <f ca="1">SUM(Z33:AS33)</f>
        <v>15</v>
      </c>
      <c r="T33" s="224" t="str">
        <f ca="1">IF($R33=$Y$5,1,"")</f>
        <v/>
      </c>
      <c r="U33" s="224" t="str">
        <f ca="1">IF($R33=$Y$7,1,"")</f>
        <v/>
      </c>
      <c r="V33" s="224" t="str">
        <f ca="1">IF($R33=$Y$9,1,"")</f>
        <v/>
      </c>
      <c r="W33" s="224" t="str">
        <f ca="1">IF($R33=$Y$11,1,"")</f>
        <v/>
      </c>
      <c r="X33" s="224"/>
      <c r="Y33" s="224">
        <v>15</v>
      </c>
      <c r="Z33" s="224" t="str">
        <f ca="1">IF(Z$4&gt;=$Y33,Z$3,"")</f>
        <v/>
      </c>
      <c r="AA33" s="224" t="str">
        <f ca="1">IF(AA$4&gt;$Y29,AA$3,"")</f>
        <v/>
      </c>
      <c r="AB33" s="224" t="str">
        <f ca="1">IF(AB$4&gt;$Y27,AB$3,"")</f>
        <v/>
      </c>
      <c r="AC33" s="224" t="str">
        <f ca="1">IF(AC$4&gt;$Y25,AC$3,"")</f>
        <v/>
      </c>
      <c r="AD33" s="224" t="str">
        <f ca="1">IF(AD$4&gt;$Y23,AD$3,"")</f>
        <v/>
      </c>
      <c r="AE33" s="224" t="str">
        <f ca="1">IF(AE$4&gt;$Y21,AE$3,"")</f>
        <v/>
      </c>
      <c r="AF33" s="224" t="str">
        <f ca="1">IF(AF$4&gt;$Y19,AF$3,"")</f>
        <v/>
      </c>
      <c r="AG33" s="224" t="str">
        <f ca="1">IF(AG$4&gt;$Y17,AG$3,"")</f>
        <v/>
      </c>
      <c r="AH33" s="224" t="str">
        <f ca="1">IF(AH$4&gt;$Y15,AH$3,"")</f>
        <v/>
      </c>
      <c r="AI33" s="224" t="str">
        <f ca="1">IF(AI$4&gt;$Y13,AI$3,"")</f>
        <v/>
      </c>
      <c r="AJ33" s="224" t="str">
        <f ca="1">IF(AJ$4&gt;$Y11,AJ$3,"")</f>
        <v/>
      </c>
      <c r="AK33" s="224" t="str">
        <f ca="1">IF(AK$4&gt;$Y9,AK$3,"")</f>
        <v/>
      </c>
      <c r="AL33" s="224" t="str">
        <f ca="1">IF(AL$4&gt;$Y7,AL$3,"")</f>
        <v/>
      </c>
      <c r="AM33" s="224" t="str">
        <f ca="1">IF(AM$4&gt;$Y5,AM$3,"")</f>
        <v/>
      </c>
      <c r="AN33" s="224">
        <f ca="1">IF(AN$4&gt;$Y$4,AN$3,"")</f>
        <v>15</v>
      </c>
      <c r="AO33" s="323"/>
      <c r="AP33" s="323"/>
      <c r="AQ33" s="323"/>
      <c r="AR33" s="323"/>
      <c r="AS33" s="323"/>
      <c r="AT33" s="224">
        <f ca="1">SUM(Z33:AS33)</f>
        <v>15</v>
      </c>
      <c r="AU33" s="224" t="str">
        <f>A33</f>
        <v>Brian S</v>
      </c>
      <c r="AV33" s="432" t="str">
        <f ca="1">IF(T33=1,SUM(BB$5:BB$27),"")</f>
        <v/>
      </c>
      <c r="AW33" s="432" t="str">
        <f ca="1">IF(U33=1,SUM(BC$7:BC$27),"")</f>
        <v/>
      </c>
      <c r="AX33" s="432" t="str">
        <f ca="1">IF(V33=1,SUM(BD$9:BD$27),"")</f>
        <v/>
      </c>
      <c r="AY33" s="432" t="str">
        <f ca="1">IF(W33=1,SUM(BE$11:BE$27),"")</f>
        <v/>
      </c>
      <c r="BB33" s="224"/>
    </row>
    <row r="34" spans="1:54" hidden="1" x14ac:dyDescent="0.25">
      <c r="A34" s="278"/>
      <c r="B34" s="283"/>
      <c r="C34" s="284"/>
      <c r="D34" s="283"/>
      <c r="E34" s="284"/>
      <c r="F34" s="287"/>
      <c r="G34" s="284"/>
      <c r="H34" s="353"/>
      <c r="I34" s="296"/>
      <c r="J34" s="291"/>
      <c r="K34" s="294"/>
      <c r="M34" s="312"/>
      <c r="N34" s="312"/>
      <c r="O34" s="312"/>
      <c r="P34" s="322"/>
      <c r="Q34" s="312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  <c r="AD34" s="224"/>
      <c r="AE34" s="224"/>
      <c r="AF34" s="224"/>
      <c r="AG34" s="224"/>
      <c r="AH34" s="224"/>
      <c r="AI34" s="224"/>
      <c r="AN34" s="323"/>
      <c r="AO34" s="323"/>
      <c r="AP34" s="323"/>
      <c r="AQ34" s="323"/>
      <c r="AR34" s="323"/>
      <c r="AS34" s="323"/>
      <c r="BB34" s="224"/>
    </row>
    <row r="35" spans="1:54" ht="15.75" thickBot="1" x14ac:dyDescent="0.3">
      <c r="A35" s="278" t="str">
        <f>Setup!B32</f>
        <v>Chris</v>
      </c>
      <c r="B35" s="283">
        <f>Points!B32</f>
        <v>2</v>
      </c>
      <c r="C35" s="284">
        <f>RANK(B35,B$5:B$36,0)</f>
        <v>10</v>
      </c>
      <c r="D35" s="283">
        <f ca="1">D$3*SUM(Points!B32:C32)</f>
        <v>8</v>
      </c>
      <c r="E35" s="284">
        <f ca="1">RANK(D35,D$5:D$36,0)</f>
        <v>12</v>
      </c>
      <c r="F35" s="287">
        <f ca="1">F$3*SUM(Points!B32:D32)</f>
        <v>12</v>
      </c>
      <c r="G35" s="284">
        <f ca="1">RANK(F35,F$5:F$36,0)</f>
        <v>12</v>
      </c>
      <c r="H35" s="353">
        <f ca="1">H$3*SUM(Points!B32:E32)</f>
        <v>12</v>
      </c>
      <c r="I35" s="296">
        <f ca="1">RANK(H35,H$5:H$36,0)</f>
        <v>12</v>
      </c>
      <c r="J35" s="291" t="str">
        <f ca="1">IF(ISNUMBER(FIND("Winner",Points!AY32)),"Winner",IF(ISNUMBER(FIND("2nd Place",Points!AZ32)),"2nd Place",IF(ISNUMBER(FIND("3rd Place",Points!BA32)),"3rd Place",IF(ISNUMBER(FIND("4th Place",Points!BB32)),"4th Place",""))))</f>
        <v/>
      </c>
      <c r="K35" s="294">
        <f ca="1">Results!B71</f>
        <v>60</v>
      </c>
      <c r="M35" s="312">
        <f>B35</f>
        <v>2</v>
      </c>
      <c r="N35" s="312">
        <f ca="1">IF(D$37=0,M35,D35)</f>
        <v>8</v>
      </c>
      <c r="O35" s="312">
        <f ca="1">IF(F$37=0,N35,F35)</f>
        <v>12</v>
      </c>
      <c r="P35" s="322">
        <f ca="1">IF(H$37=0,O35,H35)</f>
        <v>12</v>
      </c>
      <c r="Q35" s="312">
        <f ca="1">P35</f>
        <v>12</v>
      </c>
      <c r="R35" s="224">
        <f ca="1">RANK(Q35,Q$5:Q$36,0)</f>
        <v>12</v>
      </c>
      <c r="S35" s="224">
        <f ca="1">SUM(Z35:AS35)</f>
        <v>16</v>
      </c>
      <c r="T35" s="224" t="str">
        <f ca="1">IF($R35=$Y$5,1,"")</f>
        <v/>
      </c>
      <c r="U35" s="224" t="str">
        <f ca="1">IF($R35=$Y$7,1,"")</f>
        <v/>
      </c>
      <c r="V35" s="224" t="str">
        <f ca="1">IF($R35=$Y$9,1,"")</f>
        <v/>
      </c>
      <c r="W35" s="224" t="str">
        <f ca="1">IF($R35=$Y$11,1,"")</f>
        <v/>
      </c>
      <c r="X35" s="224"/>
      <c r="Y35" s="224">
        <v>16</v>
      </c>
      <c r="Z35" s="224" t="str">
        <f ca="1">IF(Z$4&gt;=$Y35,Z$3,"")</f>
        <v/>
      </c>
      <c r="AA35" s="224" t="str">
        <f ca="1">IF(AA$4&gt;$Y31,AA$3,"")</f>
        <v/>
      </c>
      <c r="AB35" s="224" t="str">
        <f ca="1">IF(AB$4&gt;$Y29,AB$3,"")</f>
        <v/>
      </c>
      <c r="AC35" s="224" t="str">
        <f ca="1">IF(AC$4&gt;$Y27,AC$3,"")</f>
        <v/>
      </c>
      <c r="AD35" s="224" t="str">
        <f ca="1">IF(AD$4&gt;$Y25,AD$3,"")</f>
        <v/>
      </c>
      <c r="AE35" s="224" t="str">
        <f ca="1">IF(AE$4&gt;$Y23,AE$3,"")</f>
        <v/>
      </c>
      <c r="AF35" s="224" t="str">
        <f ca="1">IF(AF$4&gt;$Y21,AF$3,"")</f>
        <v/>
      </c>
      <c r="AG35" s="224" t="str">
        <f ca="1">IF(AG$4&gt;$Y19,AG$3,"")</f>
        <v/>
      </c>
      <c r="AH35" s="224" t="str">
        <f ca="1">IF(AH$4&gt;$Y17,AH$3,"")</f>
        <v/>
      </c>
      <c r="AI35" s="224" t="str">
        <f ca="1">IF(AI$4&gt;$Y15,AI$3,"")</f>
        <v/>
      </c>
      <c r="AJ35" s="224" t="str">
        <f ca="1">IF(AJ$4&gt;$Y13,AJ$3,"")</f>
        <v/>
      </c>
      <c r="AK35" s="224" t="str">
        <f ca="1">IF(AK$4&gt;$Y11,AK$3,"")</f>
        <v/>
      </c>
      <c r="AL35" s="224" t="str">
        <f ca="1">IF(AL$4&gt;$Y9,AL$3,"")</f>
        <v/>
      </c>
      <c r="AM35" s="224" t="str">
        <f ca="1">IF(AM$4&gt;$Y7,AM$3,"")</f>
        <v/>
      </c>
      <c r="AN35" s="224" t="str">
        <f ca="1">IF(AN$4&gt;$Y5,AN$3,"")</f>
        <v/>
      </c>
      <c r="AO35" s="224">
        <f ca="1">IF(AO$4&gt;$Y$4,AO$3,"")</f>
        <v>16</v>
      </c>
      <c r="AP35" s="323"/>
      <c r="AQ35" s="323"/>
      <c r="AR35" s="323"/>
      <c r="AS35" s="323"/>
      <c r="AT35" s="224">
        <f ca="1">SUM(Z35:AS35)</f>
        <v>16</v>
      </c>
      <c r="AU35" s="224" t="str">
        <f>A35</f>
        <v>Chris</v>
      </c>
      <c r="AV35" s="432" t="str">
        <f ca="1">IF(T35=1,SUM(BB$5:BB$27),"")</f>
        <v/>
      </c>
      <c r="AW35" s="432" t="str">
        <f ca="1">IF(U35=1,SUM(BC$7:BC$27),"")</f>
        <v/>
      </c>
      <c r="AX35" s="432" t="str">
        <f ca="1">IF(V35=1,SUM(BD$9:BD$27),"")</f>
        <v/>
      </c>
      <c r="AY35" s="432" t="str">
        <f ca="1">IF(W35=1,SUM(BE$11:BE$27),"")</f>
        <v/>
      </c>
      <c r="BB35" s="224"/>
    </row>
    <row r="36" spans="1:54" ht="15.75" hidden="1" thickBot="1" x14ac:dyDescent="0.3">
      <c r="A36" s="278"/>
      <c r="B36" s="283"/>
      <c r="C36" s="284"/>
      <c r="D36" s="283"/>
      <c r="E36" s="284"/>
      <c r="F36" s="287"/>
      <c r="G36" s="284"/>
      <c r="H36" s="353"/>
      <c r="I36" s="296"/>
      <c r="J36" s="291"/>
      <c r="K36" s="760"/>
      <c r="M36" s="312"/>
      <c r="N36" s="312"/>
      <c r="O36" s="312"/>
      <c r="P36" s="322"/>
      <c r="Q36" s="312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  <c r="AD36" s="224"/>
      <c r="AE36" s="224"/>
      <c r="AF36" s="224"/>
      <c r="AG36" s="224"/>
      <c r="AH36" s="224"/>
      <c r="AI36" s="224"/>
      <c r="AN36" s="564"/>
      <c r="AO36" s="564"/>
      <c r="AP36" s="323"/>
      <c r="AQ36" s="323"/>
      <c r="AR36" s="323"/>
      <c r="AS36" s="323"/>
      <c r="BB36" s="224"/>
    </row>
    <row r="37" spans="1:54" ht="15.75" thickBot="1" x14ac:dyDescent="0.3">
      <c r="A37" s="279" t="s">
        <v>14</v>
      </c>
      <c r="B37" s="285">
        <f>SUM(B5:B36)</f>
        <v>64</v>
      </c>
      <c r="C37" s="129"/>
      <c r="D37" s="285">
        <f ca="1">SUM(D5:D36)</f>
        <v>160</v>
      </c>
      <c r="E37" s="129"/>
      <c r="F37" s="285">
        <f ca="1">SUM(F5:F36)</f>
        <v>248</v>
      </c>
      <c r="G37" s="129"/>
      <c r="H37" s="350">
        <f ca="1">SUM(H5:H36)</f>
        <v>303.75</v>
      </c>
      <c r="I37" s="349"/>
      <c r="J37" s="269"/>
      <c r="K37" s="761">
        <f ca="1">SUM(K5:K36)</f>
        <v>1600</v>
      </c>
    </row>
    <row r="39" spans="1:54" x14ac:dyDescent="0.25">
      <c r="M39"/>
      <c r="N39"/>
      <c r="O39"/>
      <c r="P39"/>
      <c r="Q39"/>
    </row>
    <row r="40" spans="1:54" ht="27" thickBot="1" x14ac:dyDescent="0.3">
      <c r="A40" s="1" t="s">
        <v>43</v>
      </c>
      <c r="B40" s="2" t="s">
        <v>44</v>
      </c>
      <c r="C40" s="97" t="str">
        <f>Setup!E41</f>
        <v>Long Drive</v>
      </c>
      <c r="D40" s="97" t="str">
        <f>Setup!E42</f>
        <v>Closest to Pin</v>
      </c>
      <c r="E40" s="97" t="str">
        <f>Setup!E43</f>
        <v>Long Putt</v>
      </c>
      <c r="F40" s="97" t="str">
        <f>Setup!E44</f>
        <v>Secret Snowman</v>
      </c>
      <c r="G40" s="97" t="str">
        <f>Setup!E45</f>
        <v>Closest to Pin</v>
      </c>
      <c r="H40" s="97" t="s">
        <v>125</v>
      </c>
      <c r="I40" s="96"/>
    </row>
    <row r="41" spans="1:54" x14ac:dyDescent="0.25">
      <c r="A41" s="47" t="str">
        <f>Points!A2</f>
        <v>Mil</v>
      </c>
      <c r="B41" s="170" t="str">
        <f t="shared" ref="B41:B67" ca="1" si="1">IF(SUM(C41:H41)&gt;0,SUM(C41:H41),"")</f>
        <v/>
      </c>
      <c r="C41" s="168">
        <f>SUM('Day 1 - Match 1:Day 4 - Back 9'!P6)*Setup!F$41</f>
        <v>0</v>
      </c>
      <c r="D41" s="141">
        <f>SUM('Day 1 - Match 1:Day 4 - Back 9'!Q6)*Setup!F$42</f>
        <v>0</v>
      </c>
      <c r="E41" s="141">
        <f>SUM('Day 1 - Match 1:Day 4 - Back 9'!R6)*Setup!F$43</f>
        <v>0</v>
      </c>
      <c r="F41" s="141">
        <f>SUM('Day 1 - Match 1:Day 4 - Back 9'!AA6)</f>
        <v>0</v>
      </c>
      <c r="G41" s="565">
        <f>SUM('Day 1 - Match 1:Day 4 - Back 9'!T6)*Setup!F$45</f>
        <v>0</v>
      </c>
      <c r="H41" s="567">
        <f ca="1">SUM(Points!AU2:AX2)</f>
        <v>0</v>
      </c>
      <c r="I41" s="96"/>
    </row>
    <row r="42" spans="1:54" hidden="1" x14ac:dyDescent="0.25">
      <c r="A42" s="48">
        <f>Points!A3</f>
        <v>0</v>
      </c>
      <c r="B42" s="171" t="str">
        <f t="shared" si="1"/>
        <v/>
      </c>
      <c r="C42" s="169">
        <f>SUM('Day 1 - Match 1:Day 4 - Back 9'!P7)*Setup!F$41</f>
        <v>0</v>
      </c>
      <c r="D42" s="140">
        <f>SUM('Day 1 - Match 1:Day 4 - Back 9'!Q7)*Setup!F$42</f>
        <v>0</v>
      </c>
      <c r="E42" s="140">
        <f>SUM('Day 1 - Match 1:Day 4 - Back 9'!R7)*Setup!F$43</f>
        <v>0</v>
      </c>
      <c r="F42" s="140">
        <f>SUM('Day 1 - Match 1:Day 4 - Back 9'!AA7)</f>
        <v>0</v>
      </c>
      <c r="G42" s="566">
        <f>SUM('Day 1 - Match 1:Day 4 - Back 9'!T7)*Setup!F$45</f>
        <v>0</v>
      </c>
      <c r="H42" s="568"/>
      <c r="I42" s="96"/>
    </row>
    <row r="43" spans="1:54" x14ac:dyDescent="0.25">
      <c r="A43" s="48" t="str">
        <f>Points!A4</f>
        <v>John</v>
      </c>
      <c r="B43" s="171">
        <f t="shared" ca="1" si="1"/>
        <v>720</v>
      </c>
      <c r="C43" s="169">
        <f>SUM('Day 1 - Match 1:Day 4 - Back 9'!P8)*Setup!F$41</f>
        <v>0</v>
      </c>
      <c r="D43" s="140">
        <f>SUM('Day 1 - Match 1:Day 4 - Back 9'!Q8)*Setup!F$42</f>
        <v>20</v>
      </c>
      <c r="E43" s="140">
        <f>SUM('Day 1 - Match 1:Day 4 - Back 9'!R8)*Setup!F$43</f>
        <v>0</v>
      </c>
      <c r="F43" s="140">
        <f>SUM('Day 1 - Match 1:Day 4 - Back 9'!AA8)</f>
        <v>0</v>
      </c>
      <c r="G43" s="566">
        <f>SUM('Day 1 - Match 1:Day 4 - Back 9'!T8)*Setup!F$45</f>
        <v>0</v>
      </c>
      <c r="H43" s="568">
        <f ca="1">SUM(Points!AU4:AX4)</f>
        <v>700</v>
      </c>
      <c r="I43" s="96"/>
    </row>
    <row r="44" spans="1:54" hidden="1" x14ac:dyDescent="0.25">
      <c r="A44" s="48">
        <f>Points!A5</f>
        <v>0</v>
      </c>
      <c r="B44" s="171" t="str">
        <f t="shared" si="1"/>
        <v/>
      </c>
      <c r="C44" s="169">
        <f>SUM('Day 1 - Match 1:Day 4 - Back 9'!P9)*Setup!F$41</f>
        <v>0</v>
      </c>
      <c r="D44" s="140">
        <f>SUM('Day 1 - Match 1:Day 4 - Back 9'!Q9)*Setup!F$42</f>
        <v>0</v>
      </c>
      <c r="E44" s="140">
        <f>SUM('Day 1 - Match 1:Day 4 - Back 9'!R9)*Setup!F$43</f>
        <v>0</v>
      </c>
      <c r="F44" s="140">
        <f>SUM('Day 1 - Match 1:Day 4 - Back 9'!AA9)</f>
        <v>0</v>
      </c>
      <c r="G44" s="566">
        <f>SUM('Day 1 - Match 1:Day 4 - Back 9'!T9)*Setup!F$45</f>
        <v>0</v>
      </c>
      <c r="H44" s="568"/>
      <c r="I44" s="96"/>
    </row>
    <row r="45" spans="1:54" x14ac:dyDescent="0.25">
      <c r="A45" s="48" t="str">
        <f>Points!A6</f>
        <v>Brian P</v>
      </c>
      <c r="B45" s="171">
        <f t="shared" ca="1" si="1"/>
        <v>170</v>
      </c>
      <c r="C45" s="169">
        <f>SUM('Day 1 - Match 1:Day 4 - Back 9'!P10)*Setup!F$41</f>
        <v>0</v>
      </c>
      <c r="D45" s="140">
        <f>SUM('Day 1 - Match 1:Day 4 - Back 9'!Q10)*Setup!F$42</f>
        <v>0</v>
      </c>
      <c r="E45" s="140">
        <f>SUM('Day 1 - Match 1:Day 4 - Back 9'!R10)*Setup!F$43</f>
        <v>0</v>
      </c>
      <c r="F45" s="140">
        <f>SUM('Day 1 - Match 1:Day 4 - Back 9'!AA10)</f>
        <v>20</v>
      </c>
      <c r="G45" s="566">
        <f>SUM('Day 1 - Match 1:Day 4 - Back 9'!T10)*Setup!F$45</f>
        <v>0</v>
      </c>
      <c r="H45" s="568">
        <f ca="1">SUM(Points!AU6:AX6)</f>
        <v>150</v>
      </c>
      <c r="I45" s="96"/>
    </row>
    <row r="46" spans="1:54" hidden="1" x14ac:dyDescent="0.25">
      <c r="A46" s="48">
        <f>Points!A7</f>
        <v>0</v>
      </c>
      <c r="B46" s="171" t="str">
        <f t="shared" si="1"/>
        <v/>
      </c>
      <c r="C46" s="169">
        <f>SUM('Day 1 - Match 1:Day 4 - Back 9'!P11)*Setup!F$41</f>
        <v>0</v>
      </c>
      <c r="D46" s="140">
        <f>SUM('Day 1 - Match 1:Day 4 - Back 9'!Q11)*Setup!F$42</f>
        <v>0</v>
      </c>
      <c r="E46" s="140">
        <f>SUM('Day 1 - Match 1:Day 4 - Back 9'!R11)*Setup!F$43</f>
        <v>0</v>
      </c>
      <c r="F46" s="140">
        <f>SUM('Day 1 - Match 1:Day 4 - Back 9'!AA11)</f>
        <v>0</v>
      </c>
      <c r="G46" s="566">
        <f>SUM('Day 1 - Match 1:Day 4 - Back 9'!T11)*Setup!F$45</f>
        <v>0</v>
      </c>
      <c r="H46" s="568"/>
      <c r="I46" s="96"/>
    </row>
    <row r="47" spans="1:54" x14ac:dyDescent="0.25">
      <c r="A47" s="48" t="str">
        <f>Points!A8</f>
        <v xml:space="preserve">Pat </v>
      </c>
      <c r="B47" s="171">
        <f t="shared" ca="1" si="1"/>
        <v>40</v>
      </c>
      <c r="C47" s="169">
        <f>SUM('Day 1 - Match 1:Day 4 - Back 9'!P12)*Setup!F$41</f>
        <v>40</v>
      </c>
      <c r="D47" s="140">
        <f>SUM('Day 1 - Match 1:Day 4 - Back 9'!Q12)*Setup!F$42</f>
        <v>0</v>
      </c>
      <c r="E47" s="140">
        <f>SUM('Day 1 - Match 1:Day 4 - Back 9'!R12)*Setup!F$43</f>
        <v>0</v>
      </c>
      <c r="F47" s="140">
        <f>SUM('Day 1 - Match 1:Day 4 - Back 9'!AA12)</f>
        <v>0</v>
      </c>
      <c r="G47" s="566">
        <f>SUM('Day 1 - Match 1:Day 4 - Back 9'!T12)*Setup!F$45</f>
        <v>0</v>
      </c>
      <c r="H47" s="568">
        <f ca="1">SUM(Points!AU8:AX8)</f>
        <v>0</v>
      </c>
      <c r="I47" s="96"/>
    </row>
    <row r="48" spans="1:54" hidden="1" x14ac:dyDescent="0.25">
      <c r="A48" s="48">
        <f>Points!A9</f>
        <v>0</v>
      </c>
      <c r="B48" s="171" t="str">
        <f t="shared" si="1"/>
        <v/>
      </c>
      <c r="C48" s="169">
        <f>SUM('Day 1 - Match 1:Day 4 - Back 9'!P13)*Setup!F$41</f>
        <v>0</v>
      </c>
      <c r="D48" s="140">
        <f>SUM('Day 1 - Match 1:Day 4 - Back 9'!Q13)*Setup!F$42</f>
        <v>0</v>
      </c>
      <c r="E48" s="140">
        <f>SUM('Day 1 - Match 1:Day 4 - Back 9'!R13)*Setup!F$43</f>
        <v>0</v>
      </c>
      <c r="F48" s="140">
        <f>SUM('Day 1 - Match 1:Day 4 - Back 9'!AA13)</f>
        <v>0</v>
      </c>
      <c r="G48" s="566">
        <f>SUM('Day 1 - Match 1:Day 4 - Back 9'!T13)*Setup!F$45</f>
        <v>0</v>
      </c>
      <c r="H48" s="568"/>
      <c r="I48" s="96"/>
    </row>
    <row r="49" spans="1:9" x14ac:dyDescent="0.25">
      <c r="A49" s="48" t="str">
        <f>Points!A10</f>
        <v>Rick</v>
      </c>
      <c r="B49" s="171">
        <f t="shared" ca="1" si="1"/>
        <v>20</v>
      </c>
      <c r="C49" s="169">
        <f>SUM('Day 1 - Match 1:Day 4 - Back 9'!P14)*Setup!F$41</f>
        <v>0</v>
      </c>
      <c r="D49" s="140">
        <f>SUM('Day 1 - Match 1:Day 4 - Back 9'!Q14)*Setup!F$42</f>
        <v>0</v>
      </c>
      <c r="E49" s="140">
        <f>SUM('Day 1 - Match 1:Day 4 - Back 9'!R14)*Setup!F$43</f>
        <v>20</v>
      </c>
      <c r="F49" s="140">
        <f>SUM('Day 1 - Match 1:Day 4 - Back 9'!AA14)</f>
        <v>0</v>
      </c>
      <c r="G49" s="566">
        <f>SUM('Day 1 - Match 1:Day 4 - Back 9'!T14)*Setup!F$45</f>
        <v>0</v>
      </c>
      <c r="H49" s="568">
        <f ca="1">SUM(Points!AU10:AX10)</f>
        <v>0</v>
      </c>
      <c r="I49" s="96"/>
    </row>
    <row r="50" spans="1:9" hidden="1" x14ac:dyDescent="0.25">
      <c r="A50" s="48">
        <f>Points!A11</f>
        <v>0</v>
      </c>
      <c r="B50" s="171" t="str">
        <f t="shared" si="1"/>
        <v/>
      </c>
      <c r="C50" s="169">
        <f>SUM('Day 1 - Match 1:Day 4 - Back 9'!P15)*Setup!F$41</f>
        <v>0</v>
      </c>
      <c r="D50" s="140">
        <f>SUM('Day 1 - Match 1:Day 4 - Back 9'!Q15)*Setup!F$42</f>
        <v>0</v>
      </c>
      <c r="E50" s="140">
        <f>SUM('Day 1 - Match 1:Day 4 - Back 9'!R15)*Setup!F$43</f>
        <v>0</v>
      </c>
      <c r="F50" s="140">
        <f>SUM('Day 1 - Match 1:Day 4 - Back 9'!AA15)</f>
        <v>0</v>
      </c>
      <c r="G50" s="566">
        <f>SUM('Day 1 - Match 1:Day 4 - Back 9'!T15)*Setup!F$45</f>
        <v>0</v>
      </c>
      <c r="H50" s="568"/>
      <c r="I50" s="96"/>
    </row>
    <row r="51" spans="1:9" x14ac:dyDescent="0.25">
      <c r="A51" s="48" t="str">
        <f>Points!A12</f>
        <v>Keith</v>
      </c>
      <c r="B51" s="388">
        <f t="shared" ca="1" si="1"/>
        <v>20</v>
      </c>
      <c r="C51" s="169">
        <f>SUM('Day 1 - Match 1:Day 4 - Back 9'!P16)*Setup!F$41</f>
        <v>20</v>
      </c>
      <c r="D51" s="140">
        <f>SUM('Day 1 - Match 1:Day 4 - Back 9'!Q16)*Setup!F$42</f>
        <v>0</v>
      </c>
      <c r="E51" s="140">
        <f>SUM('Day 1 - Match 1:Day 4 - Back 9'!R16)*Setup!F$43</f>
        <v>0</v>
      </c>
      <c r="F51" s="140">
        <f>SUM('Day 1 - Match 1:Day 4 - Back 9'!AA16)</f>
        <v>0</v>
      </c>
      <c r="G51" s="566">
        <f>SUM('Day 1 - Match 1:Day 4 - Back 9'!T16)*Setup!F$45</f>
        <v>0</v>
      </c>
      <c r="H51" s="568">
        <f ca="1">SUM(Points!AU12:AX12)</f>
        <v>0</v>
      </c>
      <c r="I51" s="96"/>
    </row>
    <row r="52" spans="1:9" hidden="1" x14ac:dyDescent="0.25">
      <c r="A52" s="48">
        <f>Points!A13</f>
        <v>0</v>
      </c>
      <c r="B52" s="171" t="str">
        <f t="shared" si="1"/>
        <v/>
      </c>
      <c r="C52" s="169">
        <f>SUM('Day 1 - Match 1:Day 4 - Back 9'!P17)*Setup!F$41</f>
        <v>0</v>
      </c>
      <c r="D52" s="140">
        <f>SUM('Day 1 - Match 1:Day 4 - Back 9'!Q17)*Setup!F$42</f>
        <v>0</v>
      </c>
      <c r="E52" s="140">
        <f>SUM('Day 1 - Match 1:Day 4 - Back 9'!R17)*Setup!F$43</f>
        <v>0</v>
      </c>
      <c r="F52" s="140">
        <f>SUM('Day 1 - Match 1:Day 4 - Back 9'!AA17)</f>
        <v>0</v>
      </c>
      <c r="G52" s="566">
        <f>SUM('Day 1 - Match 1:Day 4 - Back 9'!T17)*Setup!F$45</f>
        <v>0</v>
      </c>
      <c r="H52" s="568"/>
      <c r="I52" s="96"/>
    </row>
    <row r="53" spans="1:9" x14ac:dyDescent="0.25">
      <c r="A53" s="48" t="str">
        <f>Points!A14</f>
        <v>Tony W</v>
      </c>
      <c r="B53" s="171" t="str">
        <f t="shared" ca="1" si="1"/>
        <v/>
      </c>
      <c r="C53" s="169">
        <f>SUM('Day 1 - Match 1:Day 4 - Back 9'!P18)*Setup!F$41</f>
        <v>0</v>
      </c>
      <c r="D53" s="140">
        <f>SUM('Day 1 - Match 1:Day 4 - Back 9'!Q18)*Setup!F$42</f>
        <v>0</v>
      </c>
      <c r="E53" s="140">
        <f>SUM('Day 1 - Match 1:Day 4 - Back 9'!R18)*Setup!F$43</f>
        <v>0</v>
      </c>
      <c r="F53" s="140">
        <f>SUM('Day 1 - Match 1:Day 4 - Back 9'!AA18)</f>
        <v>0</v>
      </c>
      <c r="G53" s="566">
        <f>SUM('Day 1 - Match 1:Day 4 - Back 9'!T18)*Setup!F$45</f>
        <v>0</v>
      </c>
      <c r="H53" s="568">
        <f ca="1">SUM(Points!AU14:AX14)</f>
        <v>0</v>
      </c>
      <c r="I53" s="96"/>
    </row>
    <row r="54" spans="1:9" hidden="1" x14ac:dyDescent="0.25">
      <c r="A54" s="48">
        <f>Points!A15</f>
        <v>0</v>
      </c>
      <c r="B54" s="171" t="str">
        <f t="shared" si="1"/>
        <v/>
      </c>
      <c r="C54" s="169">
        <f>SUM('Day 1 - Match 1:Day 4 - Back 9'!P19)*Setup!F$41</f>
        <v>0</v>
      </c>
      <c r="D54" s="140">
        <f>SUM('Day 1 - Match 1:Day 4 - Back 9'!Q19)*Setup!F$42</f>
        <v>0</v>
      </c>
      <c r="E54" s="140">
        <f>SUM('Day 1 - Match 1:Day 4 - Back 9'!R19)*Setup!F$43</f>
        <v>0</v>
      </c>
      <c r="F54" s="140">
        <f>SUM('Day 1 - Match 1:Day 4 - Back 9'!AA19)</f>
        <v>0</v>
      </c>
      <c r="G54" s="566">
        <f>SUM('Day 1 - Match 1:Day 4 - Back 9'!T19)*Setup!F$45</f>
        <v>0</v>
      </c>
      <c r="H54" s="568"/>
      <c r="I54" s="96"/>
    </row>
    <row r="55" spans="1:9" x14ac:dyDescent="0.25">
      <c r="A55" s="48" t="str">
        <f>Points!A16</f>
        <v>Manny</v>
      </c>
      <c r="B55" s="171">
        <f t="shared" ca="1" si="1"/>
        <v>20</v>
      </c>
      <c r="C55" s="169">
        <f>SUM('Day 1 - Match 1:Day 4 - Back 9'!P20)*Setup!F$41</f>
        <v>0</v>
      </c>
      <c r="D55" s="140">
        <f>SUM('Day 1 - Match 1:Day 4 - Back 9'!Q20)*Setup!F$42</f>
        <v>0</v>
      </c>
      <c r="E55" s="140">
        <f>SUM('Day 1 - Match 1:Day 4 - Back 9'!R20)*Setup!F$43</f>
        <v>0</v>
      </c>
      <c r="F55" s="140">
        <f>SUM('Day 1 - Match 1:Day 4 - Back 9'!AA20)</f>
        <v>20</v>
      </c>
      <c r="G55" s="566">
        <f>SUM('Day 1 - Match 1:Day 4 - Back 9'!T20)*Setup!F$45</f>
        <v>0</v>
      </c>
      <c r="H55" s="568">
        <f ca="1">SUM(Points!AU16:AX16)</f>
        <v>0</v>
      </c>
      <c r="I55" s="96"/>
    </row>
    <row r="56" spans="1:9" hidden="1" x14ac:dyDescent="0.25">
      <c r="A56" s="48">
        <f>Points!A17</f>
        <v>0</v>
      </c>
      <c r="B56" s="171" t="str">
        <f t="shared" si="1"/>
        <v/>
      </c>
      <c r="C56" s="169">
        <f>SUM('Day 1 - Match 1:Day 4 - Back 9'!P21)*Setup!F$41</f>
        <v>0</v>
      </c>
      <c r="D56" s="140">
        <f>SUM('Day 1 - Match 1:Day 4 - Back 9'!Q21)*Setup!F$42</f>
        <v>0</v>
      </c>
      <c r="E56" s="140">
        <f>SUM('Day 1 - Match 1:Day 4 - Back 9'!R21)*Setup!F$43</f>
        <v>0</v>
      </c>
      <c r="F56" s="140">
        <f>SUM('Day 1 - Match 1:Day 4 - Back 9'!AA21)</f>
        <v>0</v>
      </c>
      <c r="G56" s="566">
        <f>SUM('Day 1 - Match 1:Day 4 - Back 9'!T21)*Setup!F$45</f>
        <v>0</v>
      </c>
      <c r="H56" s="568"/>
      <c r="I56" s="96"/>
    </row>
    <row r="57" spans="1:9" x14ac:dyDescent="0.25">
      <c r="A57" s="48" t="str">
        <f>Points!A18</f>
        <v>Tommy</v>
      </c>
      <c r="B57" s="171">
        <f t="shared" ca="1" si="1"/>
        <v>410</v>
      </c>
      <c r="C57" s="169">
        <f>SUM('Day 1 - Match 1:Day 4 - Back 9'!P22)*Setup!F$41</f>
        <v>40</v>
      </c>
      <c r="D57" s="140">
        <f>SUM('Day 1 - Match 1:Day 4 - Back 9'!Q22)*Setup!F$42</f>
        <v>20</v>
      </c>
      <c r="E57" s="140">
        <f>SUM('Day 1 - Match 1:Day 4 - Back 9'!R22)*Setup!F$43</f>
        <v>0</v>
      </c>
      <c r="F57" s="140">
        <f>SUM('Day 1 - Match 1:Day 4 - Back 9'!AA22)</f>
        <v>0</v>
      </c>
      <c r="G57" s="566">
        <f>SUM('Day 1 - Match 1:Day 4 - Back 9'!T22)*Setup!F$45</f>
        <v>0</v>
      </c>
      <c r="H57" s="568">
        <f ca="1">SUM(Points!AU18:AX18)</f>
        <v>350</v>
      </c>
      <c r="I57" s="96"/>
    </row>
    <row r="58" spans="1:9" hidden="1" x14ac:dyDescent="0.25">
      <c r="A58" s="48">
        <f>Points!A19</f>
        <v>0</v>
      </c>
      <c r="B58" s="171" t="str">
        <f t="shared" si="1"/>
        <v/>
      </c>
      <c r="C58" s="169">
        <f>SUM('Day 1 - Match 1:Day 4 - Back 9'!P23)*Setup!F$41</f>
        <v>0</v>
      </c>
      <c r="D58" s="140">
        <f>SUM('Day 1 - Match 1:Day 4 - Back 9'!Q23)*Setup!F$42</f>
        <v>0</v>
      </c>
      <c r="E58" s="140">
        <f>SUM('Day 1 - Match 1:Day 4 - Back 9'!R23)*Setup!F$43</f>
        <v>0</v>
      </c>
      <c r="F58" s="140">
        <f>SUM('Day 1 - Match 1:Day 4 - Back 9'!AA23)</f>
        <v>0</v>
      </c>
      <c r="G58" s="566">
        <f>SUM('Day 1 - Match 1:Day 4 - Back 9'!T23)*Setup!F$45</f>
        <v>0</v>
      </c>
      <c r="H58" s="568"/>
      <c r="I58" s="96"/>
    </row>
    <row r="59" spans="1:9" x14ac:dyDescent="0.25">
      <c r="A59" s="48" t="str">
        <f>Points!A20</f>
        <v>Dave</v>
      </c>
      <c r="B59" s="171">
        <f t="shared" ca="1" si="1"/>
        <v>20</v>
      </c>
      <c r="C59" s="169">
        <f>SUM('Day 1 - Match 1:Day 4 - Back 9'!P24)*Setup!F$41</f>
        <v>0</v>
      </c>
      <c r="D59" s="140">
        <f>SUM('Day 1 - Match 1:Day 4 - Back 9'!Q24)*Setup!F$42</f>
        <v>0</v>
      </c>
      <c r="E59" s="140">
        <f>SUM('Day 1 - Match 1:Day 4 - Back 9'!R24)*Setup!F$43</f>
        <v>20</v>
      </c>
      <c r="F59" s="140">
        <f>SUM('Day 1 - Match 1:Day 4 - Back 9'!AA24)</f>
        <v>0</v>
      </c>
      <c r="G59" s="566">
        <f>SUM('Day 1 - Match 1:Day 4 - Back 9'!T24)*Setup!F$45</f>
        <v>0</v>
      </c>
      <c r="H59" s="568">
        <f ca="1">SUM(Points!AU20:AX20)</f>
        <v>0</v>
      </c>
      <c r="I59" s="96"/>
    </row>
    <row r="60" spans="1:9" hidden="1" x14ac:dyDescent="0.25">
      <c r="A60" s="48">
        <f>Points!A21</f>
        <v>0</v>
      </c>
      <c r="B60" s="171" t="str">
        <f t="shared" si="1"/>
        <v/>
      </c>
      <c r="C60" s="169">
        <f>SUM('Day 1 - Match 1:Day 4 - Back 9'!P25)*Setup!F$41</f>
        <v>0</v>
      </c>
      <c r="D60" s="140">
        <f>SUM('Day 1 - Match 1:Day 4 - Back 9'!Q25)*Setup!F$42</f>
        <v>0</v>
      </c>
      <c r="E60" s="140">
        <f>SUM('Day 1 - Match 1:Day 4 - Back 9'!R25)*Setup!F$43</f>
        <v>0</v>
      </c>
      <c r="F60" s="140">
        <f>SUM('Day 1 - Match 1:Day 4 - Back 9'!AA25)</f>
        <v>0</v>
      </c>
      <c r="G60" s="566">
        <f>SUM('Day 1 - Match 1:Day 4 - Back 9'!T25)*Setup!F$45</f>
        <v>0</v>
      </c>
      <c r="H60" s="568"/>
      <c r="I60" s="96"/>
    </row>
    <row r="61" spans="1:9" x14ac:dyDescent="0.25">
      <c r="A61" s="48" t="str">
        <f>Points!A22</f>
        <v>Hunter</v>
      </c>
      <c r="B61" s="171">
        <f t="shared" ca="1" si="1"/>
        <v>20</v>
      </c>
      <c r="C61" s="169">
        <f>SUM('Day 1 - Match 1:Day 4 - Back 9'!P26)*Setup!F$41</f>
        <v>0</v>
      </c>
      <c r="D61" s="140">
        <f>SUM('Day 1 - Match 1:Day 4 - Back 9'!Q26)*Setup!F$42</f>
        <v>20</v>
      </c>
      <c r="E61" s="140">
        <f>SUM('Day 1 - Match 1:Day 4 - Back 9'!R26)*Setup!F$43</f>
        <v>0</v>
      </c>
      <c r="F61" s="140">
        <f>SUM('Day 1 - Match 1:Day 4 - Back 9'!AA26)</f>
        <v>0</v>
      </c>
      <c r="G61" s="566">
        <f>SUM('Day 1 - Match 1:Day 4 - Back 9'!T26)*Setup!F$45</f>
        <v>0</v>
      </c>
      <c r="H61" s="568">
        <f ca="1">SUM(Points!AU22:AX22)</f>
        <v>0</v>
      </c>
      <c r="I61" s="96"/>
    </row>
    <row r="62" spans="1:9" hidden="1" x14ac:dyDescent="0.25">
      <c r="A62" s="48">
        <f>Points!A23</f>
        <v>0</v>
      </c>
      <c r="B62" s="171" t="str">
        <f t="shared" si="1"/>
        <v/>
      </c>
      <c r="C62" s="169">
        <f>SUM('Day 1 - Match 1:Day 4 - Back 9'!P27)*Setup!F$41</f>
        <v>0</v>
      </c>
      <c r="D62" s="140">
        <f>SUM('Day 1 - Match 1:Day 4 - Back 9'!Q27)*Setup!F$42</f>
        <v>0</v>
      </c>
      <c r="E62" s="140">
        <f>SUM('Day 1 - Match 1:Day 4 - Back 9'!R27)*Setup!F$43</f>
        <v>0</v>
      </c>
      <c r="F62" s="140">
        <f>SUM('Day 1 - Match 1:Day 4 - Back 9'!AA27)</f>
        <v>0</v>
      </c>
      <c r="G62" s="566">
        <f>SUM('Day 1 - Match 1:Day 4 - Back 9'!T27)*Setup!F$45</f>
        <v>0</v>
      </c>
      <c r="H62" s="568"/>
      <c r="I62" s="96"/>
    </row>
    <row r="63" spans="1:9" x14ac:dyDescent="0.25">
      <c r="A63" s="48" t="str">
        <f>Points!A24</f>
        <v>Gerald C</v>
      </c>
      <c r="B63" s="171">
        <f t="shared" ca="1" si="1"/>
        <v>20</v>
      </c>
      <c r="C63" s="169">
        <f>SUM('Day 1 - Match 1:Day 4 - Back 9'!P28)*Setup!F$41</f>
        <v>0</v>
      </c>
      <c r="D63" s="140">
        <f>SUM('Day 1 - Match 1:Day 4 - Back 9'!Q28)*Setup!F$42</f>
        <v>0</v>
      </c>
      <c r="E63" s="140">
        <f>SUM('Day 1 - Match 1:Day 4 - Back 9'!R28)*Setup!F$43</f>
        <v>0</v>
      </c>
      <c r="F63" s="140">
        <f>SUM('Day 1 - Match 1:Day 4 - Back 9'!AA28)</f>
        <v>20</v>
      </c>
      <c r="G63" s="566">
        <f>SUM('Day 1 - Match 1:Day 4 - Back 9'!T28)*Setup!F$45</f>
        <v>0</v>
      </c>
      <c r="H63" s="568">
        <f ca="1">SUM(Points!AU24:AX24)</f>
        <v>0</v>
      </c>
      <c r="I63" s="96"/>
    </row>
    <row r="64" spans="1:9" hidden="1" x14ac:dyDescent="0.25">
      <c r="A64" s="48">
        <f>Points!A25</f>
        <v>0</v>
      </c>
      <c r="B64" s="171" t="str">
        <f t="shared" si="1"/>
        <v/>
      </c>
      <c r="C64" s="169">
        <f>SUM('Day 1 - Match 1:Day 4 - Back 9'!P29)*Setup!F$41</f>
        <v>0</v>
      </c>
      <c r="D64" s="140">
        <f>SUM('Day 1 - Match 1:Day 4 - Back 9'!Q29)*Setup!F$42</f>
        <v>0</v>
      </c>
      <c r="E64" s="140">
        <f>SUM('Day 1 - Match 1:Day 4 - Back 9'!R29)*Setup!F$43</f>
        <v>0</v>
      </c>
      <c r="F64" s="140">
        <f>SUM('Day 1 - Match 1:Day 4 - Back 9'!AA29)</f>
        <v>0</v>
      </c>
      <c r="G64" s="566">
        <f>SUM('Day 1 - Match 1:Day 4 - Back 9'!T29)*Setup!F$45</f>
        <v>0</v>
      </c>
      <c r="H64" s="568"/>
      <c r="I64" s="96"/>
    </row>
    <row r="65" spans="1:9" x14ac:dyDescent="0.25">
      <c r="A65" s="48" t="str">
        <f>Points!A26</f>
        <v>Bob</v>
      </c>
      <c r="B65" s="171">
        <f t="shared" ca="1" si="1"/>
        <v>60</v>
      </c>
      <c r="C65" s="169">
        <f>SUM('Day 1 - Match 1:Day 4 - Back 9'!P30)*Setup!F$41</f>
        <v>0</v>
      </c>
      <c r="D65" s="140">
        <f>SUM('Day 1 - Match 1:Day 4 - Back 9'!Q30)*Setup!F$42</f>
        <v>20</v>
      </c>
      <c r="E65" s="140">
        <f>SUM('Day 1 - Match 1:Day 4 - Back 9'!R30)*Setup!F$43</f>
        <v>40</v>
      </c>
      <c r="F65" s="140">
        <f>SUM('Day 1 - Match 1:Day 4 - Back 9'!AA30)</f>
        <v>0</v>
      </c>
      <c r="G65" s="566">
        <f>SUM('Day 1 - Match 1:Day 4 - Back 9'!T30)*Setup!F$45</f>
        <v>0</v>
      </c>
      <c r="H65" s="568">
        <f ca="1">SUM(Points!AU26:AX26)</f>
        <v>0</v>
      </c>
      <c r="I65" s="96"/>
    </row>
    <row r="66" spans="1:9" hidden="1" x14ac:dyDescent="0.25">
      <c r="A66" s="48">
        <f>Points!A27</f>
        <v>0</v>
      </c>
      <c r="B66" s="171" t="str">
        <f t="shared" si="1"/>
        <v/>
      </c>
      <c r="C66" s="169">
        <f>SUM('Day 1 - Match 1:Day 4 - Back 9'!P31)*Setup!F$41</f>
        <v>0</v>
      </c>
      <c r="D66" s="140">
        <f>SUM('Day 1 - Match 1:Day 4 - Back 9'!Q31)*Setup!F$42</f>
        <v>0</v>
      </c>
      <c r="E66" s="140">
        <f>SUM('Day 1 - Match 1:Day 4 - Back 9'!R31)*Setup!F$43</f>
        <v>0</v>
      </c>
      <c r="F66" s="140">
        <f>SUM('Day 1 - Match 1:Day 4 - Back 9'!AA31)</f>
        <v>0</v>
      </c>
      <c r="G66" s="566">
        <f>SUM('Day 1 - Match 1:Day 4 - Back 9'!T31)*Setup!F$45</f>
        <v>0</v>
      </c>
      <c r="H66" s="568"/>
      <c r="I66" s="96"/>
    </row>
    <row r="67" spans="1:9" x14ac:dyDescent="0.25">
      <c r="A67" s="48" t="str">
        <f>Points!A28</f>
        <v>Patrick</v>
      </c>
      <c r="B67" s="171" t="str">
        <f t="shared" ca="1" si="1"/>
        <v/>
      </c>
      <c r="C67" s="169">
        <f>SUM('Day 1 - Match 1:Day 4 - Back 9'!P32)*Setup!F$41</f>
        <v>0</v>
      </c>
      <c r="D67" s="140">
        <f>SUM('Day 1 - Match 1:Day 4 - Back 9'!Q32)*Setup!F$42</f>
        <v>0</v>
      </c>
      <c r="E67" s="140">
        <f>SUM('Day 1 - Match 1:Day 4 - Back 9'!R32)*Setup!F$43</f>
        <v>0</v>
      </c>
      <c r="F67" s="140">
        <f>SUM('Day 1 - Match 1:Day 4 - Back 9'!AA32)</f>
        <v>0</v>
      </c>
      <c r="G67" s="566">
        <f>SUM('Day 1 - Match 1:Day 4 - Back 9'!T32)*Setup!F$45</f>
        <v>0</v>
      </c>
      <c r="H67" s="568">
        <f ca="1">SUM(Points!AU28:AX28)</f>
        <v>0</v>
      </c>
      <c r="I67" s="96"/>
    </row>
    <row r="68" spans="1:9" hidden="1" x14ac:dyDescent="0.25">
      <c r="A68" s="48"/>
      <c r="B68" s="171"/>
      <c r="C68" s="169"/>
      <c r="D68" s="140"/>
      <c r="E68" s="140"/>
      <c r="F68" s="140"/>
      <c r="G68" s="566"/>
      <c r="H68" s="568"/>
      <c r="I68" s="96"/>
    </row>
    <row r="69" spans="1:9" x14ac:dyDescent="0.25">
      <c r="A69" s="48" t="str">
        <f>Points!A30</f>
        <v>Brian S</v>
      </c>
      <c r="B69" s="171">
        <f ca="1">IF(SUM(C69:H69)&gt;0,SUM(C69:H69),"")</f>
        <v>20</v>
      </c>
      <c r="C69" s="169">
        <f>SUM('Day 1 - Match 1:Day 4 - Back 9'!P34)*Setup!F$41</f>
        <v>0</v>
      </c>
      <c r="D69" s="140">
        <f>SUM('Day 1 - Match 1:Day 4 - Back 9'!Q34)*Setup!F$42</f>
        <v>0</v>
      </c>
      <c r="E69" s="140">
        <f>SUM('Day 1 - Match 1:Day 4 - Back 9'!R34)*Setup!F$43</f>
        <v>0</v>
      </c>
      <c r="F69" s="140">
        <f>SUM('Day 1 - Match 1:Day 4 - Back 9'!AA34)</f>
        <v>20</v>
      </c>
      <c r="G69" s="566">
        <f>SUM('Day 1 - Match 1:Day 4 - Back 9'!T34)*Setup!F$45</f>
        <v>0</v>
      </c>
      <c r="H69" s="568">
        <f ca="1">SUM(Points!AU30:AX30)</f>
        <v>0</v>
      </c>
      <c r="I69" s="96"/>
    </row>
    <row r="70" spans="1:9" hidden="1" x14ac:dyDescent="0.25">
      <c r="A70" s="48"/>
      <c r="B70" s="171"/>
      <c r="C70" s="169"/>
      <c r="D70" s="140"/>
      <c r="E70" s="140"/>
      <c r="F70" s="140"/>
      <c r="G70" s="566"/>
      <c r="H70" s="568"/>
      <c r="I70" s="96"/>
    </row>
    <row r="71" spans="1:9" ht="15.75" thickBot="1" x14ac:dyDescent="0.3">
      <c r="A71" s="48" t="str">
        <f>Points!A32</f>
        <v>Chris</v>
      </c>
      <c r="B71" s="171">
        <f ca="1">IF(SUM(C71:H71)&gt;0,SUM(C71:H71),"")</f>
        <v>60</v>
      </c>
      <c r="C71" s="169">
        <f>SUM('Day 1 - Match 1:Day 4 - Back 9'!P36)*Setup!F$41</f>
        <v>0</v>
      </c>
      <c r="D71" s="140">
        <f>SUM('Day 1 - Match 1:Day 4 - Back 9'!Q36)*Setup!F$42</f>
        <v>40</v>
      </c>
      <c r="E71" s="140">
        <f>SUM('Day 1 - Match 1:Day 4 - Back 9'!R36)*Setup!F$43</f>
        <v>0</v>
      </c>
      <c r="F71" s="140">
        <f>SUM('Day 1 - Match 1:Day 4 - Back 9'!AA36)</f>
        <v>20</v>
      </c>
      <c r="G71" s="566">
        <f>SUM('Day 1 - Match 1:Day 4 - Back 9'!T36)*Setup!F$45</f>
        <v>0</v>
      </c>
      <c r="H71" s="568">
        <f ca="1">SUM(Points!AU32:AX32)</f>
        <v>0</v>
      </c>
      <c r="I71" s="96"/>
    </row>
    <row r="72" spans="1:9" ht="15.75" hidden="1" thickBot="1" x14ac:dyDescent="0.3">
      <c r="A72" s="48"/>
      <c r="B72" s="171"/>
      <c r="C72" s="169"/>
      <c r="D72" s="140"/>
      <c r="E72" s="140"/>
      <c r="F72" s="140"/>
      <c r="G72" s="566"/>
      <c r="H72" s="706"/>
      <c r="I72" s="96"/>
    </row>
    <row r="73" spans="1:9" ht="15.75" thickBot="1" x14ac:dyDescent="0.3">
      <c r="A73" s="142" t="str">
        <f>Points!A34</f>
        <v>Totals</v>
      </c>
      <c r="B73" s="143">
        <f t="shared" ref="B73:H73" ca="1" si="2">SUM(B41:B72)</f>
        <v>1600</v>
      </c>
      <c r="C73" s="303">
        <f t="shared" si="2"/>
        <v>100</v>
      </c>
      <c r="D73" s="304">
        <f t="shared" si="2"/>
        <v>120</v>
      </c>
      <c r="E73" s="304">
        <f t="shared" si="2"/>
        <v>80</v>
      </c>
      <c r="F73" s="304">
        <f t="shared" si="2"/>
        <v>100</v>
      </c>
      <c r="G73" s="305">
        <f t="shared" si="2"/>
        <v>0</v>
      </c>
      <c r="H73" s="143">
        <f t="shared" ca="1" si="2"/>
        <v>1200</v>
      </c>
      <c r="I73" s="96"/>
    </row>
    <row r="74" spans="1:9" x14ac:dyDescent="0.25">
      <c r="A74" s="96"/>
      <c r="B74" s="97"/>
      <c r="C74" s="97"/>
      <c r="D74" s="97"/>
      <c r="E74" s="96"/>
      <c r="F74" s="96"/>
      <c r="G74" s="96"/>
      <c r="H74" s="96"/>
      <c r="I74" s="96"/>
    </row>
  </sheetData>
  <pageMargins left="0.7" right="0.7" top="0.75" bottom="0.75" header="0.3" footer="0.3"/>
  <pageSetup orientation="portrait" r:id="rId1"/>
  <ignoredErrors>
    <ignoredError sqref="D5 F5 F7 F9 F11 F13 F15 F17 F19 F21 F23 F25 F27 D7 D9 D11 D13 D15 D17 D19 D21 D23 D25 D27 D29:D36 F29:F36 H29 H5:H28 H30:H3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43"/>
  <sheetViews>
    <sheetView zoomScaleNormal="100" workbookViewId="0">
      <pane xSplit="1" ySplit="4" topLeftCell="B5" activePane="bottomRight" state="frozen"/>
      <selection activeCell="C49" sqref="C49"/>
      <selection pane="topRight" activeCell="C49" sqref="C49"/>
      <selection pane="bottomLeft" activeCell="C49" sqref="C49"/>
      <selection pane="bottomRight" activeCell="K36" sqref="K36"/>
    </sheetView>
  </sheetViews>
  <sheetFormatPr defaultColWidth="9.140625" defaultRowHeight="12.75" x14ac:dyDescent="0.2"/>
  <cols>
    <col min="1" max="1" width="18.28515625" style="20" customWidth="1"/>
    <col min="2" max="10" width="9.140625" style="2"/>
    <col min="11" max="11" width="13.42578125" style="2" customWidth="1"/>
    <col min="12" max="12" width="9.140625" style="1"/>
    <col min="13" max="13" width="11.140625" style="1" customWidth="1"/>
    <col min="14" max="15" width="11.140625" style="2" customWidth="1"/>
    <col min="16" max="20" width="11.85546875" style="52" customWidth="1"/>
    <col min="21" max="22" width="9.140625" style="1"/>
    <col min="23" max="26" width="9.140625" style="2"/>
    <col min="27" max="27" width="9.85546875" style="2" customWidth="1"/>
    <col min="28" max="16384" width="9.140625" style="1"/>
  </cols>
  <sheetData>
    <row r="1" spans="1:27" ht="13.5" thickBot="1" x14ac:dyDescent="0.25"/>
    <row r="2" spans="1:27" x14ac:dyDescent="0.2">
      <c r="A2" s="21" t="s">
        <v>1</v>
      </c>
      <c r="B2" s="76">
        <f>Courses!C6</f>
        <v>1</v>
      </c>
      <c r="C2" s="34">
        <f>Courses!D6</f>
        <v>2</v>
      </c>
      <c r="D2" s="34">
        <f>Courses!E6</f>
        <v>3</v>
      </c>
      <c r="E2" s="34">
        <f>Courses!F6</f>
        <v>4</v>
      </c>
      <c r="F2" s="34">
        <f>Courses!G6</f>
        <v>5</v>
      </c>
      <c r="G2" s="34">
        <f>Courses!H6</f>
        <v>6</v>
      </c>
      <c r="H2" s="34">
        <f>Courses!I6</f>
        <v>7</v>
      </c>
      <c r="I2" s="34">
        <f>Courses!J6</f>
        <v>8</v>
      </c>
      <c r="J2" s="35">
        <f>Courses!K6</f>
        <v>9</v>
      </c>
      <c r="K2" s="73"/>
    </row>
    <row r="3" spans="1:27" x14ac:dyDescent="0.2">
      <c r="A3" s="22" t="s">
        <v>2</v>
      </c>
      <c r="B3" s="77">
        <f>Courses!C7</f>
        <v>5</v>
      </c>
      <c r="C3" s="39">
        <f>Courses!D7</f>
        <v>4</v>
      </c>
      <c r="D3" s="39">
        <f>Courses!E7</f>
        <v>3</v>
      </c>
      <c r="E3" s="39">
        <f>Courses!F7</f>
        <v>5</v>
      </c>
      <c r="F3" s="39">
        <f>Courses!G7</f>
        <v>3</v>
      </c>
      <c r="G3" s="39">
        <f>Courses!H7</f>
        <v>4</v>
      </c>
      <c r="H3" s="39">
        <f>Courses!I7</f>
        <v>4</v>
      </c>
      <c r="I3" s="39">
        <f>Courses!J7</f>
        <v>3</v>
      </c>
      <c r="J3" s="40">
        <f>Courses!K7</f>
        <v>4</v>
      </c>
      <c r="K3" s="74">
        <f>SUM(B3:J3)</f>
        <v>35</v>
      </c>
      <c r="P3" s="55" t="s">
        <v>32</v>
      </c>
    </row>
    <row r="4" spans="1:27" ht="13.5" thickBot="1" x14ac:dyDescent="0.25">
      <c r="A4" s="23" t="s">
        <v>3</v>
      </c>
      <c r="B4" s="78">
        <f>Courses!C8</f>
        <v>11</v>
      </c>
      <c r="C4" s="44">
        <f>Courses!D8</f>
        <v>5</v>
      </c>
      <c r="D4" s="44">
        <f>Courses!E8</f>
        <v>9</v>
      </c>
      <c r="E4" s="44">
        <f>Courses!F8</f>
        <v>13</v>
      </c>
      <c r="F4" s="44">
        <f>Courses!G8</f>
        <v>15</v>
      </c>
      <c r="G4" s="44">
        <f>Courses!H8</f>
        <v>7</v>
      </c>
      <c r="H4" s="44">
        <f>Courses!I8</f>
        <v>1</v>
      </c>
      <c r="I4" s="44">
        <f>Courses!J8</f>
        <v>17</v>
      </c>
      <c r="J4" s="45">
        <f>Courses!K8</f>
        <v>3</v>
      </c>
      <c r="K4" s="75"/>
      <c r="P4" s="52">
        <f>Matchups!K3</f>
        <v>10</v>
      </c>
      <c r="Q4" s="52">
        <f>Matchups!L3</f>
        <v>13</v>
      </c>
      <c r="R4" s="52">
        <f>Matchups!M3</f>
        <v>18</v>
      </c>
    </row>
    <row r="5" spans="1:27" ht="13.5" thickBot="1" x14ac:dyDescent="0.25">
      <c r="M5" s="230" t="s">
        <v>16</v>
      </c>
      <c r="N5" s="232" t="s">
        <v>17</v>
      </c>
      <c r="O5" s="233" t="s">
        <v>36</v>
      </c>
      <c r="P5" s="161" t="str">
        <f>Results!C40</f>
        <v>Long Drive</v>
      </c>
      <c r="Q5" s="50" t="str">
        <f>Results!D40</f>
        <v>Closest to Pin</v>
      </c>
      <c r="R5" s="50" t="str">
        <f>Results!E40</f>
        <v>Long Putt</v>
      </c>
      <c r="S5" s="50" t="str">
        <f>Results!F40</f>
        <v>Secret Snowman</v>
      </c>
      <c r="T5" s="51" t="str">
        <f>Results!G40</f>
        <v>Closest to Pin</v>
      </c>
      <c r="V5" s="2">
        <v>1</v>
      </c>
      <c r="W5" s="2">
        <v>2</v>
      </c>
      <c r="X5" s="2">
        <v>3</v>
      </c>
      <c r="Y5" s="2">
        <v>4</v>
      </c>
      <c r="Z5" s="2">
        <v>5</v>
      </c>
    </row>
    <row r="6" spans="1:27" x14ac:dyDescent="0.2">
      <c r="A6" s="21" t="str">
        <f>Matchups!C3</f>
        <v>Mil</v>
      </c>
      <c r="B6" s="115">
        <v>5</v>
      </c>
      <c r="C6" s="116">
        <v>4</v>
      </c>
      <c r="D6" s="116">
        <v>5</v>
      </c>
      <c r="E6" s="116">
        <v>4</v>
      </c>
      <c r="F6" s="116">
        <v>4</v>
      </c>
      <c r="G6" s="116">
        <v>4</v>
      </c>
      <c r="H6" s="116">
        <v>5</v>
      </c>
      <c r="I6" s="116">
        <v>5</v>
      </c>
      <c r="J6" s="117">
        <v>4</v>
      </c>
      <c r="K6" s="12">
        <f>SUM(B6:J6)</f>
        <v>40</v>
      </c>
      <c r="M6" s="90" t="str">
        <f>A6</f>
        <v>Mil</v>
      </c>
      <c r="N6" s="5">
        <f>K6</f>
        <v>40</v>
      </c>
      <c r="O6" s="5">
        <f>K44</f>
        <v>1</v>
      </c>
      <c r="P6" s="162"/>
      <c r="Q6" s="65"/>
      <c r="R6" s="65"/>
      <c r="S6" s="65"/>
      <c r="T6" s="153"/>
      <c r="V6" s="2" t="str">
        <f t="shared" ref="V6:V37" si="0">IF($S$39=V$5,S6*V$5,"")</f>
        <v/>
      </c>
      <c r="W6" s="2" t="str">
        <f t="shared" ref="W6:W37" si="1">IF($S$39=W$5,S6*W$5,"")</f>
        <v/>
      </c>
      <c r="X6" s="2" t="str">
        <f t="shared" ref="X6:X37" si="2">IF($S$39=X$5,S6*X$5,"")</f>
        <v/>
      </c>
      <c r="Y6" s="2" t="str">
        <f t="shared" ref="Y6:Y37" si="3">IF($S$39=Y$5,S6*Y$5,"")</f>
        <v/>
      </c>
      <c r="Z6" s="2" t="str">
        <f t="shared" ref="Z6:Z37" si="4">IF($S$39=Z$5,S6*Z$5,"")</f>
        <v/>
      </c>
      <c r="AA6" s="144">
        <f>IF(SUM(V6:Z6)=0,0,Setup!F$44/SUM(V6:Z6))</f>
        <v>0</v>
      </c>
    </row>
    <row r="7" spans="1:27" hidden="1" x14ac:dyDescent="0.2">
      <c r="A7" s="22">
        <f>Matchups!C4</f>
        <v>6</v>
      </c>
      <c r="B7" s="118"/>
      <c r="C7" s="119"/>
      <c r="D7" s="119"/>
      <c r="E7" s="119"/>
      <c r="F7" s="119"/>
      <c r="G7" s="119"/>
      <c r="H7" s="119"/>
      <c r="I7" s="119"/>
      <c r="J7" s="120"/>
      <c r="K7" s="13"/>
      <c r="M7" s="91">
        <f>A7</f>
        <v>6</v>
      </c>
      <c r="N7" s="8">
        <f t="shared" ref="N7:N29" si="5">K7</f>
        <v>0</v>
      </c>
      <c r="O7" s="8"/>
      <c r="P7" s="164"/>
      <c r="Q7" s="66"/>
      <c r="R7" s="66"/>
      <c r="S7" s="66"/>
      <c r="T7" s="154"/>
      <c r="V7" s="2" t="str">
        <f t="shared" si="0"/>
        <v/>
      </c>
      <c r="W7" s="2" t="str">
        <f t="shared" si="1"/>
        <v/>
      </c>
      <c r="X7" s="2" t="str">
        <f t="shared" si="2"/>
        <v/>
      </c>
      <c r="Y7" s="2" t="str">
        <f t="shared" si="3"/>
        <v/>
      </c>
      <c r="Z7" s="2" t="str">
        <f t="shared" si="4"/>
        <v/>
      </c>
      <c r="AA7" s="144">
        <f>IF(SUM(V7:Z7)=0,0,Setup!F$44/SUM(V7:Z7))</f>
        <v>0</v>
      </c>
    </row>
    <row r="8" spans="1:27" x14ac:dyDescent="0.2">
      <c r="A8" s="22" t="str">
        <f>Matchups!C5</f>
        <v>John</v>
      </c>
      <c r="B8" s="118">
        <v>7</v>
      </c>
      <c r="C8" s="119">
        <v>5</v>
      </c>
      <c r="D8" s="119">
        <v>3</v>
      </c>
      <c r="E8" s="119">
        <v>6</v>
      </c>
      <c r="F8" s="119">
        <v>3</v>
      </c>
      <c r="G8" s="119">
        <v>4</v>
      </c>
      <c r="H8" s="119">
        <v>4</v>
      </c>
      <c r="I8" s="119">
        <v>3</v>
      </c>
      <c r="J8" s="120">
        <v>5</v>
      </c>
      <c r="K8" s="13">
        <f t="shared" ref="K8:K28" si="6">SUM(B8:J8)</f>
        <v>40</v>
      </c>
      <c r="M8" s="91" t="str">
        <f>A8</f>
        <v>John</v>
      </c>
      <c r="N8" s="8">
        <f t="shared" si="5"/>
        <v>40</v>
      </c>
      <c r="O8" s="8">
        <f>K50</f>
        <v>1</v>
      </c>
      <c r="P8" s="164"/>
      <c r="Q8" s="66"/>
      <c r="R8" s="66"/>
      <c r="S8" s="66"/>
      <c r="T8" s="154"/>
      <c r="V8" s="2" t="str">
        <f t="shared" si="0"/>
        <v/>
      </c>
      <c r="W8" s="2" t="str">
        <f t="shared" si="1"/>
        <v/>
      </c>
      <c r="X8" s="2" t="str">
        <f t="shared" si="2"/>
        <v/>
      </c>
      <c r="Y8" s="2" t="str">
        <f t="shared" si="3"/>
        <v/>
      </c>
      <c r="Z8" s="2" t="str">
        <f t="shared" si="4"/>
        <v/>
      </c>
      <c r="AA8" s="144">
        <f>IF(SUM(V8:Z8)=0,0,Setup!F$44/SUM(V8:Z8))</f>
        <v>0</v>
      </c>
    </row>
    <row r="9" spans="1:27" hidden="1" x14ac:dyDescent="0.2">
      <c r="A9" s="22">
        <f>Matchups!C6</f>
        <v>7</v>
      </c>
      <c r="B9" s="118"/>
      <c r="C9" s="119"/>
      <c r="D9" s="119"/>
      <c r="E9" s="119"/>
      <c r="F9" s="119"/>
      <c r="G9" s="119"/>
      <c r="H9" s="119"/>
      <c r="I9" s="119"/>
      <c r="J9" s="120"/>
      <c r="K9" s="13"/>
      <c r="M9" s="91">
        <f>A9</f>
        <v>7</v>
      </c>
      <c r="N9" s="8">
        <f t="shared" si="5"/>
        <v>0</v>
      </c>
      <c r="O9" s="8"/>
      <c r="P9" s="164"/>
      <c r="Q9" s="66"/>
      <c r="R9" s="66"/>
      <c r="S9" s="66"/>
      <c r="T9" s="154"/>
      <c r="V9" s="2" t="str">
        <f t="shared" si="0"/>
        <v/>
      </c>
      <c r="W9" s="2" t="str">
        <f t="shared" si="1"/>
        <v/>
      </c>
      <c r="X9" s="2" t="str">
        <f t="shared" si="2"/>
        <v/>
      </c>
      <c r="Y9" s="2" t="str">
        <f t="shared" si="3"/>
        <v/>
      </c>
      <c r="Z9" s="2" t="str">
        <f t="shared" si="4"/>
        <v/>
      </c>
      <c r="AA9" s="144">
        <f>IF(SUM(V9:Z9)=0,0,Setup!F$44/SUM(V9:Z9))</f>
        <v>0</v>
      </c>
    </row>
    <row r="10" spans="1:27" x14ac:dyDescent="0.2">
      <c r="A10" s="22" t="str">
        <f>Matchups!C7</f>
        <v>Brian P</v>
      </c>
      <c r="B10" s="118">
        <v>4</v>
      </c>
      <c r="C10" s="119">
        <v>5</v>
      </c>
      <c r="D10" s="119">
        <v>5</v>
      </c>
      <c r="E10" s="119">
        <v>7</v>
      </c>
      <c r="F10" s="119">
        <v>4</v>
      </c>
      <c r="G10" s="119">
        <v>5</v>
      </c>
      <c r="H10" s="119">
        <v>8</v>
      </c>
      <c r="I10" s="119">
        <v>4</v>
      </c>
      <c r="J10" s="120">
        <v>5</v>
      </c>
      <c r="K10" s="13">
        <f t="shared" si="6"/>
        <v>47</v>
      </c>
      <c r="M10" s="91" t="str">
        <f>A10</f>
        <v>Brian P</v>
      </c>
      <c r="N10" s="8">
        <f t="shared" si="5"/>
        <v>47</v>
      </c>
      <c r="O10" s="8">
        <f>K57</f>
        <v>0</v>
      </c>
      <c r="P10" s="164"/>
      <c r="Q10" s="66"/>
      <c r="R10" s="66"/>
      <c r="S10" s="66"/>
      <c r="T10" s="154"/>
      <c r="V10" s="2" t="str">
        <f t="shared" si="0"/>
        <v/>
      </c>
      <c r="W10" s="2" t="str">
        <f t="shared" si="1"/>
        <v/>
      </c>
      <c r="X10" s="2" t="str">
        <f t="shared" si="2"/>
        <v/>
      </c>
      <c r="Y10" s="2" t="str">
        <f t="shared" si="3"/>
        <v/>
      </c>
      <c r="Z10" s="2" t="str">
        <f t="shared" si="4"/>
        <v/>
      </c>
      <c r="AA10" s="144">
        <f>IF(SUM(V10:Z10)=0,0,Setup!F$44/SUM(V10:Z10))</f>
        <v>0</v>
      </c>
    </row>
    <row r="11" spans="1:27" hidden="1" x14ac:dyDescent="0.2">
      <c r="A11" s="22">
        <f>Matchups!C8</f>
        <v>6</v>
      </c>
      <c r="B11" s="118"/>
      <c r="C11" s="119"/>
      <c r="D11" s="119"/>
      <c r="E11" s="119"/>
      <c r="F11" s="119"/>
      <c r="G11" s="119"/>
      <c r="H11" s="119"/>
      <c r="I11" s="119"/>
      <c r="J11" s="120"/>
      <c r="K11" s="13"/>
      <c r="M11" s="91">
        <f t="shared" ref="M11:M37" si="7">A11</f>
        <v>6</v>
      </c>
      <c r="N11" s="8">
        <f t="shared" si="5"/>
        <v>0</v>
      </c>
      <c r="O11" s="8"/>
      <c r="P11" s="164"/>
      <c r="Q11" s="66"/>
      <c r="R11" s="66"/>
      <c r="S11" s="66"/>
      <c r="T11" s="154"/>
      <c r="V11" s="2" t="str">
        <f t="shared" si="0"/>
        <v/>
      </c>
      <c r="W11" s="2" t="str">
        <f t="shared" si="1"/>
        <v/>
      </c>
      <c r="X11" s="2" t="str">
        <f t="shared" si="2"/>
        <v/>
      </c>
      <c r="Y11" s="2" t="str">
        <f t="shared" si="3"/>
        <v/>
      </c>
      <c r="Z11" s="2" t="str">
        <f t="shared" si="4"/>
        <v/>
      </c>
      <c r="AA11" s="144">
        <f>IF(SUM(V11:Z11)=0,0,Setup!F$44/SUM(V11:Z11))</f>
        <v>0</v>
      </c>
    </row>
    <row r="12" spans="1:27" ht="13.5" thickBot="1" x14ac:dyDescent="0.25">
      <c r="A12" s="23" t="str">
        <f>Matchups!C9</f>
        <v xml:space="preserve">Pat </v>
      </c>
      <c r="B12" s="121">
        <v>7</v>
      </c>
      <c r="C12" s="122">
        <v>4</v>
      </c>
      <c r="D12" s="122">
        <v>4</v>
      </c>
      <c r="E12" s="122">
        <v>7</v>
      </c>
      <c r="F12" s="122">
        <v>4</v>
      </c>
      <c r="G12" s="122">
        <v>5</v>
      </c>
      <c r="H12" s="122">
        <v>4</v>
      </c>
      <c r="I12" s="122">
        <v>4</v>
      </c>
      <c r="J12" s="123">
        <v>5</v>
      </c>
      <c r="K12" s="13">
        <f t="shared" si="6"/>
        <v>44</v>
      </c>
      <c r="M12" s="91" t="str">
        <f t="shared" si="7"/>
        <v xml:space="preserve">Pat </v>
      </c>
      <c r="N12" s="8">
        <f t="shared" si="5"/>
        <v>44</v>
      </c>
      <c r="O12" s="8">
        <f>K63</f>
        <v>2</v>
      </c>
      <c r="P12" s="164"/>
      <c r="Q12" s="66"/>
      <c r="R12" s="66"/>
      <c r="S12" s="66"/>
      <c r="T12" s="154"/>
      <c r="V12" s="2" t="str">
        <f t="shared" si="0"/>
        <v/>
      </c>
      <c r="W12" s="2" t="str">
        <f t="shared" si="1"/>
        <v/>
      </c>
      <c r="X12" s="2" t="str">
        <f t="shared" si="2"/>
        <v/>
      </c>
      <c r="Y12" s="2" t="str">
        <f t="shared" si="3"/>
        <v/>
      </c>
      <c r="Z12" s="2" t="str">
        <f t="shared" si="4"/>
        <v/>
      </c>
      <c r="AA12" s="144">
        <f>IF(SUM(V12:Z12)=0,0,Setup!F$44/SUM(V12:Z12))</f>
        <v>0</v>
      </c>
    </row>
    <row r="13" spans="1:27" ht="13.5" hidden="1" thickBot="1" x14ac:dyDescent="0.25">
      <c r="A13" s="72">
        <f>Matchups!C10</f>
        <v>6</v>
      </c>
      <c r="B13" s="127"/>
      <c r="C13" s="125"/>
      <c r="D13" s="125"/>
      <c r="E13" s="125"/>
      <c r="F13" s="125"/>
      <c r="G13" s="125"/>
      <c r="H13" s="125"/>
      <c r="I13" s="125"/>
      <c r="J13" s="128"/>
      <c r="K13" s="70"/>
      <c r="M13" s="133">
        <f t="shared" si="7"/>
        <v>6</v>
      </c>
      <c r="N13" s="70">
        <f t="shared" si="5"/>
        <v>0</v>
      </c>
      <c r="O13" s="70"/>
      <c r="P13" s="165"/>
      <c r="Q13" s="155"/>
      <c r="R13" s="155"/>
      <c r="S13" s="155"/>
      <c r="T13" s="156"/>
      <c r="V13" s="2" t="str">
        <f t="shared" si="0"/>
        <v/>
      </c>
      <c r="W13" s="2" t="str">
        <f t="shared" si="1"/>
        <v/>
      </c>
      <c r="X13" s="2" t="str">
        <f t="shared" si="2"/>
        <v/>
      </c>
      <c r="Y13" s="2" t="str">
        <f t="shared" si="3"/>
        <v/>
      </c>
      <c r="Z13" s="2" t="str">
        <f t="shared" si="4"/>
        <v/>
      </c>
      <c r="AA13" s="144">
        <f>IF(SUM(V13:Z13)=0,0,Setup!F$44/SUM(V13:Z13))</f>
        <v>0</v>
      </c>
    </row>
    <row r="14" spans="1:27" x14ac:dyDescent="0.2">
      <c r="A14" s="21" t="str">
        <f>Matchups!C11</f>
        <v>Rick</v>
      </c>
      <c r="B14" s="339">
        <v>6</v>
      </c>
      <c r="C14" s="116">
        <v>5</v>
      </c>
      <c r="D14" s="116">
        <v>4</v>
      </c>
      <c r="E14" s="116">
        <v>5</v>
      </c>
      <c r="F14" s="116">
        <v>4</v>
      </c>
      <c r="G14" s="116">
        <v>7</v>
      </c>
      <c r="H14" s="116">
        <v>9</v>
      </c>
      <c r="I14" s="116">
        <v>3</v>
      </c>
      <c r="J14" s="117">
        <v>4</v>
      </c>
      <c r="K14" s="12">
        <f t="shared" si="6"/>
        <v>47</v>
      </c>
      <c r="M14" s="226" t="str">
        <f t="shared" si="7"/>
        <v>Rick</v>
      </c>
      <c r="N14" s="5">
        <f t="shared" si="5"/>
        <v>47</v>
      </c>
      <c r="O14" s="5">
        <f>K70</f>
        <v>0</v>
      </c>
      <c r="P14" s="162"/>
      <c r="Q14" s="65"/>
      <c r="R14" s="65"/>
      <c r="S14" s="65"/>
      <c r="T14" s="153"/>
      <c r="V14" s="2" t="str">
        <f t="shared" si="0"/>
        <v/>
      </c>
      <c r="W14" s="2" t="str">
        <f t="shared" si="1"/>
        <v/>
      </c>
      <c r="X14" s="2" t="str">
        <f t="shared" si="2"/>
        <v/>
      </c>
      <c r="Y14" s="2" t="str">
        <f t="shared" si="3"/>
        <v/>
      </c>
      <c r="Z14" s="2" t="str">
        <f t="shared" si="4"/>
        <v/>
      </c>
      <c r="AA14" s="144">
        <f>IF(SUM(V14:Z14)=0,0,Setup!F$44/SUM(V14:Z14))</f>
        <v>0</v>
      </c>
    </row>
    <row r="15" spans="1:27" hidden="1" x14ac:dyDescent="0.2">
      <c r="A15" s="22">
        <f>Matchups!C12</f>
        <v>7</v>
      </c>
      <c r="B15" s="341"/>
      <c r="C15" s="119"/>
      <c r="D15" s="119"/>
      <c r="E15" s="119"/>
      <c r="F15" s="119"/>
      <c r="G15" s="119"/>
      <c r="H15" s="119"/>
      <c r="I15" s="119"/>
      <c r="J15" s="120"/>
      <c r="K15" s="13"/>
      <c r="M15" s="227">
        <f t="shared" si="7"/>
        <v>7</v>
      </c>
      <c r="N15" s="8">
        <f t="shared" si="5"/>
        <v>0</v>
      </c>
      <c r="O15" s="8"/>
      <c r="P15" s="164"/>
      <c r="Q15" s="66"/>
      <c r="R15" s="66"/>
      <c r="S15" s="66"/>
      <c r="T15" s="154"/>
      <c r="V15" s="2" t="str">
        <f t="shared" si="0"/>
        <v/>
      </c>
      <c r="W15" s="2" t="str">
        <f t="shared" si="1"/>
        <v/>
      </c>
      <c r="X15" s="2" t="str">
        <f t="shared" si="2"/>
        <v/>
      </c>
      <c r="Y15" s="2" t="str">
        <f t="shared" si="3"/>
        <v/>
      </c>
      <c r="Z15" s="2" t="str">
        <f t="shared" si="4"/>
        <v/>
      </c>
      <c r="AA15" s="144">
        <f>IF(SUM(V15:Z15)=0,0,Setup!F$44/SUM(V15:Z15))</f>
        <v>0</v>
      </c>
    </row>
    <row r="16" spans="1:27" x14ac:dyDescent="0.2">
      <c r="A16" s="22" t="str">
        <f>Matchups!C13</f>
        <v>Keith</v>
      </c>
      <c r="B16" s="341">
        <v>7</v>
      </c>
      <c r="C16" s="119">
        <v>6</v>
      </c>
      <c r="D16" s="119">
        <v>4</v>
      </c>
      <c r="E16" s="119">
        <v>7</v>
      </c>
      <c r="F16" s="119">
        <v>5</v>
      </c>
      <c r="G16" s="119">
        <v>5</v>
      </c>
      <c r="H16" s="119">
        <v>7</v>
      </c>
      <c r="I16" s="119">
        <v>4</v>
      </c>
      <c r="J16" s="120">
        <v>6</v>
      </c>
      <c r="K16" s="13">
        <f t="shared" si="6"/>
        <v>51</v>
      </c>
      <c r="M16" s="227" t="str">
        <f t="shared" si="7"/>
        <v>Keith</v>
      </c>
      <c r="N16" s="8">
        <f t="shared" si="5"/>
        <v>51</v>
      </c>
      <c r="O16" s="8">
        <f>K76</f>
        <v>2</v>
      </c>
      <c r="P16" s="164"/>
      <c r="Q16" s="66"/>
      <c r="R16" s="66"/>
      <c r="S16" s="66"/>
      <c r="T16" s="154"/>
      <c r="V16" s="2" t="str">
        <f t="shared" si="0"/>
        <v/>
      </c>
      <c r="W16" s="2" t="str">
        <f t="shared" si="1"/>
        <v/>
      </c>
      <c r="X16" s="2" t="str">
        <f t="shared" si="2"/>
        <v/>
      </c>
      <c r="Y16" s="2" t="str">
        <f t="shared" si="3"/>
        <v/>
      </c>
      <c r="Z16" s="2" t="str">
        <f t="shared" si="4"/>
        <v/>
      </c>
      <c r="AA16" s="144">
        <f>IF(SUM(V16:Z16)=0,0,Setup!F$44/SUM(V16:Z16))</f>
        <v>0</v>
      </c>
    </row>
    <row r="17" spans="1:27" hidden="1" x14ac:dyDescent="0.2">
      <c r="A17" s="22">
        <f>Matchups!C14</f>
        <v>16</v>
      </c>
      <c r="B17" s="341"/>
      <c r="C17" s="119"/>
      <c r="D17" s="119"/>
      <c r="E17" s="119"/>
      <c r="F17" s="119"/>
      <c r="G17" s="119"/>
      <c r="H17" s="119"/>
      <c r="I17" s="119"/>
      <c r="J17" s="120"/>
      <c r="K17" s="13"/>
      <c r="M17" s="227">
        <f t="shared" si="7"/>
        <v>16</v>
      </c>
      <c r="N17" s="8">
        <f t="shared" si="5"/>
        <v>0</v>
      </c>
      <c r="O17" s="8"/>
      <c r="P17" s="164"/>
      <c r="Q17" s="66"/>
      <c r="R17" s="66"/>
      <c r="S17" s="66"/>
      <c r="T17" s="154"/>
      <c r="V17" s="2" t="str">
        <f t="shared" si="0"/>
        <v/>
      </c>
      <c r="W17" s="2" t="str">
        <f t="shared" si="1"/>
        <v/>
      </c>
      <c r="X17" s="2" t="str">
        <f t="shared" si="2"/>
        <v/>
      </c>
      <c r="Y17" s="2" t="str">
        <f t="shared" si="3"/>
        <v/>
      </c>
      <c r="Z17" s="2" t="str">
        <f t="shared" si="4"/>
        <v/>
      </c>
      <c r="AA17" s="144">
        <f>IF(SUM(V17:Z17)=0,0,Setup!F$44/SUM(V17:Z17))</f>
        <v>0</v>
      </c>
    </row>
    <row r="18" spans="1:27" x14ac:dyDescent="0.2">
      <c r="A18" s="22" t="str">
        <f>Matchups!C15</f>
        <v>Tony W</v>
      </c>
      <c r="B18" s="341">
        <v>6</v>
      </c>
      <c r="C18" s="119">
        <v>7</v>
      </c>
      <c r="D18" s="119">
        <v>5</v>
      </c>
      <c r="E18" s="119">
        <v>6</v>
      </c>
      <c r="F18" s="119">
        <v>5</v>
      </c>
      <c r="G18" s="119">
        <v>4</v>
      </c>
      <c r="H18" s="119">
        <v>6</v>
      </c>
      <c r="I18" s="119">
        <v>4</v>
      </c>
      <c r="J18" s="120">
        <v>5</v>
      </c>
      <c r="K18" s="13">
        <f t="shared" si="6"/>
        <v>48</v>
      </c>
      <c r="M18" s="227" t="str">
        <f t="shared" si="7"/>
        <v>Tony W</v>
      </c>
      <c r="N18" s="8">
        <f t="shared" si="5"/>
        <v>48</v>
      </c>
      <c r="O18" s="8">
        <f>K83</f>
        <v>0</v>
      </c>
      <c r="P18" s="164"/>
      <c r="Q18" s="66"/>
      <c r="R18" s="66"/>
      <c r="S18" s="66"/>
      <c r="T18" s="154"/>
      <c r="V18" s="2" t="str">
        <f t="shared" si="0"/>
        <v/>
      </c>
      <c r="W18" s="2" t="str">
        <f t="shared" si="1"/>
        <v/>
      </c>
      <c r="X18" s="2" t="str">
        <f t="shared" si="2"/>
        <v/>
      </c>
      <c r="Y18" s="2" t="str">
        <f t="shared" si="3"/>
        <v/>
      </c>
      <c r="Z18" s="2" t="str">
        <f t="shared" si="4"/>
        <v/>
      </c>
      <c r="AA18" s="144">
        <f>IF(SUM(V18:Z18)=0,0,Setup!F$44/SUM(V18:Z18))</f>
        <v>0</v>
      </c>
    </row>
    <row r="19" spans="1:27" hidden="1" x14ac:dyDescent="0.2">
      <c r="A19" s="22">
        <f>Matchups!C16</f>
        <v>10</v>
      </c>
      <c r="B19" s="341"/>
      <c r="C19" s="119"/>
      <c r="D19" s="119"/>
      <c r="E19" s="119"/>
      <c r="F19" s="119"/>
      <c r="G19" s="119"/>
      <c r="H19" s="119"/>
      <c r="I19" s="119"/>
      <c r="J19" s="120"/>
      <c r="K19" s="13"/>
      <c r="M19" s="334">
        <f t="shared" si="7"/>
        <v>10</v>
      </c>
      <c r="N19" s="70">
        <f t="shared" si="5"/>
        <v>0</v>
      </c>
      <c r="O19" s="70"/>
      <c r="P19" s="165"/>
      <c r="Q19" s="155"/>
      <c r="R19" s="155"/>
      <c r="S19" s="155"/>
      <c r="T19" s="156"/>
      <c r="V19" s="2" t="str">
        <f t="shared" si="0"/>
        <v/>
      </c>
      <c r="W19" s="2" t="str">
        <f t="shared" si="1"/>
        <v/>
      </c>
      <c r="X19" s="2" t="str">
        <f t="shared" si="2"/>
        <v/>
      </c>
      <c r="Y19" s="2" t="str">
        <f t="shared" si="3"/>
        <v/>
      </c>
      <c r="Z19" s="2" t="str">
        <f t="shared" si="4"/>
        <v/>
      </c>
      <c r="AA19" s="144">
        <f>IF(SUM(V19:Z19)=0,0,Setup!F$44/SUM(V19:Z19))</f>
        <v>0</v>
      </c>
    </row>
    <row r="20" spans="1:27" ht="13.5" thickBot="1" x14ac:dyDescent="0.25">
      <c r="A20" s="22" t="str">
        <f>Matchups!C17</f>
        <v>Manny</v>
      </c>
      <c r="B20" s="341">
        <v>5</v>
      </c>
      <c r="C20" s="119">
        <v>4</v>
      </c>
      <c r="D20" s="119">
        <v>4</v>
      </c>
      <c r="E20" s="119">
        <v>10</v>
      </c>
      <c r="F20" s="119">
        <v>5</v>
      </c>
      <c r="G20" s="119">
        <v>6</v>
      </c>
      <c r="H20" s="119">
        <v>8</v>
      </c>
      <c r="I20" s="119">
        <v>4</v>
      </c>
      <c r="J20" s="120">
        <v>5</v>
      </c>
      <c r="K20" s="13">
        <f t="shared" si="6"/>
        <v>51</v>
      </c>
      <c r="M20" s="227" t="str">
        <f t="shared" si="7"/>
        <v>Manny</v>
      </c>
      <c r="N20" s="8">
        <f t="shared" si="5"/>
        <v>51</v>
      </c>
      <c r="O20" s="8">
        <f>K89</f>
        <v>2</v>
      </c>
      <c r="P20" s="164"/>
      <c r="Q20" s="66"/>
      <c r="R20" s="66"/>
      <c r="S20" s="66"/>
      <c r="T20" s="154"/>
      <c r="V20" s="2" t="str">
        <f t="shared" si="0"/>
        <v/>
      </c>
      <c r="W20" s="2" t="str">
        <f t="shared" si="1"/>
        <v/>
      </c>
      <c r="X20" s="2" t="str">
        <f t="shared" si="2"/>
        <v/>
      </c>
      <c r="Y20" s="2" t="str">
        <f t="shared" si="3"/>
        <v/>
      </c>
      <c r="Z20" s="2" t="str">
        <f t="shared" si="4"/>
        <v/>
      </c>
      <c r="AA20" s="144">
        <f>IF(SUM(V20:Z20)=0,0,Setup!F$44/SUM(V20:Z20))</f>
        <v>0</v>
      </c>
    </row>
    <row r="21" spans="1:27" ht="13.5" hidden="1" thickBot="1" x14ac:dyDescent="0.25">
      <c r="A21" s="409">
        <f>Matchups!C18</f>
        <v>14</v>
      </c>
      <c r="B21" s="342"/>
      <c r="C21" s="337"/>
      <c r="D21" s="337"/>
      <c r="E21" s="337"/>
      <c r="F21" s="337"/>
      <c r="G21" s="337"/>
      <c r="H21" s="337"/>
      <c r="I21" s="337"/>
      <c r="J21" s="338"/>
      <c r="K21" s="229"/>
      <c r="M21" s="334">
        <f t="shared" si="7"/>
        <v>14</v>
      </c>
      <c r="N21" s="70">
        <f t="shared" si="5"/>
        <v>0</v>
      </c>
      <c r="O21" s="70"/>
      <c r="P21" s="165"/>
      <c r="Q21" s="155"/>
      <c r="R21" s="155"/>
      <c r="S21" s="155"/>
      <c r="T21" s="156"/>
      <c r="V21" s="2" t="str">
        <f t="shared" si="0"/>
        <v/>
      </c>
      <c r="W21" s="2" t="str">
        <f t="shared" si="1"/>
        <v/>
      </c>
      <c r="X21" s="2" t="str">
        <f t="shared" si="2"/>
        <v/>
      </c>
      <c r="Y21" s="2" t="str">
        <f t="shared" si="3"/>
        <v/>
      </c>
      <c r="Z21" s="2" t="str">
        <f t="shared" si="4"/>
        <v/>
      </c>
      <c r="AA21" s="144">
        <f>IF(SUM(V21:Z21)=0,0,Setup!F$44/SUM(V21:Z21))</f>
        <v>0</v>
      </c>
    </row>
    <row r="22" spans="1:27" x14ac:dyDescent="0.2">
      <c r="A22" s="21" t="str">
        <f>Matchups!C19</f>
        <v>Tommy</v>
      </c>
      <c r="B22" s="339">
        <v>5</v>
      </c>
      <c r="C22" s="116">
        <v>5</v>
      </c>
      <c r="D22" s="116">
        <v>3</v>
      </c>
      <c r="E22" s="116">
        <v>8</v>
      </c>
      <c r="F22" s="116">
        <v>4</v>
      </c>
      <c r="G22" s="116">
        <v>4</v>
      </c>
      <c r="H22" s="116">
        <v>7</v>
      </c>
      <c r="I22" s="116">
        <v>4</v>
      </c>
      <c r="J22" s="117">
        <v>4</v>
      </c>
      <c r="K22" s="12">
        <f t="shared" si="6"/>
        <v>44</v>
      </c>
      <c r="M22" s="226" t="str">
        <f t="shared" si="7"/>
        <v>Tommy</v>
      </c>
      <c r="N22" s="5">
        <f t="shared" si="5"/>
        <v>44</v>
      </c>
      <c r="O22" s="5">
        <f>K96</f>
        <v>2</v>
      </c>
      <c r="P22" s="162"/>
      <c r="Q22" s="65"/>
      <c r="R22" s="65"/>
      <c r="S22" s="65"/>
      <c r="T22" s="153"/>
      <c r="V22" s="2" t="str">
        <f t="shared" si="0"/>
        <v/>
      </c>
      <c r="W22" s="2" t="str">
        <f t="shared" si="1"/>
        <v/>
      </c>
      <c r="X22" s="2" t="str">
        <f t="shared" si="2"/>
        <v/>
      </c>
      <c r="Y22" s="2" t="str">
        <f t="shared" si="3"/>
        <v/>
      </c>
      <c r="Z22" s="2" t="str">
        <f t="shared" si="4"/>
        <v/>
      </c>
      <c r="AA22" s="144">
        <f>IF(SUM(V22:Z22)=0,0,Setup!F$44/SUM(V22:Z22))</f>
        <v>0</v>
      </c>
    </row>
    <row r="23" spans="1:27" hidden="1" x14ac:dyDescent="0.2">
      <c r="A23" s="22">
        <f>Matchups!C20</f>
        <v>5</v>
      </c>
      <c r="B23" s="341"/>
      <c r="C23" s="119"/>
      <c r="D23" s="119"/>
      <c r="E23" s="119"/>
      <c r="F23" s="119"/>
      <c r="G23" s="119"/>
      <c r="H23" s="119"/>
      <c r="I23" s="119"/>
      <c r="J23" s="120"/>
      <c r="K23" s="13"/>
      <c r="M23" s="227">
        <f t="shared" si="7"/>
        <v>5</v>
      </c>
      <c r="N23" s="8">
        <f t="shared" si="5"/>
        <v>0</v>
      </c>
      <c r="O23" s="8"/>
      <c r="P23" s="164"/>
      <c r="Q23" s="66"/>
      <c r="R23" s="66"/>
      <c r="S23" s="66"/>
      <c r="T23" s="154"/>
      <c r="V23" s="2" t="str">
        <f t="shared" si="0"/>
        <v/>
      </c>
      <c r="W23" s="2" t="str">
        <f t="shared" si="1"/>
        <v/>
      </c>
      <c r="X23" s="2" t="str">
        <f t="shared" si="2"/>
        <v/>
      </c>
      <c r="Y23" s="2" t="str">
        <f t="shared" si="3"/>
        <v/>
      </c>
      <c r="Z23" s="2" t="str">
        <f t="shared" si="4"/>
        <v/>
      </c>
      <c r="AA23" s="144">
        <f>IF(SUM(V23:Z23)=0,0,Setup!F$44/SUM(V23:Z23))</f>
        <v>0</v>
      </c>
    </row>
    <row r="24" spans="1:27" x14ac:dyDescent="0.2">
      <c r="A24" s="22" t="str">
        <f>Matchups!C21</f>
        <v>Dave</v>
      </c>
      <c r="B24" s="341">
        <v>6</v>
      </c>
      <c r="C24" s="119">
        <v>4</v>
      </c>
      <c r="D24" s="119">
        <v>4</v>
      </c>
      <c r="E24" s="119">
        <v>6</v>
      </c>
      <c r="F24" s="119">
        <v>4</v>
      </c>
      <c r="G24" s="119">
        <v>6</v>
      </c>
      <c r="H24" s="119">
        <v>6</v>
      </c>
      <c r="I24" s="119">
        <v>4</v>
      </c>
      <c r="J24" s="120">
        <v>5</v>
      </c>
      <c r="K24" s="13">
        <f t="shared" si="6"/>
        <v>45</v>
      </c>
      <c r="M24" s="227" t="str">
        <f t="shared" si="7"/>
        <v>Dave</v>
      </c>
      <c r="N24" s="8">
        <f t="shared" si="5"/>
        <v>45</v>
      </c>
      <c r="O24" s="8">
        <f>K102</f>
        <v>0</v>
      </c>
      <c r="P24" s="164"/>
      <c r="Q24" s="66"/>
      <c r="R24" s="66"/>
      <c r="S24" s="66"/>
      <c r="T24" s="154"/>
      <c r="V24" s="2" t="str">
        <f t="shared" si="0"/>
        <v/>
      </c>
      <c r="W24" s="2" t="str">
        <f t="shared" si="1"/>
        <v/>
      </c>
      <c r="X24" s="2" t="str">
        <f t="shared" si="2"/>
        <v/>
      </c>
      <c r="Y24" s="2" t="str">
        <f t="shared" si="3"/>
        <v/>
      </c>
      <c r="Z24" s="2" t="str">
        <f t="shared" si="4"/>
        <v/>
      </c>
      <c r="AA24" s="144">
        <f>IF(SUM(V24:Z24)=0,0,Setup!F$44/SUM(V24:Z24))</f>
        <v>0</v>
      </c>
    </row>
    <row r="25" spans="1:27" hidden="1" x14ac:dyDescent="0.2">
      <c r="A25" s="22">
        <f>Matchups!C22</f>
        <v>5</v>
      </c>
      <c r="B25" s="341"/>
      <c r="C25" s="119"/>
      <c r="D25" s="119"/>
      <c r="E25" s="119"/>
      <c r="F25" s="119"/>
      <c r="G25" s="119"/>
      <c r="H25" s="119"/>
      <c r="I25" s="119"/>
      <c r="J25" s="120"/>
      <c r="K25" s="13"/>
      <c r="M25" s="227">
        <f t="shared" si="7"/>
        <v>5</v>
      </c>
      <c r="N25" s="8">
        <f t="shared" si="5"/>
        <v>0</v>
      </c>
      <c r="O25" s="8"/>
      <c r="P25" s="164"/>
      <c r="Q25" s="66"/>
      <c r="R25" s="66"/>
      <c r="S25" s="66"/>
      <c r="T25" s="154"/>
      <c r="V25" s="2" t="str">
        <f t="shared" si="0"/>
        <v/>
      </c>
      <c r="W25" s="2" t="str">
        <f t="shared" si="1"/>
        <v/>
      </c>
      <c r="X25" s="2" t="str">
        <f t="shared" si="2"/>
        <v/>
      </c>
      <c r="Y25" s="2" t="str">
        <f t="shared" si="3"/>
        <v/>
      </c>
      <c r="Z25" s="2" t="str">
        <f t="shared" si="4"/>
        <v/>
      </c>
      <c r="AA25" s="144">
        <f>IF(SUM(V25:Z25)=0,0,Setup!F$44/SUM(V25:Z25))</f>
        <v>0</v>
      </c>
    </row>
    <row r="26" spans="1:27" x14ac:dyDescent="0.2">
      <c r="A26" s="22" t="str">
        <f>Matchups!C23</f>
        <v>Hunter</v>
      </c>
      <c r="B26" s="341">
        <v>5</v>
      </c>
      <c r="C26" s="119">
        <v>4</v>
      </c>
      <c r="D26" s="119">
        <v>4</v>
      </c>
      <c r="E26" s="119">
        <v>6</v>
      </c>
      <c r="F26" s="119">
        <v>3</v>
      </c>
      <c r="G26" s="119">
        <v>5</v>
      </c>
      <c r="H26" s="119">
        <v>7</v>
      </c>
      <c r="I26" s="119">
        <v>6</v>
      </c>
      <c r="J26" s="120">
        <v>6</v>
      </c>
      <c r="K26" s="13">
        <f t="shared" si="6"/>
        <v>46</v>
      </c>
      <c r="M26" s="227" t="str">
        <f t="shared" si="7"/>
        <v>Hunter</v>
      </c>
      <c r="N26" s="8">
        <f t="shared" si="5"/>
        <v>46</v>
      </c>
      <c r="O26" s="8">
        <f>K109</f>
        <v>2</v>
      </c>
      <c r="P26" s="164"/>
      <c r="Q26" s="66"/>
      <c r="R26" s="66"/>
      <c r="S26" s="66"/>
      <c r="T26" s="154"/>
      <c r="V26" s="2" t="str">
        <f t="shared" si="0"/>
        <v/>
      </c>
      <c r="W26" s="2" t="str">
        <f t="shared" si="1"/>
        <v/>
      </c>
      <c r="X26" s="2" t="str">
        <f t="shared" si="2"/>
        <v/>
      </c>
      <c r="Y26" s="2" t="str">
        <f t="shared" si="3"/>
        <v/>
      </c>
      <c r="Z26" s="2" t="str">
        <f t="shared" si="4"/>
        <v/>
      </c>
      <c r="AA26" s="144">
        <f>IF(SUM(V26:Z26)=0,0,Setup!F$44/SUM(V26:Z26))</f>
        <v>0</v>
      </c>
    </row>
    <row r="27" spans="1:27" hidden="1" x14ac:dyDescent="0.2">
      <c r="A27" s="22">
        <f>Matchups!C24</f>
        <v>7</v>
      </c>
      <c r="B27" s="341"/>
      <c r="C27" s="119"/>
      <c r="D27" s="119"/>
      <c r="E27" s="119"/>
      <c r="F27" s="119"/>
      <c r="G27" s="119"/>
      <c r="H27" s="119"/>
      <c r="I27" s="119"/>
      <c r="J27" s="120"/>
      <c r="K27" s="13"/>
      <c r="M27" s="227">
        <f t="shared" si="7"/>
        <v>7</v>
      </c>
      <c r="N27" s="8">
        <f t="shared" si="5"/>
        <v>0</v>
      </c>
      <c r="O27" s="8"/>
      <c r="P27" s="164"/>
      <c r="Q27" s="66"/>
      <c r="R27" s="66"/>
      <c r="S27" s="66"/>
      <c r="T27" s="154"/>
      <c r="V27" s="2" t="str">
        <f t="shared" si="0"/>
        <v/>
      </c>
      <c r="W27" s="2" t="str">
        <f t="shared" si="1"/>
        <v/>
      </c>
      <c r="X27" s="2" t="str">
        <f t="shared" si="2"/>
        <v/>
      </c>
      <c r="Y27" s="2" t="str">
        <f t="shared" si="3"/>
        <v/>
      </c>
      <c r="Z27" s="2" t="str">
        <f t="shared" si="4"/>
        <v/>
      </c>
      <c r="AA27" s="144">
        <f>IF(SUM(V27:Z27)=0,0,Setup!F$44/SUM(V27:Z27))</f>
        <v>0</v>
      </c>
    </row>
    <row r="28" spans="1:27" ht="13.5" thickBot="1" x14ac:dyDescent="0.25">
      <c r="A28" s="23" t="str">
        <f>Matchups!C25</f>
        <v>Gerald C</v>
      </c>
      <c r="B28" s="343">
        <v>8</v>
      </c>
      <c r="C28" s="122">
        <v>6</v>
      </c>
      <c r="D28" s="122">
        <v>5</v>
      </c>
      <c r="E28" s="122">
        <v>9</v>
      </c>
      <c r="F28" s="122">
        <v>4</v>
      </c>
      <c r="G28" s="122">
        <v>5</v>
      </c>
      <c r="H28" s="122">
        <v>6</v>
      </c>
      <c r="I28" s="122">
        <v>8</v>
      </c>
      <c r="J28" s="123">
        <v>7</v>
      </c>
      <c r="K28" s="14">
        <f t="shared" si="6"/>
        <v>58</v>
      </c>
      <c r="M28" s="228" t="str">
        <f t="shared" si="7"/>
        <v>Gerald C</v>
      </c>
      <c r="N28" s="11">
        <f t="shared" si="5"/>
        <v>58</v>
      </c>
      <c r="O28" s="11">
        <f>K115</f>
        <v>0</v>
      </c>
      <c r="P28" s="166"/>
      <c r="Q28" s="67"/>
      <c r="R28" s="67"/>
      <c r="S28" s="67"/>
      <c r="T28" s="157"/>
      <c r="V28" s="2" t="str">
        <f t="shared" si="0"/>
        <v/>
      </c>
      <c r="W28" s="2" t="str">
        <f t="shared" si="1"/>
        <v/>
      </c>
      <c r="X28" s="2" t="str">
        <f t="shared" si="2"/>
        <v/>
      </c>
      <c r="Y28" s="2" t="str">
        <f t="shared" si="3"/>
        <v/>
      </c>
      <c r="Z28" s="2" t="str">
        <f t="shared" si="4"/>
        <v/>
      </c>
      <c r="AA28" s="144">
        <f>IF(SUM(V28:Z28)=0,0,Setup!F$44/SUM(V28:Z28))</f>
        <v>0</v>
      </c>
    </row>
    <row r="29" spans="1:27" hidden="1" x14ac:dyDescent="0.2">
      <c r="A29" s="534">
        <f>Matchups!C26</f>
        <v>12</v>
      </c>
      <c r="B29" s="340"/>
      <c r="C29" s="137"/>
      <c r="D29" s="137"/>
      <c r="E29" s="137"/>
      <c r="F29" s="137"/>
      <c r="G29" s="137"/>
      <c r="H29" s="137"/>
      <c r="I29" s="137"/>
      <c r="J29" s="138"/>
      <c r="K29" s="231"/>
      <c r="M29" s="262">
        <f t="shared" si="7"/>
        <v>12</v>
      </c>
      <c r="N29" s="71">
        <f t="shared" si="5"/>
        <v>0</v>
      </c>
      <c r="O29" s="71"/>
      <c r="P29" s="163"/>
      <c r="Q29" s="158"/>
      <c r="R29" s="158"/>
      <c r="S29" s="158"/>
      <c r="T29" s="159"/>
      <c r="V29" s="2" t="str">
        <f t="shared" si="0"/>
        <v/>
      </c>
      <c r="W29" s="2" t="str">
        <f t="shared" si="1"/>
        <v/>
      </c>
      <c r="X29" s="2" t="str">
        <f t="shared" si="2"/>
        <v/>
      </c>
      <c r="Y29" s="2" t="str">
        <f t="shared" si="3"/>
        <v/>
      </c>
      <c r="Z29" s="2" t="str">
        <f t="shared" si="4"/>
        <v/>
      </c>
      <c r="AA29" s="144">
        <f>IF(SUM(V29:Z29)=0,0,Setup!F$44/SUM(V29:Z29))</f>
        <v>0</v>
      </c>
    </row>
    <row r="30" spans="1:27" x14ac:dyDescent="0.2">
      <c r="A30" s="22" t="str">
        <f>Matchups!C27</f>
        <v>Bob</v>
      </c>
      <c r="B30" s="341">
        <v>5</v>
      </c>
      <c r="C30" s="119">
        <v>5</v>
      </c>
      <c r="D30" s="119">
        <v>6</v>
      </c>
      <c r="E30" s="119">
        <v>6</v>
      </c>
      <c r="F30" s="119">
        <v>3</v>
      </c>
      <c r="G30" s="119">
        <v>7</v>
      </c>
      <c r="H30" s="119">
        <v>4</v>
      </c>
      <c r="I30" s="119">
        <v>5</v>
      </c>
      <c r="J30" s="120">
        <v>8</v>
      </c>
      <c r="K30" s="13">
        <f>SUM(B30:J30)</f>
        <v>49</v>
      </c>
      <c r="M30" s="227" t="str">
        <f t="shared" si="7"/>
        <v>Bob</v>
      </c>
      <c r="N30" s="8">
        <f t="shared" ref="N30:N36" si="8">K30</f>
        <v>49</v>
      </c>
      <c r="O30" s="8">
        <f>K122</f>
        <v>2</v>
      </c>
      <c r="P30" s="164"/>
      <c r="Q30" s="66"/>
      <c r="R30" s="66"/>
      <c r="S30" s="66"/>
      <c r="T30" s="154"/>
      <c r="V30" s="2" t="str">
        <f t="shared" si="0"/>
        <v/>
      </c>
      <c r="W30" s="2" t="str">
        <f t="shared" si="1"/>
        <v/>
      </c>
      <c r="X30" s="2" t="str">
        <f t="shared" si="2"/>
        <v/>
      </c>
      <c r="Y30" s="2" t="str">
        <f t="shared" si="3"/>
        <v/>
      </c>
      <c r="Z30" s="2" t="str">
        <f t="shared" si="4"/>
        <v/>
      </c>
      <c r="AA30" s="144">
        <f>IF(SUM(V30:Z30)=0,0,Setup!F$44/SUM(V30:Z30))</f>
        <v>0</v>
      </c>
    </row>
    <row r="31" spans="1:27" hidden="1" x14ac:dyDescent="0.2">
      <c r="A31" s="22">
        <f>Matchups!C28</f>
        <v>10</v>
      </c>
      <c r="B31" s="341"/>
      <c r="C31" s="119"/>
      <c r="D31" s="119"/>
      <c r="E31" s="119"/>
      <c r="F31" s="119"/>
      <c r="G31" s="119"/>
      <c r="H31" s="119"/>
      <c r="I31" s="119"/>
      <c r="J31" s="120"/>
      <c r="K31" s="13"/>
      <c r="M31" s="227">
        <f t="shared" si="7"/>
        <v>10</v>
      </c>
      <c r="N31" s="8">
        <f t="shared" si="8"/>
        <v>0</v>
      </c>
      <c r="O31" s="8"/>
      <c r="P31" s="164"/>
      <c r="Q31" s="66"/>
      <c r="R31" s="66"/>
      <c r="S31" s="66"/>
      <c r="T31" s="154"/>
      <c r="V31" s="2" t="str">
        <f t="shared" si="0"/>
        <v/>
      </c>
      <c r="W31" s="2" t="str">
        <f t="shared" si="1"/>
        <v/>
      </c>
      <c r="X31" s="2" t="str">
        <f t="shared" si="2"/>
        <v/>
      </c>
      <c r="Y31" s="2" t="str">
        <f t="shared" si="3"/>
        <v/>
      </c>
      <c r="Z31" s="2" t="str">
        <f t="shared" si="4"/>
        <v/>
      </c>
      <c r="AA31" s="144">
        <f>IF(SUM(V31:Z31)=0,0,Setup!F$44/SUM(V31:Z31))</f>
        <v>0</v>
      </c>
    </row>
    <row r="32" spans="1:27" x14ac:dyDescent="0.2">
      <c r="A32" s="22" t="str">
        <f>Matchups!C29</f>
        <v>Patrick</v>
      </c>
      <c r="B32" s="341">
        <v>5</v>
      </c>
      <c r="C32" s="119">
        <v>7</v>
      </c>
      <c r="D32" s="119">
        <v>6</v>
      </c>
      <c r="E32" s="119">
        <v>6</v>
      </c>
      <c r="F32" s="119">
        <v>6</v>
      </c>
      <c r="G32" s="119">
        <v>6</v>
      </c>
      <c r="H32" s="119">
        <v>6</v>
      </c>
      <c r="I32" s="119">
        <v>5</v>
      </c>
      <c r="J32" s="120">
        <v>9</v>
      </c>
      <c r="K32" s="13">
        <f>SUM(B32:J32)</f>
        <v>56</v>
      </c>
      <c r="M32" s="227" t="str">
        <f t="shared" si="7"/>
        <v>Patrick</v>
      </c>
      <c r="N32" s="8">
        <f t="shared" si="8"/>
        <v>56</v>
      </c>
      <c r="O32" s="8">
        <f>K128</f>
        <v>0</v>
      </c>
      <c r="P32" s="164"/>
      <c r="Q32" s="66"/>
      <c r="R32" s="66"/>
      <c r="S32" s="66"/>
      <c r="T32" s="154"/>
      <c r="V32" s="2" t="str">
        <f t="shared" si="0"/>
        <v/>
      </c>
      <c r="W32" s="2" t="str">
        <f t="shared" si="1"/>
        <v/>
      </c>
      <c r="X32" s="2" t="str">
        <f t="shared" si="2"/>
        <v/>
      </c>
      <c r="Y32" s="2" t="str">
        <f t="shared" si="3"/>
        <v/>
      </c>
      <c r="Z32" s="2" t="str">
        <f t="shared" si="4"/>
        <v/>
      </c>
      <c r="AA32" s="144">
        <f>IF(SUM(V32:Z32)=0,0,Setup!F$44/SUM(V32:Z32))</f>
        <v>0</v>
      </c>
    </row>
    <row r="33" spans="1:27" hidden="1" x14ac:dyDescent="0.2">
      <c r="A33" s="22">
        <f>Matchups!C30</f>
        <v>8</v>
      </c>
      <c r="B33" s="341"/>
      <c r="C33" s="119"/>
      <c r="D33" s="119"/>
      <c r="E33" s="119"/>
      <c r="F33" s="119"/>
      <c r="G33" s="119"/>
      <c r="H33" s="119"/>
      <c r="I33" s="119"/>
      <c r="J33" s="120"/>
      <c r="K33" s="13"/>
      <c r="M33" s="227">
        <f t="shared" si="7"/>
        <v>8</v>
      </c>
      <c r="N33" s="8"/>
      <c r="O33" s="8"/>
      <c r="P33" s="164"/>
      <c r="Q33" s="66"/>
      <c r="R33" s="66"/>
      <c r="S33" s="66"/>
      <c r="T33" s="154"/>
      <c r="V33" s="2" t="str">
        <f t="shared" si="0"/>
        <v/>
      </c>
      <c r="W33" s="2" t="str">
        <f t="shared" si="1"/>
        <v/>
      </c>
      <c r="X33" s="2" t="str">
        <f t="shared" si="2"/>
        <v/>
      </c>
      <c r="Y33" s="2" t="str">
        <f t="shared" si="3"/>
        <v/>
      </c>
      <c r="Z33" s="2" t="str">
        <f t="shared" si="4"/>
        <v/>
      </c>
      <c r="AA33" s="144">
        <f>IF(SUM(V33:Z33)=0,0,Setup!F$44/SUM(V33:Z33))</f>
        <v>0</v>
      </c>
    </row>
    <row r="34" spans="1:27" x14ac:dyDescent="0.2">
      <c r="A34" s="22" t="str">
        <f>Matchups!C31</f>
        <v>Brian S</v>
      </c>
      <c r="B34" s="340">
        <v>5</v>
      </c>
      <c r="C34" s="137">
        <v>6</v>
      </c>
      <c r="D34" s="137">
        <v>4</v>
      </c>
      <c r="E34" s="137">
        <v>6</v>
      </c>
      <c r="F34" s="137">
        <v>3</v>
      </c>
      <c r="G34" s="137">
        <v>5</v>
      </c>
      <c r="H34" s="137">
        <v>7</v>
      </c>
      <c r="I34" s="137">
        <v>5</v>
      </c>
      <c r="J34" s="138">
        <v>6</v>
      </c>
      <c r="K34" s="13">
        <f>SUM(B34:J34)</f>
        <v>47</v>
      </c>
      <c r="M34" s="227" t="str">
        <f t="shared" si="7"/>
        <v>Brian S</v>
      </c>
      <c r="N34" s="8">
        <f t="shared" si="8"/>
        <v>47</v>
      </c>
      <c r="O34" s="8">
        <f>K135</f>
        <v>2</v>
      </c>
      <c r="P34" s="164"/>
      <c r="Q34" s="66"/>
      <c r="R34" s="66"/>
      <c r="S34" s="66"/>
      <c r="T34" s="154"/>
      <c r="V34" s="2" t="str">
        <f t="shared" si="0"/>
        <v/>
      </c>
      <c r="W34" s="2" t="str">
        <f t="shared" si="1"/>
        <v/>
      </c>
      <c r="X34" s="2" t="str">
        <f t="shared" si="2"/>
        <v/>
      </c>
      <c r="Y34" s="2" t="str">
        <f t="shared" si="3"/>
        <v/>
      </c>
      <c r="Z34" s="2" t="str">
        <f t="shared" si="4"/>
        <v/>
      </c>
      <c r="AA34" s="144">
        <f>IF(SUM(V34:Z34)=0,0,Setup!F$44/SUM(V34:Z34))</f>
        <v>0</v>
      </c>
    </row>
    <row r="35" spans="1:27" hidden="1" x14ac:dyDescent="0.2">
      <c r="A35" s="22">
        <f>Matchups!C32</f>
        <v>13</v>
      </c>
      <c r="B35" s="341"/>
      <c r="C35" s="119"/>
      <c r="D35" s="119"/>
      <c r="E35" s="119"/>
      <c r="F35" s="119"/>
      <c r="G35" s="119"/>
      <c r="H35" s="119"/>
      <c r="I35" s="119"/>
      <c r="J35" s="120"/>
      <c r="K35" s="13"/>
      <c r="M35" s="227">
        <f t="shared" si="7"/>
        <v>13</v>
      </c>
      <c r="N35" s="8"/>
      <c r="O35" s="8"/>
      <c r="P35" s="164"/>
      <c r="Q35" s="66"/>
      <c r="R35" s="66"/>
      <c r="S35" s="66"/>
      <c r="T35" s="154"/>
      <c r="V35" s="2" t="str">
        <f t="shared" si="0"/>
        <v/>
      </c>
      <c r="W35" s="2" t="str">
        <f t="shared" si="1"/>
        <v/>
      </c>
      <c r="X35" s="2" t="str">
        <f t="shared" si="2"/>
        <v/>
      </c>
      <c r="Y35" s="2" t="str">
        <f t="shared" si="3"/>
        <v/>
      </c>
      <c r="Z35" s="2" t="str">
        <f t="shared" si="4"/>
        <v/>
      </c>
      <c r="AA35" s="144">
        <f>IF(SUM(V35:Z35)=0,0,Setup!F$44/SUM(V35:Z35))</f>
        <v>0</v>
      </c>
    </row>
    <row r="36" spans="1:27" ht="13.5" thickBot="1" x14ac:dyDescent="0.25">
      <c r="A36" s="23" t="str">
        <f>Matchups!C33</f>
        <v>Chris</v>
      </c>
      <c r="B36" s="343">
        <v>8</v>
      </c>
      <c r="C36" s="122">
        <v>7</v>
      </c>
      <c r="D36" s="122">
        <v>3</v>
      </c>
      <c r="E36" s="122">
        <v>10</v>
      </c>
      <c r="F36" s="122">
        <v>3</v>
      </c>
      <c r="G36" s="122">
        <v>6</v>
      </c>
      <c r="H36" s="122">
        <v>9</v>
      </c>
      <c r="I36" s="122">
        <v>4</v>
      </c>
      <c r="J36" s="123">
        <v>8</v>
      </c>
      <c r="K36" s="14">
        <f>SUM(B36:J36)</f>
        <v>58</v>
      </c>
      <c r="M36" s="228" t="str">
        <f t="shared" si="7"/>
        <v>Chris</v>
      </c>
      <c r="N36" s="11">
        <f t="shared" si="8"/>
        <v>58</v>
      </c>
      <c r="O36" s="11">
        <f>K141</f>
        <v>0</v>
      </c>
      <c r="P36" s="166"/>
      <c r="Q36" s="67"/>
      <c r="R36" s="67"/>
      <c r="S36" s="67"/>
      <c r="T36" s="157"/>
      <c r="V36" s="2" t="str">
        <f t="shared" si="0"/>
        <v/>
      </c>
      <c r="W36" s="2" t="str">
        <f t="shared" si="1"/>
        <v/>
      </c>
      <c r="X36" s="2" t="str">
        <f t="shared" si="2"/>
        <v/>
      </c>
      <c r="Y36" s="2" t="str">
        <f t="shared" si="3"/>
        <v/>
      </c>
      <c r="Z36" s="2" t="str">
        <f t="shared" si="4"/>
        <v/>
      </c>
      <c r="AA36" s="144">
        <f>IF(SUM(V36:Z36)=0,0,Setup!F$44/SUM(V36:Z36))</f>
        <v>0</v>
      </c>
    </row>
    <row r="37" spans="1:27" hidden="1" x14ac:dyDescent="0.2">
      <c r="A37" s="400">
        <f>Matchups!C34</f>
        <v>15</v>
      </c>
      <c r="B37" s="124"/>
      <c r="C37" s="125"/>
      <c r="D37" s="125"/>
      <c r="E37" s="125"/>
      <c r="F37" s="125"/>
      <c r="G37" s="125"/>
      <c r="H37" s="125"/>
      <c r="I37" s="125"/>
      <c r="J37" s="126"/>
      <c r="K37" s="250"/>
      <c r="M37" s="333">
        <f t="shared" si="7"/>
        <v>15</v>
      </c>
      <c r="N37" s="89"/>
      <c r="O37" s="89"/>
      <c r="P37" s="687"/>
      <c r="Q37" s="394"/>
      <c r="R37" s="394"/>
      <c r="S37" s="394"/>
      <c r="T37" s="405"/>
      <c r="V37" s="2" t="str">
        <f t="shared" si="0"/>
        <v/>
      </c>
      <c r="W37" s="2" t="str">
        <f t="shared" si="1"/>
        <v/>
      </c>
      <c r="X37" s="2" t="str">
        <f t="shared" si="2"/>
        <v/>
      </c>
      <c r="Y37" s="2" t="str">
        <f t="shared" si="3"/>
        <v/>
      </c>
      <c r="Z37" s="2" t="str">
        <f t="shared" si="4"/>
        <v/>
      </c>
      <c r="AA37" s="144">
        <f>IF(SUM(V37:Z37)=0,0,Setup!F$44/SUM(V37:Z37))</f>
        <v>0</v>
      </c>
    </row>
    <row r="38" spans="1:27" x14ac:dyDescent="0.2">
      <c r="A38" s="26"/>
      <c r="B38" s="15"/>
      <c r="C38" s="15"/>
      <c r="D38" s="15"/>
      <c r="E38" s="15"/>
      <c r="F38" s="15"/>
      <c r="G38" s="15"/>
      <c r="H38" s="15"/>
      <c r="I38" s="15"/>
      <c r="J38" s="15"/>
      <c r="K38" s="15"/>
      <c r="AA38" s="139"/>
    </row>
    <row r="39" spans="1:27" x14ac:dyDescent="0.2">
      <c r="S39" s="52">
        <f>COUNTIF(S6:S37,1)</f>
        <v>0</v>
      </c>
    </row>
    <row r="40" spans="1:27" ht="13.5" thickBot="1" x14ac:dyDescent="0.25">
      <c r="A40" s="27" t="s">
        <v>8</v>
      </c>
      <c r="S40" s="160"/>
    </row>
    <row r="41" spans="1:27" x14ac:dyDescent="0.2">
      <c r="A41" s="79" t="str">
        <f t="shared" ref="A41:J41" si="9">A6</f>
        <v>Mil</v>
      </c>
      <c r="B41" s="17">
        <f t="shared" si="9"/>
        <v>5</v>
      </c>
      <c r="C41" s="3">
        <f t="shared" si="9"/>
        <v>4</v>
      </c>
      <c r="D41" s="3">
        <f t="shared" si="9"/>
        <v>5</v>
      </c>
      <c r="E41" s="3">
        <f t="shared" si="9"/>
        <v>4</v>
      </c>
      <c r="F41" s="3">
        <f t="shared" si="9"/>
        <v>4</v>
      </c>
      <c r="G41" s="3">
        <f t="shared" si="9"/>
        <v>4</v>
      </c>
      <c r="H41" s="3">
        <f t="shared" si="9"/>
        <v>5</v>
      </c>
      <c r="I41" s="3">
        <f t="shared" si="9"/>
        <v>5</v>
      </c>
      <c r="J41" s="4">
        <f t="shared" si="9"/>
        <v>4</v>
      </c>
      <c r="K41" s="12">
        <f>SUM(B41:J41)</f>
        <v>40</v>
      </c>
    </row>
    <row r="42" spans="1:27" x14ac:dyDescent="0.2">
      <c r="A42" s="80">
        <f>A7</f>
        <v>6</v>
      </c>
      <c r="B42" s="18">
        <f>IF(AND(ISNUMBER($A42),ISNUMBER($A48)),IF((RANK(B$4,$B$4:$J$4,1))&lt;=($A42-$A48),1,0),"")</f>
        <v>0</v>
      </c>
      <c r="C42" s="6">
        <f t="shared" ref="C42:J43" si="10">IF(AND(ISNUMBER($A42),ISNUMBER($A48)),IF((RANK(C$4,$B$4:$J$4,1))&lt;=($A42-$A48),1,0),"")</f>
        <v>0</v>
      </c>
      <c r="D42" s="6">
        <f t="shared" si="10"/>
        <v>0</v>
      </c>
      <c r="E42" s="6">
        <f t="shared" si="10"/>
        <v>0</v>
      </c>
      <c r="F42" s="6">
        <f t="shared" si="10"/>
        <v>0</v>
      </c>
      <c r="G42" s="6">
        <f t="shared" si="10"/>
        <v>0</v>
      </c>
      <c r="H42" s="6">
        <f t="shared" si="10"/>
        <v>0</v>
      </c>
      <c r="I42" s="6">
        <f t="shared" si="10"/>
        <v>0</v>
      </c>
      <c r="J42" s="7">
        <f t="shared" si="10"/>
        <v>0</v>
      </c>
      <c r="K42" s="13">
        <f>SUM(B42:J42)</f>
        <v>0</v>
      </c>
    </row>
    <row r="43" spans="1:27" x14ac:dyDescent="0.2">
      <c r="A43" s="80">
        <f>IF((A42-A48)&gt;9,(A42-A48-9),0)</f>
        <v>0</v>
      </c>
      <c r="B43" s="18">
        <f>IF(AND(ISNUMBER($A43),ISNUMBER($A49)),IF((RANK(B$4,$B$4:$J$4,1))&lt;=($A43-$A49),1,0),"")</f>
        <v>0</v>
      </c>
      <c r="C43" s="6">
        <f t="shared" si="10"/>
        <v>0</v>
      </c>
      <c r="D43" s="6">
        <f t="shared" si="10"/>
        <v>0</v>
      </c>
      <c r="E43" s="6">
        <f t="shared" si="10"/>
        <v>0</v>
      </c>
      <c r="F43" s="6">
        <f t="shared" si="10"/>
        <v>0</v>
      </c>
      <c r="G43" s="6">
        <f t="shared" si="10"/>
        <v>0</v>
      </c>
      <c r="H43" s="6">
        <f t="shared" si="10"/>
        <v>0</v>
      </c>
      <c r="I43" s="6">
        <f t="shared" si="10"/>
        <v>0</v>
      </c>
      <c r="J43" s="7">
        <f t="shared" si="10"/>
        <v>0</v>
      </c>
      <c r="K43" s="13">
        <f>SUM(B43:J43)</f>
        <v>0</v>
      </c>
    </row>
    <row r="44" spans="1:27" x14ac:dyDescent="0.2">
      <c r="A44" s="80"/>
      <c r="B44" s="82">
        <f>IF(AND(ISNUMBER(B41),ISNUMBER(B42)),B41-B42-B43," ")</f>
        <v>5</v>
      </c>
      <c r="C44" s="83">
        <f t="shared" ref="C44:J44" si="11">IF(AND(ISNUMBER(C41),ISNUMBER(C42)),C41-C42-C43," ")</f>
        <v>4</v>
      </c>
      <c r="D44" s="83">
        <f t="shared" si="11"/>
        <v>5</v>
      </c>
      <c r="E44" s="83">
        <f t="shared" si="11"/>
        <v>4</v>
      </c>
      <c r="F44" s="83">
        <f t="shared" si="11"/>
        <v>4</v>
      </c>
      <c r="G44" s="83">
        <f t="shared" si="11"/>
        <v>4</v>
      </c>
      <c r="H44" s="83">
        <f t="shared" si="11"/>
        <v>5</v>
      </c>
      <c r="I44" s="83">
        <f t="shared" si="11"/>
        <v>5</v>
      </c>
      <c r="J44" s="84">
        <f t="shared" si="11"/>
        <v>4</v>
      </c>
      <c r="K44" s="13">
        <f>IF(ISNUMBER(FIND("Wins",K45)), 2, IF(ISNUMBER(FIND("Tie",K45)), 1, 0))</f>
        <v>1</v>
      </c>
    </row>
    <row r="45" spans="1:27" ht="13.5" thickBot="1" x14ac:dyDescent="0.25">
      <c r="A45" s="81"/>
      <c r="B45" s="19">
        <f>IF(AND(ISNUMBER(B44),ISNUMBER(B50)),IF(B44&lt;B50, 0+1, (IF(B44&gt;B50, 0-1, 0)))," ")</f>
        <v>1</v>
      </c>
      <c r="C45" s="9">
        <f t="shared" ref="C45:J45" si="12">IF(AND(ISNUMBER(C44),ISNUMBER(C50)),IF(C44&lt;C50, +B45+1, (IF(C44&gt;C50, +B45-1, +B45)))," ")</f>
        <v>2</v>
      </c>
      <c r="D45" s="9">
        <f t="shared" si="12"/>
        <v>1</v>
      </c>
      <c r="E45" s="9">
        <f t="shared" si="12"/>
        <v>2</v>
      </c>
      <c r="F45" s="9">
        <f t="shared" si="12"/>
        <v>1</v>
      </c>
      <c r="G45" s="9">
        <f t="shared" si="12"/>
        <v>1</v>
      </c>
      <c r="H45" s="9">
        <f t="shared" si="12"/>
        <v>0</v>
      </c>
      <c r="I45" s="9">
        <f t="shared" si="12"/>
        <v>-1</v>
      </c>
      <c r="J45" s="10">
        <f t="shared" si="12"/>
        <v>0</v>
      </c>
      <c r="K45" s="14" t="str">
        <f>IF(ISNUMBER(J45),IF(F45&gt;4,"Wins " &amp; F45 &amp; " &amp; 4",IF(G45&gt;3,"Wins " &amp; G45 &amp; " &amp; 3",IF(H45&gt;2,"Wins " &amp; H45 &amp; " &amp; 2",IF(I45&gt;1,"Wins " &amp; I45 &amp; " &amp; 1",IF(J45&gt;J51,"Wins " &amp; J45 &amp; " Up",IF(J45&lt;J51,"Loss","Tie"))))))," ")</f>
        <v>Tie</v>
      </c>
    </row>
    <row r="46" spans="1:27" ht="13.5" thickBot="1" x14ac:dyDescent="0.25">
      <c r="A46" s="32"/>
    </row>
    <row r="47" spans="1:27" x14ac:dyDescent="0.2">
      <c r="A47" s="29" t="str">
        <f t="shared" ref="A47:J47" si="13">A8</f>
        <v>John</v>
      </c>
      <c r="B47" s="17">
        <f t="shared" si="13"/>
        <v>7</v>
      </c>
      <c r="C47" s="3">
        <f t="shared" si="13"/>
        <v>5</v>
      </c>
      <c r="D47" s="3">
        <f t="shared" si="13"/>
        <v>3</v>
      </c>
      <c r="E47" s="3">
        <f t="shared" si="13"/>
        <v>6</v>
      </c>
      <c r="F47" s="3">
        <f t="shared" si="13"/>
        <v>3</v>
      </c>
      <c r="G47" s="3">
        <f t="shared" si="13"/>
        <v>4</v>
      </c>
      <c r="H47" s="3">
        <f t="shared" si="13"/>
        <v>4</v>
      </c>
      <c r="I47" s="3">
        <f t="shared" si="13"/>
        <v>3</v>
      </c>
      <c r="J47" s="4">
        <f t="shared" si="13"/>
        <v>5</v>
      </c>
      <c r="K47" s="12">
        <f>SUM(B47:J47)</f>
        <v>40</v>
      </c>
    </row>
    <row r="48" spans="1:27" x14ac:dyDescent="0.2">
      <c r="A48" s="30">
        <f>A9</f>
        <v>7</v>
      </c>
      <c r="B48" s="18">
        <f>IF(AND(ISNUMBER($A42),ISNUMBER($A48)),IF((RANK(B$4,$B$4:$J$4,1))&lt;=($A48-$A42),1,0),"")</f>
        <v>0</v>
      </c>
      <c r="C48" s="6">
        <f t="shared" ref="C48:J49" si="14">IF(AND(ISNUMBER($A42),ISNUMBER($A48)),IF((RANK(C$4,$B$4:$J$4,1))&lt;=($A48-$A42),1,0),"")</f>
        <v>0</v>
      </c>
      <c r="D48" s="6">
        <f t="shared" si="14"/>
        <v>0</v>
      </c>
      <c r="E48" s="6">
        <f t="shared" si="14"/>
        <v>0</v>
      </c>
      <c r="F48" s="6">
        <f t="shared" si="14"/>
        <v>0</v>
      </c>
      <c r="G48" s="6">
        <f t="shared" si="14"/>
        <v>0</v>
      </c>
      <c r="H48" s="6">
        <f t="shared" si="14"/>
        <v>1</v>
      </c>
      <c r="I48" s="6">
        <f t="shared" si="14"/>
        <v>0</v>
      </c>
      <c r="J48" s="7">
        <f t="shared" si="14"/>
        <v>0</v>
      </c>
      <c r="K48" s="13">
        <f>SUM(B48:J48)</f>
        <v>1</v>
      </c>
    </row>
    <row r="49" spans="1:27" x14ac:dyDescent="0.2">
      <c r="A49" s="30">
        <f>IF((A48-A42)&gt;9,(A48-A42-9),0)</f>
        <v>0</v>
      </c>
      <c r="B49" s="18">
        <f>IF(AND(ISNUMBER($A43),ISNUMBER($A49)),IF((RANK(B$4,$B$4:$J$4,1))&lt;=($A49-$A43),1,0),"")</f>
        <v>0</v>
      </c>
      <c r="C49" s="6">
        <f t="shared" si="14"/>
        <v>0</v>
      </c>
      <c r="D49" s="6">
        <f t="shared" si="14"/>
        <v>0</v>
      </c>
      <c r="E49" s="6">
        <f t="shared" si="14"/>
        <v>0</v>
      </c>
      <c r="F49" s="6">
        <f t="shared" si="14"/>
        <v>0</v>
      </c>
      <c r="G49" s="6">
        <f t="shared" si="14"/>
        <v>0</v>
      </c>
      <c r="H49" s="6">
        <f t="shared" si="14"/>
        <v>0</v>
      </c>
      <c r="I49" s="6">
        <f t="shared" si="14"/>
        <v>0</v>
      </c>
      <c r="J49" s="7">
        <f t="shared" si="14"/>
        <v>0</v>
      </c>
      <c r="K49" s="13">
        <f>SUM(B49:J49)</f>
        <v>0</v>
      </c>
    </row>
    <row r="50" spans="1:27" x14ac:dyDescent="0.2">
      <c r="A50" s="30"/>
      <c r="B50" s="82">
        <f>IF(AND(ISNUMBER(B47),ISNUMBER(B48)),B47-B48-B49," ")</f>
        <v>7</v>
      </c>
      <c r="C50" s="83">
        <f t="shared" ref="C50:J50" si="15">IF(AND(ISNUMBER(C47),ISNUMBER(C48)),C47-C48-C49," ")</f>
        <v>5</v>
      </c>
      <c r="D50" s="83">
        <f t="shared" si="15"/>
        <v>3</v>
      </c>
      <c r="E50" s="83">
        <f t="shared" si="15"/>
        <v>6</v>
      </c>
      <c r="F50" s="83">
        <f t="shared" si="15"/>
        <v>3</v>
      </c>
      <c r="G50" s="83">
        <f t="shared" si="15"/>
        <v>4</v>
      </c>
      <c r="H50" s="83">
        <f t="shared" si="15"/>
        <v>3</v>
      </c>
      <c r="I50" s="83">
        <f t="shared" si="15"/>
        <v>3</v>
      </c>
      <c r="J50" s="84">
        <f t="shared" si="15"/>
        <v>5</v>
      </c>
      <c r="K50" s="13">
        <f>IF(ISNUMBER(FIND("Wins",K51)), 2, IF(ISNUMBER(FIND("Tie",K51)), 1, 0))</f>
        <v>1</v>
      </c>
    </row>
    <row r="51" spans="1:27" ht="13.5" thickBot="1" x14ac:dyDescent="0.25">
      <c r="A51" s="31"/>
      <c r="B51" s="19">
        <f>IF(AND(ISNUMBER(B44),ISNUMBER(B50)),IF(B50&lt;B44, 0+1, (IF(B50&gt;B44, 0-1, 0)))," ")</f>
        <v>-1</v>
      </c>
      <c r="C51" s="9">
        <f t="shared" ref="C51:J51" si="16">IF(AND(ISNUMBER(C44),ISNUMBER(C50)),IF(C50&lt;C44, +B51+1, (IF(C50&gt;C44, +B51-1, +B51)))," ")</f>
        <v>-2</v>
      </c>
      <c r="D51" s="9">
        <f t="shared" si="16"/>
        <v>-1</v>
      </c>
      <c r="E51" s="9">
        <f t="shared" si="16"/>
        <v>-2</v>
      </c>
      <c r="F51" s="9">
        <f t="shared" si="16"/>
        <v>-1</v>
      </c>
      <c r="G51" s="9">
        <f t="shared" si="16"/>
        <v>-1</v>
      </c>
      <c r="H51" s="9">
        <f t="shared" si="16"/>
        <v>0</v>
      </c>
      <c r="I51" s="9">
        <f t="shared" si="16"/>
        <v>1</v>
      </c>
      <c r="J51" s="10">
        <f t="shared" si="16"/>
        <v>0</v>
      </c>
      <c r="K51" s="14" t="str">
        <f>IF(ISNUMBER(J51),IF(F51&gt;4,"Wins " &amp; F51 &amp; " &amp; 4",IF(G51&gt;3,"Wins " &amp; G51 &amp; " &amp; 3",IF(H51&gt;2,"Wins " &amp; H51 &amp; " &amp; 2",IF(I51&gt;1,"Wins " &amp; I51 &amp; " &amp; 1",IF(J51&gt;J45,"Wins " &amp; J51 &amp; " Up",IF(J51&lt;J45,"Loss","Tie"))))))," ")</f>
        <v>Tie</v>
      </c>
    </row>
    <row r="53" spans="1:27" s="16" customFormat="1" ht="13.5" thickBot="1" x14ac:dyDescent="0.25">
      <c r="A53" s="27" t="s">
        <v>9</v>
      </c>
      <c r="B53" s="2"/>
      <c r="C53" s="2"/>
      <c r="D53" s="2"/>
      <c r="E53" s="2"/>
      <c r="F53" s="2"/>
      <c r="G53" s="2"/>
      <c r="H53" s="2"/>
      <c r="I53" s="2"/>
      <c r="J53" s="2"/>
      <c r="K53" s="2"/>
      <c r="N53" s="15"/>
      <c r="O53" s="15"/>
      <c r="P53" s="59"/>
      <c r="Q53" s="59"/>
      <c r="R53" s="59"/>
      <c r="S53" s="59"/>
      <c r="T53" s="59"/>
      <c r="W53" s="15"/>
      <c r="X53" s="15"/>
      <c r="Y53" s="15"/>
      <c r="Z53" s="15"/>
      <c r="AA53" s="15"/>
    </row>
    <row r="54" spans="1:27" s="16" customFormat="1" x14ac:dyDescent="0.2">
      <c r="A54" s="29" t="str">
        <f t="shared" ref="A54:J54" si="17">A10</f>
        <v>Brian P</v>
      </c>
      <c r="B54" s="17">
        <f t="shared" si="17"/>
        <v>4</v>
      </c>
      <c r="C54" s="3">
        <f t="shared" si="17"/>
        <v>5</v>
      </c>
      <c r="D54" s="3">
        <f t="shared" si="17"/>
        <v>5</v>
      </c>
      <c r="E54" s="3">
        <f t="shared" si="17"/>
        <v>7</v>
      </c>
      <c r="F54" s="3">
        <f t="shared" si="17"/>
        <v>4</v>
      </c>
      <c r="G54" s="3">
        <f t="shared" si="17"/>
        <v>5</v>
      </c>
      <c r="H54" s="3">
        <f t="shared" si="17"/>
        <v>8</v>
      </c>
      <c r="I54" s="3">
        <f t="shared" si="17"/>
        <v>4</v>
      </c>
      <c r="J54" s="4">
        <f t="shared" si="17"/>
        <v>5</v>
      </c>
      <c r="K54" s="12">
        <f>SUM(B54:J54)</f>
        <v>47</v>
      </c>
      <c r="N54" s="15"/>
      <c r="O54" s="15"/>
      <c r="P54" s="59"/>
      <c r="Q54" s="59"/>
      <c r="R54" s="59"/>
      <c r="S54" s="59"/>
      <c r="T54" s="59"/>
      <c r="W54" s="15"/>
      <c r="X54" s="15"/>
      <c r="Y54" s="15"/>
      <c r="Z54" s="15"/>
      <c r="AA54" s="15"/>
    </row>
    <row r="55" spans="1:27" s="16" customFormat="1" x14ac:dyDescent="0.2">
      <c r="A55" s="30">
        <f>A11</f>
        <v>6</v>
      </c>
      <c r="B55" s="18">
        <f>IF(AND(ISNUMBER($A55),ISNUMBER($A61)),IF((RANK(B$4,$B$4:$J$4,1))&lt;=($A55-$A61),1,0),"")</f>
        <v>0</v>
      </c>
      <c r="C55" s="6">
        <f t="shared" ref="C55:J55" si="18">IF(AND(ISNUMBER($A55),ISNUMBER($A61)),IF((RANK(C$4,$B$4:$J$4,1))&lt;=($A55-$A61),1,0),"")</f>
        <v>0</v>
      </c>
      <c r="D55" s="6">
        <f t="shared" si="18"/>
        <v>0</v>
      </c>
      <c r="E55" s="6">
        <f t="shared" si="18"/>
        <v>0</v>
      </c>
      <c r="F55" s="6">
        <f t="shared" si="18"/>
        <v>0</v>
      </c>
      <c r="G55" s="6">
        <f t="shared" si="18"/>
        <v>0</v>
      </c>
      <c r="H55" s="6">
        <f t="shared" si="18"/>
        <v>0</v>
      </c>
      <c r="I55" s="6">
        <f t="shared" si="18"/>
        <v>0</v>
      </c>
      <c r="J55" s="7">
        <f t="shared" si="18"/>
        <v>0</v>
      </c>
      <c r="K55" s="13">
        <f>SUM(B55:J55)</f>
        <v>0</v>
      </c>
      <c r="N55" s="15"/>
      <c r="O55" s="15"/>
      <c r="P55" s="59"/>
      <c r="Q55" s="59"/>
      <c r="R55" s="59"/>
      <c r="S55" s="59"/>
      <c r="T55" s="59"/>
      <c r="W55" s="15"/>
      <c r="X55" s="15"/>
      <c r="Y55" s="15"/>
      <c r="Z55" s="15"/>
      <c r="AA55" s="15"/>
    </row>
    <row r="56" spans="1:27" s="16" customFormat="1" x14ac:dyDescent="0.2">
      <c r="A56" s="30">
        <f>IF((A55-A61)&gt;9,(A55-A61-9),0)</f>
        <v>0</v>
      </c>
      <c r="B56" s="18">
        <f>IF(AND(ISNUMBER($A56),ISNUMBER($A62)),IF((RANK(B$4,$B$4:$J$4,1))&lt;=($A56-$A62),1,0),"")</f>
        <v>0</v>
      </c>
      <c r="C56" s="6">
        <f t="shared" ref="C56:J56" si="19">IF(AND(ISNUMBER($A56),ISNUMBER($A62)),IF((RANK(C$4,$B$4:$J$4,1))&lt;=($A56-$A62),1,0),"")</f>
        <v>0</v>
      </c>
      <c r="D56" s="6">
        <f t="shared" si="19"/>
        <v>0</v>
      </c>
      <c r="E56" s="6">
        <f t="shared" si="19"/>
        <v>0</v>
      </c>
      <c r="F56" s="6">
        <f t="shared" si="19"/>
        <v>0</v>
      </c>
      <c r="G56" s="6">
        <f t="shared" si="19"/>
        <v>0</v>
      </c>
      <c r="H56" s="6">
        <f t="shared" si="19"/>
        <v>0</v>
      </c>
      <c r="I56" s="6">
        <f t="shared" si="19"/>
        <v>0</v>
      </c>
      <c r="J56" s="7">
        <f t="shared" si="19"/>
        <v>0</v>
      </c>
      <c r="K56" s="13">
        <f>SUM(B56:J56)</f>
        <v>0</v>
      </c>
      <c r="N56" s="15"/>
      <c r="O56" s="15"/>
      <c r="P56" s="59"/>
      <c r="Q56" s="59"/>
      <c r="R56" s="59"/>
      <c r="S56" s="59"/>
      <c r="T56" s="59"/>
      <c r="W56" s="15"/>
      <c r="X56" s="15"/>
      <c r="Y56" s="15"/>
      <c r="Z56" s="15"/>
      <c r="AA56" s="15"/>
    </row>
    <row r="57" spans="1:27" s="16" customFormat="1" x14ac:dyDescent="0.2">
      <c r="A57" s="30"/>
      <c r="B57" s="82">
        <f t="shared" ref="B57:J57" si="20">IF(AND(ISNUMBER(B54),ISNUMBER(B55)),B54-B55-B56," ")</f>
        <v>4</v>
      </c>
      <c r="C57" s="83">
        <f t="shared" si="20"/>
        <v>5</v>
      </c>
      <c r="D57" s="83">
        <f t="shared" si="20"/>
        <v>5</v>
      </c>
      <c r="E57" s="83">
        <f t="shared" si="20"/>
        <v>7</v>
      </c>
      <c r="F57" s="83">
        <f t="shared" si="20"/>
        <v>4</v>
      </c>
      <c r="G57" s="83">
        <f t="shared" si="20"/>
        <v>5</v>
      </c>
      <c r="H57" s="83">
        <f t="shared" si="20"/>
        <v>8</v>
      </c>
      <c r="I57" s="83">
        <f t="shared" si="20"/>
        <v>4</v>
      </c>
      <c r="J57" s="84">
        <f t="shared" si="20"/>
        <v>5</v>
      </c>
      <c r="K57" s="13">
        <f>IF(ISNUMBER(FIND("Wins",K58)), 2, IF(ISNUMBER(FIND("Tie",K58)), 1, 0))</f>
        <v>0</v>
      </c>
      <c r="N57" s="15"/>
      <c r="O57" s="15"/>
      <c r="P57" s="59"/>
      <c r="Q57" s="59"/>
      <c r="R57" s="59"/>
      <c r="S57" s="59"/>
      <c r="T57" s="59"/>
      <c r="W57" s="15"/>
      <c r="X57" s="15"/>
      <c r="Y57" s="15"/>
      <c r="Z57" s="15"/>
      <c r="AA57" s="15"/>
    </row>
    <row r="58" spans="1:27" s="16" customFormat="1" ht="13.5" thickBot="1" x14ac:dyDescent="0.25">
      <c r="A58" s="31"/>
      <c r="B58" s="19">
        <f>IF(AND(ISNUMBER(B57),ISNUMBER(B63)),IF(B57&lt;B63, 0+1, (IF(B57&gt;B63, 0-1, 0)))," ")</f>
        <v>1</v>
      </c>
      <c r="C58" s="9">
        <f t="shared" ref="C58:J58" si="21">IF(AND(ISNUMBER(C57),ISNUMBER(C63)),IF(C57&lt;C63, +B58+1, (IF(C57&gt;C63, +B58-1, +B58)))," ")</f>
        <v>0</v>
      </c>
      <c r="D58" s="9">
        <f t="shared" si="21"/>
        <v>-1</v>
      </c>
      <c r="E58" s="9">
        <f t="shared" si="21"/>
        <v>-1</v>
      </c>
      <c r="F58" s="9">
        <f t="shared" si="21"/>
        <v>-1</v>
      </c>
      <c r="G58" s="9">
        <f t="shared" si="21"/>
        <v>-1</v>
      </c>
      <c r="H58" s="9">
        <f t="shared" si="21"/>
        <v>-2</v>
      </c>
      <c r="I58" s="9">
        <f t="shared" si="21"/>
        <v>-2</v>
      </c>
      <c r="J58" s="10">
        <f t="shared" si="21"/>
        <v>-2</v>
      </c>
      <c r="K58" s="14" t="str">
        <f>IF(ISNUMBER(J58),IF(F58&gt;4,"Wins " &amp; F58 &amp; " &amp; 4",IF(G58&gt;3,"Wins " &amp; G58 &amp; " &amp; 3",IF(H58&gt;2,"Wins " &amp; H58 &amp; " &amp; 2",IF(I58&gt;1,"Wins " &amp; I58 &amp; " &amp; 1",IF(J58&gt;J64,"Wins " &amp; J58 &amp; " Up",IF(J58&lt;J64,"Loss","Tie"))))))," ")</f>
        <v>Loss</v>
      </c>
      <c r="N58" s="15"/>
      <c r="O58" s="15"/>
      <c r="P58" s="59"/>
      <c r="Q58" s="59"/>
      <c r="R58" s="59"/>
      <c r="S58" s="59"/>
      <c r="T58" s="59"/>
      <c r="W58" s="15"/>
      <c r="X58" s="15"/>
      <c r="Y58" s="15"/>
      <c r="Z58" s="15"/>
      <c r="AA58" s="15"/>
    </row>
    <row r="59" spans="1:27" s="16" customFormat="1" ht="13.5" thickBot="1" x14ac:dyDescent="0.25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N59" s="15"/>
      <c r="O59" s="15"/>
      <c r="P59" s="59"/>
      <c r="Q59" s="59"/>
      <c r="R59" s="59"/>
      <c r="S59" s="59"/>
      <c r="T59" s="59"/>
      <c r="W59" s="15"/>
      <c r="X59" s="15"/>
      <c r="Y59" s="15"/>
      <c r="Z59" s="15"/>
      <c r="AA59" s="15"/>
    </row>
    <row r="60" spans="1:27" s="16" customFormat="1" x14ac:dyDescent="0.2">
      <c r="A60" s="29" t="str">
        <f t="shared" ref="A60:J60" si="22">A12</f>
        <v xml:space="preserve">Pat </v>
      </c>
      <c r="B60" s="17">
        <f t="shared" si="22"/>
        <v>7</v>
      </c>
      <c r="C60" s="3">
        <f t="shared" si="22"/>
        <v>4</v>
      </c>
      <c r="D60" s="3">
        <f t="shared" si="22"/>
        <v>4</v>
      </c>
      <c r="E60" s="3">
        <f t="shared" si="22"/>
        <v>7</v>
      </c>
      <c r="F60" s="3">
        <f t="shared" si="22"/>
        <v>4</v>
      </c>
      <c r="G60" s="3">
        <f t="shared" si="22"/>
        <v>5</v>
      </c>
      <c r="H60" s="3">
        <f t="shared" si="22"/>
        <v>4</v>
      </c>
      <c r="I60" s="3">
        <f t="shared" si="22"/>
        <v>4</v>
      </c>
      <c r="J60" s="4">
        <f t="shared" si="22"/>
        <v>5</v>
      </c>
      <c r="K60" s="12">
        <f>SUM(B60:J60)</f>
        <v>44</v>
      </c>
      <c r="N60" s="15"/>
      <c r="O60" s="15"/>
      <c r="P60" s="59"/>
      <c r="Q60" s="59"/>
      <c r="R60" s="59"/>
      <c r="S60" s="59"/>
      <c r="T60" s="59"/>
      <c r="W60" s="15"/>
      <c r="X60" s="15"/>
      <c r="Y60" s="15"/>
      <c r="Z60" s="15"/>
      <c r="AA60" s="15"/>
    </row>
    <row r="61" spans="1:27" s="16" customFormat="1" x14ac:dyDescent="0.2">
      <c r="A61" s="30">
        <f>A13</f>
        <v>6</v>
      </c>
      <c r="B61" s="18">
        <f>IF(AND(ISNUMBER($A55),ISNUMBER($A61)),IF((RANK(B$4,$B$4:$J$4,1))&lt;=($A61-$A55),1,0),"")</f>
        <v>0</v>
      </c>
      <c r="C61" s="6">
        <f t="shared" ref="C61:J61" si="23">IF(AND(ISNUMBER($A55),ISNUMBER($A61)),IF((RANK(C$4,$B$4:$J$4,1))&lt;=($A61-$A55),1,0),"")</f>
        <v>0</v>
      </c>
      <c r="D61" s="6">
        <f t="shared" si="23"/>
        <v>0</v>
      </c>
      <c r="E61" s="6">
        <f t="shared" si="23"/>
        <v>0</v>
      </c>
      <c r="F61" s="6">
        <f t="shared" si="23"/>
        <v>0</v>
      </c>
      <c r="G61" s="6">
        <f t="shared" si="23"/>
        <v>0</v>
      </c>
      <c r="H61" s="6">
        <f t="shared" si="23"/>
        <v>0</v>
      </c>
      <c r="I61" s="6">
        <f t="shared" si="23"/>
        <v>0</v>
      </c>
      <c r="J61" s="7">
        <f t="shared" si="23"/>
        <v>0</v>
      </c>
      <c r="K61" s="13">
        <f>SUM(B61:J61)</f>
        <v>0</v>
      </c>
      <c r="N61" s="15"/>
      <c r="O61" s="15"/>
      <c r="P61" s="59"/>
      <c r="Q61" s="59"/>
      <c r="R61" s="59"/>
      <c r="S61" s="59"/>
      <c r="T61" s="59"/>
      <c r="W61" s="15"/>
      <c r="X61" s="15"/>
      <c r="Y61" s="15"/>
      <c r="Z61" s="15"/>
      <c r="AA61" s="15"/>
    </row>
    <row r="62" spans="1:27" s="16" customFormat="1" x14ac:dyDescent="0.2">
      <c r="A62" s="30">
        <f>IF((A61-A55)&gt;9,(A61-A55-9),0)</f>
        <v>0</v>
      </c>
      <c r="B62" s="18">
        <f>IF(AND(ISNUMBER($A56),ISNUMBER($A62)),IF((RANK(B$4,$B$4:$J$4,1))&lt;=($A62-$A56),1,0),"")</f>
        <v>0</v>
      </c>
      <c r="C62" s="6">
        <f t="shared" ref="C62:J62" si="24">IF(AND(ISNUMBER($A56),ISNUMBER($A62)),IF((RANK(C$4,$B$4:$J$4,1))&lt;=($A62-$A56),1,0),"")</f>
        <v>0</v>
      </c>
      <c r="D62" s="6">
        <f t="shared" si="24"/>
        <v>0</v>
      </c>
      <c r="E62" s="6">
        <f t="shared" si="24"/>
        <v>0</v>
      </c>
      <c r="F62" s="6">
        <f t="shared" si="24"/>
        <v>0</v>
      </c>
      <c r="G62" s="6">
        <f t="shared" si="24"/>
        <v>0</v>
      </c>
      <c r="H62" s="6">
        <f t="shared" si="24"/>
        <v>0</v>
      </c>
      <c r="I62" s="6">
        <f t="shared" si="24"/>
        <v>0</v>
      </c>
      <c r="J62" s="7">
        <f t="shared" si="24"/>
        <v>0</v>
      </c>
      <c r="K62" s="13">
        <f>SUM(B62:J62)</f>
        <v>0</v>
      </c>
      <c r="N62" s="15"/>
      <c r="O62" s="15"/>
      <c r="P62" s="59"/>
      <c r="Q62" s="59"/>
      <c r="R62" s="59"/>
      <c r="S62" s="59"/>
      <c r="T62" s="59"/>
      <c r="W62" s="15"/>
      <c r="X62" s="15"/>
      <c r="Y62" s="15"/>
      <c r="Z62" s="15"/>
      <c r="AA62" s="15"/>
    </row>
    <row r="63" spans="1:27" s="16" customFormat="1" x14ac:dyDescent="0.2">
      <c r="A63" s="30"/>
      <c r="B63" s="82">
        <f t="shared" ref="B63:J63" si="25">IF(AND(ISNUMBER(B60),ISNUMBER(B61)),B60-B61-B62," ")</f>
        <v>7</v>
      </c>
      <c r="C63" s="83">
        <f t="shared" si="25"/>
        <v>4</v>
      </c>
      <c r="D63" s="83">
        <f t="shared" si="25"/>
        <v>4</v>
      </c>
      <c r="E63" s="83">
        <f t="shared" si="25"/>
        <v>7</v>
      </c>
      <c r="F63" s="83">
        <f t="shared" si="25"/>
        <v>4</v>
      </c>
      <c r="G63" s="83">
        <f t="shared" si="25"/>
        <v>5</v>
      </c>
      <c r="H63" s="83">
        <f t="shared" si="25"/>
        <v>4</v>
      </c>
      <c r="I63" s="83">
        <f t="shared" si="25"/>
        <v>4</v>
      </c>
      <c r="J63" s="84">
        <f t="shared" si="25"/>
        <v>5</v>
      </c>
      <c r="K63" s="13">
        <f>IF(ISNUMBER(FIND("Wins",K64)), 2, IF(ISNUMBER(FIND("Tie",K64)), 1, 0))</f>
        <v>2</v>
      </c>
      <c r="N63" s="15"/>
      <c r="O63" s="15"/>
      <c r="P63" s="59"/>
      <c r="Q63" s="59"/>
      <c r="R63" s="59"/>
      <c r="S63" s="59"/>
      <c r="T63" s="59"/>
      <c r="W63" s="15"/>
      <c r="X63" s="15"/>
      <c r="Y63" s="15"/>
      <c r="Z63" s="15"/>
      <c r="AA63" s="15"/>
    </row>
    <row r="64" spans="1:27" s="16" customFormat="1" ht="13.5" thickBot="1" x14ac:dyDescent="0.25">
      <c r="A64" s="31"/>
      <c r="B64" s="19">
        <f>IF(AND(ISNUMBER(B57),ISNUMBER(B63)),IF(B63&lt;B57, 0+1, (IF(B63&gt;B57, 0-1, 0)))," ")</f>
        <v>-1</v>
      </c>
      <c r="C64" s="9">
        <f t="shared" ref="C64:J64" si="26">IF(AND(ISNUMBER(C57),ISNUMBER(C63)),IF(C63&lt;C57, +B64+1, (IF(C63&gt;C57, +B64-1, +B64)))," ")</f>
        <v>0</v>
      </c>
      <c r="D64" s="9">
        <f t="shared" si="26"/>
        <v>1</v>
      </c>
      <c r="E64" s="9">
        <f t="shared" si="26"/>
        <v>1</v>
      </c>
      <c r="F64" s="9">
        <f t="shared" si="26"/>
        <v>1</v>
      </c>
      <c r="G64" s="9">
        <f t="shared" si="26"/>
        <v>1</v>
      </c>
      <c r="H64" s="9">
        <f t="shared" si="26"/>
        <v>2</v>
      </c>
      <c r="I64" s="9">
        <f t="shared" si="26"/>
        <v>2</v>
      </c>
      <c r="J64" s="10">
        <f t="shared" si="26"/>
        <v>2</v>
      </c>
      <c r="K64" s="14" t="str">
        <f>IF(ISNUMBER(J64),IF(F64&gt;4,"Wins " &amp; F64 &amp; " &amp; 4",IF(G64&gt;3,"Wins " &amp; G64 &amp; " &amp; 3",IF(H64&gt;2,"Wins " &amp; H64 &amp; " &amp; 2",IF(I64&gt;1,"Wins " &amp; I64 &amp; " &amp; 1",IF(J64&gt;J58,"Wins " &amp; J64 &amp; " Up",IF(J64&lt;J58,"Loss","Tie"))))))," ")</f>
        <v>Wins 2 &amp; 1</v>
      </c>
      <c r="N64" s="15"/>
      <c r="O64" s="15"/>
      <c r="P64" s="59"/>
      <c r="Q64" s="59"/>
      <c r="R64" s="59"/>
      <c r="S64" s="59"/>
      <c r="T64" s="59"/>
      <c r="W64" s="15"/>
      <c r="X64" s="15"/>
      <c r="Y64" s="15"/>
      <c r="Z64" s="15"/>
      <c r="AA64" s="15"/>
    </row>
    <row r="65" spans="1:27" s="16" customFormat="1" x14ac:dyDescent="0.2">
      <c r="A65" s="28"/>
      <c r="B65" s="15"/>
      <c r="C65" s="15"/>
      <c r="D65" s="15"/>
      <c r="E65" s="15"/>
      <c r="F65" s="15"/>
      <c r="G65" s="15"/>
      <c r="H65" s="15"/>
      <c r="I65" s="15"/>
      <c r="J65" s="15"/>
      <c r="K65" s="15"/>
      <c r="N65" s="15"/>
      <c r="O65" s="15"/>
      <c r="P65" s="59"/>
      <c r="Q65" s="59"/>
      <c r="R65" s="59"/>
      <c r="S65" s="59"/>
      <c r="T65" s="59"/>
      <c r="W65" s="15"/>
      <c r="X65" s="15"/>
      <c r="Y65" s="15"/>
      <c r="Z65" s="15"/>
      <c r="AA65" s="15"/>
    </row>
    <row r="66" spans="1:27" s="16" customFormat="1" ht="13.5" thickBot="1" x14ac:dyDescent="0.25">
      <c r="A66" s="27" t="s">
        <v>10</v>
      </c>
      <c r="B66" s="2"/>
      <c r="C66" s="2"/>
      <c r="D66" s="2"/>
      <c r="E66" s="2"/>
      <c r="F66" s="2"/>
      <c r="G66" s="2"/>
      <c r="H66" s="2"/>
      <c r="I66" s="2"/>
      <c r="J66" s="2"/>
      <c r="K66" s="2"/>
      <c r="N66" s="15"/>
      <c r="O66" s="15"/>
      <c r="P66" s="59"/>
      <c r="Q66" s="59"/>
      <c r="R66" s="59"/>
      <c r="S66" s="59"/>
      <c r="T66" s="59"/>
      <c r="W66" s="15"/>
      <c r="X66" s="15"/>
      <c r="Y66" s="15"/>
      <c r="Z66" s="15"/>
      <c r="AA66" s="15"/>
    </row>
    <row r="67" spans="1:27" s="16" customFormat="1" x14ac:dyDescent="0.2">
      <c r="A67" s="79" t="str">
        <f t="shared" ref="A67:J67" si="27">A14</f>
        <v>Rick</v>
      </c>
      <c r="B67" s="17">
        <f t="shared" si="27"/>
        <v>6</v>
      </c>
      <c r="C67" s="3">
        <f t="shared" si="27"/>
        <v>5</v>
      </c>
      <c r="D67" s="3">
        <f t="shared" si="27"/>
        <v>4</v>
      </c>
      <c r="E67" s="3">
        <f t="shared" si="27"/>
        <v>5</v>
      </c>
      <c r="F67" s="3">
        <f t="shared" si="27"/>
        <v>4</v>
      </c>
      <c r="G67" s="3">
        <f t="shared" si="27"/>
        <v>7</v>
      </c>
      <c r="H67" s="3">
        <f t="shared" si="27"/>
        <v>9</v>
      </c>
      <c r="I67" s="3">
        <f t="shared" si="27"/>
        <v>3</v>
      </c>
      <c r="J67" s="4">
        <f t="shared" si="27"/>
        <v>4</v>
      </c>
      <c r="K67" s="12">
        <f>SUM(B67:J67)</f>
        <v>47</v>
      </c>
      <c r="N67" s="15"/>
      <c r="O67" s="15"/>
      <c r="P67" s="59"/>
      <c r="Q67" s="59"/>
      <c r="R67" s="59"/>
      <c r="S67" s="59"/>
      <c r="T67" s="59"/>
      <c r="W67" s="15"/>
      <c r="X67" s="15"/>
      <c r="Y67" s="15"/>
      <c r="Z67" s="15"/>
      <c r="AA67" s="15"/>
    </row>
    <row r="68" spans="1:27" s="16" customFormat="1" x14ac:dyDescent="0.2">
      <c r="A68" s="80">
        <f>A15</f>
        <v>7</v>
      </c>
      <c r="B68" s="18">
        <f>IF(AND(ISNUMBER($A68),ISNUMBER($A74)),IF((RANK(B$4,$B$4:$J$4,1))&lt;=($A68-$A74),1,0),"")</f>
        <v>0</v>
      </c>
      <c r="C68" s="6">
        <f t="shared" ref="C68:J68" si="28">IF(AND(ISNUMBER($A68),ISNUMBER($A74)),IF((RANK(C$4,$B$4:$J$4,1))&lt;=($A68-$A74),1,0),"")</f>
        <v>0</v>
      </c>
      <c r="D68" s="6">
        <f t="shared" si="28"/>
        <v>0</v>
      </c>
      <c r="E68" s="6">
        <f t="shared" si="28"/>
        <v>0</v>
      </c>
      <c r="F68" s="6">
        <f t="shared" si="28"/>
        <v>0</v>
      </c>
      <c r="G68" s="6">
        <f t="shared" si="28"/>
        <v>0</v>
      </c>
      <c r="H68" s="6">
        <f t="shared" si="28"/>
        <v>0</v>
      </c>
      <c r="I68" s="6">
        <f t="shared" si="28"/>
        <v>0</v>
      </c>
      <c r="J68" s="7">
        <f t="shared" si="28"/>
        <v>0</v>
      </c>
      <c r="K68" s="13">
        <f>SUM(B68:J68)</f>
        <v>0</v>
      </c>
      <c r="N68" s="15"/>
      <c r="O68" s="15"/>
      <c r="P68" s="59"/>
      <c r="Q68" s="59"/>
      <c r="R68" s="59"/>
      <c r="S68" s="59"/>
      <c r="T68" s="59"/>
      <c r="W68" s="15"/>
      <c r="X68" s="15"/>
      <c r="Y68" s="15"/>
      <c r="Z68" s="15"/>
      <c r="AA68" s="15"/>
    </row>
    <row r="69" spans="1:27" s="16" customFormat="1" x14ac:dyDescent="0.2">
      <c r="A69" s="80">
        <f>IF((A68-A74)&gt;9,(A68-A74-9),0)</f>
        <v>0</v>
      </c>
      <c r="B69" s="18">
        <f>IF(AND(ISNUMBER($A69),ISNUMBER($A75)),IF((RANK(B$4,$B$4:$J$4,1))&lt;=($A69-$A75),1,0),"")</f>
        <v>0</v>
      </c>
      <c r="C69" s="6">
        <f t="shared" ref="C69:J69" si="29">IF(AND(ISNUMBER($A69),ISNUMBER($A75)),IF((RANK(C$4,$B$4:$J$4,1))&lt;=($A69-$A75),1,0),"")</f>
        <v>0</v>
      </c>
      <c r="D69" s="6">
        <f t="shared" si="29"/>
        <v>0</v>
      </c>
      <c r="E69" s="6">
        <f t="shared" si="29"/>
        <v>0</v>
      </c>
      <c r="F69" s="6">
        <f t="shared" si="29"/>
        <v>0</v>
      </c>
      <c r="G69" s="6">
        <f t="shared" si="29"/>
        <v>0</v>
      </c>
      <c r="H69" s="6">
        <f t="shared" si="29"/>
        <v>0</v>
      </c>
      <c r="I69" s="6">
        <f t="shared" si="29"/>
        <v>0</v>
      </c>
      <c r="J69" s="7">
        <f t="shared" si="29"/>
        <v>0</v>
      </c>
      <c r="K69" s="13">
        <f>SUM(B69:J69)</f>
        <v>0</v>
      </c>
      <c r="N69" s="15"/>
      <c r="O69" s="15"/>
      <c r="P69" s="59"/>
      <c r="Q69" s="59"/>
      <c r="R69" s="59"/>
      <c r="S69" s="59"/>
      <c r="T69" s="59"/>
      <c r="W69" s="15"/>
      <c r="X69" s="15"/>
      <c r="Y69" s="15"/>
      <c r="Z69" s="15"/>
      <c r="AA69" s="15"/>
    </row>
    <row r="70" spans="1:27" s="16" customFormat="1" x14ac:dyDescent="0.2">
      <c r="A70" s="80"/>
      <c r="B70" s="82">
        <f t="shared" ref="B70:J70" si="30">IF(AND(ISNUMBER(B67),ISNUMBER(B68)),B67-B68-B69," ")</f>
        <v>6</v>
      </c>
      <c r="C70" s="83">
        <f t="shared" si="30"/>
        <v>5</v>
      </c>
      <c r="D70" s="83">
        <f t="shared" si="30"/>
        <v>4</v>
      </c>
      <c r="E70" s="83">
        <f t="shared" si="30"/>
        <v>5</v>
      </c>
      <c r="F70" s="83">
        <f t="shared" si="30"/>
        <v>4</v>
      </c>
      <c r="G70" s="83">
        <f t="shared" si="30"/>
        <v>7</v>
      </c>
      <c r="H70" s="83">
        <f t="shared" si="30"/>
        <v>9</v>
      </c>
      <c r="I70" s="83">
        <f t="shared" si="30"/>
        <v>3</v>
      </c>
      <c r="J70" s="84">
        <f t="shared" si="30"/>
        <v>4</v>
      </c>
      <c r="K70" s="13">
        <f>IF(ISNUMBER(FIND("Wins",K71)), 2, IF(ISNUMBER(FIND("Tie",K71)), 1, 0))</f>
        <v>0</v>
      </c>
      <c r="N70" s="15"/>
      <c r="O70" s="15"/>
      <c r="P70" s="59"/>
      <c r="Q70" s="59"/>
      <c r="R70" s="59"/>
      <c r="S70" s="59"/>
      <c r="T70" s="59"/>
      <c r="W70" s="15"/>
      <c r="X70" s="15"/>
      <c r="Y70" s="15"/>
      <c r="Z70" s="15"/>
      <c r="AA70" s="15"/>
    </row>
    <row r="71" spans="1:27" s="16" customFormat="1" ht="13.5" thickBot="1" x14ac:dyDescent="0.25">
      <c r="A71" s="81"/>
      <c r="B71" s="19">
        <f>IF(AND(ISNUMBER(B70),ISNUMBER(B76)),IF(B70&lt;B76, 0+1, (IF(B70&gt;B76, 0-1, 0)))," ")</f>
        <v>0</v>
      </c>
      <c r="C71" s="9">
        <f t="shared" ref="C71:J71" si="31">IF(AND(ISNUMBER(C70),ISNUMBER(C76)),IF(C70&lt;C76, +B71+1, (IF(C70&gt;C76, +B71-1, +B71)))," ")</f>
        <v>0</v>
      </c>
      <c r="D71" s="9">
        <f t="shared" si="31"/>
        <v>-1</v>
      </c>
      <c r="E71" s="9">
        <f t="shared" si="31"/>
        <v>0</v>
      </c>
      <c r="F71" s="9">
        <f t="shared" si="31"/>
        <v>0</v>
      </c>
      <c r="G71" s="9">
        <f t="shared" si="31"/>
        <v>-1</v>
      </c>
      <c r="H71" s="9">
        <f t="shared" si="31"/>
        <v>-2</v>
      </c>
      <c r="I71" s="9">
        <f t="shared" si="31"/>
        <v>-2</v>
      </c>
      <c r="J71" s="10">
        <f t="shared" si="31"/>
        <v>-1</v>
      </c>
      <c r="K71" s="14" t="str">
        <f>IF(ISNUMBER(J71),IF(F71&gt;4,"Wins " &amp; F71 &amp; " &amp; 4",IF(G71&gt;3,"Wins " &amp; G71 &amp; " &amp; 3",IF(H71&gt;2,"Wins " &amp; H71 &amp; " &amp; 2",IF(I71&gt;1,"Wins " &amp; I71 &amp; " &amp; 1",IF(J71&gt;J77,"Wins " &amp; J71 &amp; " Up",IF(J71&lt;J77,"Loss","Tie"))))))," ")</f>
        <v>Loss</v>
      </c>
      <c r="N71" s="15"/>
      <c r="O71" s="15"/>
      <c r="P71" s="59"/>
      <c r="Q71" s="59"/>
      <c r="R71" s="59"/>
      <c r="S71" s="59"/>
      <c r="T71" s="59"/>
      <c r="W71" s="15"/>
      <c r="X71" s="15"/>
      <c r="Y71" s="15"/>
      <c r="Z71" s="15"/>
      <c r="AA71" s="15"/>
    </row>
    <row r="72" spans="1:27" s="16" customFormat="1" ht="13.5" thickBot="1" x14ac:dyDescent="0.25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N72" s="15"/>
      <c r="O72" s="15"/>
      <c r="P72" s="59"/>
      <c r="Q72" s="59"/>
      <c r="R72" s="59"/>
      <c r="S72" s="59"/>
      <c r="T72" s="59"/>
      <c r="W72" s="15"/>
      <c r="X72" s="15"/>
      <c r="Y72" s="15"/>
      <c r="Z72" s="15"/>
      <c r="AA72" s="15"/>
    </row>
    <row r="73" spans="1:27" s="16" customFormat="1" x14ac:dyDescent="0.2">
      <c r="A73" s="79" t="str">
        <f t="shared" ref="A73:J73" si="32">A16</f>
        <v>Keith</v>
      </c>
      <c r="B73" s="17">
        <f t="shared" si="32"/>
        <v>7</v>
      </c>
      <c r="C73" s="3">
        <f t="shared" si="32"/>
        <v>6</v>
      </c>
      <c r="D73" s="3">
        <f t="shared" si="32"/>
        <v>4</v>
      </c>
      <c r="E73" s="3">
        <f t="shared" si="32"/>
        <v>7</v>
      </c>
      <c r="F73" s="3">
        <f t="shared" si="32"/>
        <v>5</v>
      </c>
      <c r="G73" s="3">
        <f t="shared" si="32"/>
        <v>5</v>
      </c>
      <c r="H73" s="3">
        <f t="shared" si="32"/>
        <v>7</v>
      </c>
      <c r="I73" s="3">
        <f t="shared" si="32"/>
        <v>4</v>
      </c>
      <c r="J73" s="4">
        <f t="shared" si="32"/>
        <v>6</v>
      </c>
      <c r="K73" s="12">
        <f>SUM(B73:J73)</f>
        <v>51</v>
      </c>
      <c r="N73" s="15"/>
      <c r="O73" s="15"/>
      <c r="P73" s="59"/>
      <c r="Q73" s="59"/>
      <c r="R73" s="59"/>
      <c r="S73" s="59"/>
      <c r="T73" s="59"/>
      <c r="W73" s="15"/>
      <c r="X73" s="15"/>
      <c r="Y73" s="15"/>
      <c r="Z73" s="15"/>
      <c r="AA73" s="15"/>
    </row>
    <row r="74" spans="1:27" s="16" customFormat="1" x14ac:dyDescent="0.2">
      <c r="A74" s="80">
        <f>A17</f>
        <v>16</v>
      </c>
      <c r="B74" s="18">
        <f>IF(AND(ISNUMBER($A68),ISNUMBER($A74)),IF((RANK(B$4,$B$4:$J$4,1))&lt;=($A74-$A68),1,0),"")</f>
        <v>1</v>
      </c>
      <c r="C74" s="6">
        <f t="shared" ref="C74:J74" si="33">IF(AND(ISNUMBER($A68),ISNUMBER($A74)),IF((RANK(C$4,$B$4:$J$4,1))&lt;=($A74-$A68),1,0),"")</f>
        <v>1</v>
      </c>
      <c r="D74" s="6">
        <f t="shared" si="33"/>
        <v>1</v>
      </c>
      <c r="E74" s="6">
        <f t="shared" si="33"/>
        <v>1</v>
      </c>
      <c r="F74" s="6">
        <f t="shared" si="33"/>
        <v>1</v>
      </c>
      <c r="G74" s="6">
        <f t="shared" si="33"/>
        <v>1</v>
      </c>
      <c r="H74" s="6">
        <f t="shared" si="33"/>
        <v>1</v>
      </c>
      <c r="I74" s="6">
        <f t="shared" si="33"/>
        <v>1</v>
      </c>
      <c r="J74" s="7">
        <f t="shared" si="33"/>
        <v>1</v>
      </c>
      <c r="K74" s="13">
        <f>SUM(B74:J74)</f>
        <v>9</v>
      </c>
      <c r="N74" s="15"/>
      <c r="O74" s="15"/>
      <c r="P74" s="59"/>
      <c r="Q74" s="59"/>
      <c r="R74" s="59"/>
      <c r="S74" s="59"/>
      <c r="T74" s="59"/>
      <c r="W74" s="15"/>
      <c r="X74" s="15"/>
      <c r="Y74" s="15"/>
      <c r="Z74" s="15"/>
      <c r="AA74" s="15"/>
    </row>
    <row r="75" spans="1:27" s="16" customFormat="1" x14ac:dyDescent="0.2">
      <c r="A75" s="80">
        <f>IF((A74-A68)&gt;9,(A74-A68-9),0)</f>
        <v>0</v>
      </c>
      <c r="B75" s="18">
        <f>IF(AND(ISNUMBER($A69),ISNUMBER($A75)),IF((RANK(B$4,$B$4:$J$4,1))&lt;=($A75-$A69),1,0),"")</f>
        <v>0</v>
      </c>
      <c r="C75" s="6">
        <f t="shared" ref="C75:J75" si="34">IF(AND(ISNUMBER($A69),ISNUMBER($A75)),IF((RANK(C$4,$B$4:$J$4,1))&lt;=($A75-$A69),1,0),"")</f>
        <v>0</v>
      </c>
      <c r="D75" s="6">
        <f t="shared" si="34"/>
        <v>0</v>
      </c>
      <c r="E75" s="6">
        <f t="shared" si="34"/>
        <v>0</v>
      </c>
      <c r="F75" s="6">
        <f t="shared" si="34"/>
        <v>0</v>
      </c>
      <c r="G75" s="6">
        <f t="shared" si="34"/>
        <v>0</v>
      </c>
      <c r="H75" s="6">
        <f t="shared" si="34"/>
        <v>0</v>
      </c>
      <c r="I75" s="6">
        <f t="shared" si="34"/>
        <v>0</v>
      </c>
      <c r="J75" s="7">
        <f t="shared" si="34"/>
        <v>0</v>
      </c>
      <c r="K75" s="13">
        <f>SUM(B75:J75)</f>
        <v>0</v>
      </c>
      <c r="N75" s="15"/>
      <c r="O75" s="15"/>
      <c r="P75" s="59"/>
      <c r="Q75" s="59"/>
      <c r="R75" s="59"/>
      <c r="S75" s="59"/>
      <c r="T75" s="59"/>
      <c r="W75" s="15"/>
      <c r="X75" s="15"/>
      <c r="Y75" s="15"/>
      <c r="Z75" s="15"/>
      <c r="AA75" s="15"/>
    </row>
    <row r="76" spans="1:27" s="16" customFormat="1" x14ac:dyDescent="0.2">
      <c r="A76" s="80"/>
      <c r="B76" s="82">
        <f t="shared" ref="B76:J76" si="35">IF(AND(ISNUMBER(B73),ISNUMBER(B74)),B73-B74-B75," ")</f>
        <v>6</v>
      </c>
      <c r="C76" s="83">
        <f t="shared" si="35"/>
        <v>5</v>
      </c>
      <c r="D76" s="83">
        <f t="shared" si="35"/>
        <v>3</v>
      </c>
      <c r="E76" s="83">
        <f t="shared" si="35"/>
        <v>6</v>
      </c>
      <c r="F76" s="83">
        <f t="shared" si="35"/>
        <v>4</v>
      </c>
      <c r="G76" s="83">
        <f t="shared" si="35"/>
        <v>4</v>
      </c>
      <c r="H76" s="83">
        <f t="shared" si="35"/>
        <v>6</v>
      </c>
      <c r="I76" s="83">
        <f t="shared" si="35"/>
        <v>3</v>
      </c>
      <c r="J76" s="84">
        <f t="shared" si="35"/>
        <v>5</v>
      </c>
      <c r="K76" s="13">
        <f>IF(ISNUMBER(FIND("Wins",K77)), 2, IF(ISNUMBER(FIND("Tie",K77)), 1, 0))</f>
        <v>2</v>
      </c>
      <c r="N76" s="15"/>
      <c r="O76" s="15"/>
      <c r="P76" s="59"/>
      <c r="Q76" s="59"/>
      <c r="R76" s="59"/>
      <c r="S76" s="59"/>
      <c r="T76" s="59"/>
      <c r="W76" s="15"/>
      <c r="X76" s="15"/>
      <c r="Y76" s="15"/>
      <c r="Z76" s="15"/>
      <c r="AA76" s="15"/>
    </row>
    <row r="77" spans="1:27" s="16" customFormat="1" ht="13.5" thickBot="1" x14ac:dyDescent="0.25">
      <c r="A77" s="81"/>
      <c r="B77" s="19">
        <f>IF(AND(ISNUMBER(B70),ISNUMBER(B76)),IF(B76&lt;B70, 0+1, (IF(B76&gt;B70, 0-1, 0)))," ")</f>
        <v>0</v>
      </c>
      <c r="C77" s="9">
        <f t="shared" ref="C77:J77" si="36">IF(AND(ISNUMBER(C70),ISNUMBER(C76)),IF(C76&lt;C70, +B77+1, (IF(C76&gt;C70, +B77-1, +B77)))," ")</f>
        <v>0</v>
      </c>
      <c r="D77" s="9">
        <f t="shared" si="36"/>
        <v>1</v>
      </c>
      <c r="E77" s="9">
        <f t="shared" si="36"/>
        <v>0</v>
      </c>
      <c r="F77" s="9">
        <f t="shared" si="36"/>
        <v>0</v>
      </c>
      <c r="G77" s="9">
        <f t="shared" si="36"/>
        <v>1</v>
      </c>
      <c r="H77" s="9">
        <f t="shared" si="36"/>
        <v>2</v>
      </c>
      <c r="I77" s="9">
        <f t="shared" si="36"/>
        <v>2</v>
      </c>
      <c r="J77" s="10">
        <f t="shared" si="36"/>
        <v>1</v>
      </c>
      <c r="K77" s="14" t="str">
        <f>IF(ISNUMBER(J77),IF(F77&gt;4,"Wins " &amp; F77 &amp; " &amp; 4",IF(G77&gt;3,"Wins " &amp; G77 &amp; " &amp; 3",IF(H77&gt;2,"Wins " &amp; H77 &amp; " &amp; 2",IF(I77&gt;1,"Wins " &amp; I77 &amp; " &amp; 1",IF(J77&gt;J71,"Wins " &amp; J77 &amp; " Up",IF(J77&lt;J71,"Loss","Tie"))))))," ")</f>
        <v>Wins 2 &amp; 1</v>
      </c>
      <c r="N77" s="15"/>
      <c r="O77" s="15"/>
      <c r="P77" s="59"/>
      <c r="Q77" s="59"/>
      <c r="R77" s="59"/>
      <c r="S77" s="59"/>
      <c r="T77" s="59"/>
      <c r="W77" s="15"/>
      <c r="X77" s="15"/>
      <c r="Y77" s="15"/>
      <c r="Z77" s="15"/>
      <c r="AA77" s="15"/>
    </row>
    <row r="78" spans="1:27" s="16" customFormat="1" x14ac:dyDescent="0.2">
      <c r="A78" s="26"/>
      <c r="B78" s="15"/>
      <c r="C78" s="15"/>
      <c r="D78" s="15"/>
      <c r="E78" s="15"/>
      <c r="F78" s="15"/>
      <c r="G78" s="15"/>
      <c r="H78" s="15"/>
      <c r="I78" s="15"/>
      <c r="J78" s="15"/>
      <c r="K78" s="15"/>
      <c r="N78" s="15"/>
      <c r="O78" s="15"/>
      <c r="P78" s="59"/>
      <c r="Q78" s="59"/>
      <c r="R78" s="59"/>
      <c r="S78" s="59"/>
      <c r="T78" s="59"/>
      <c r="W78" s="15"/>
      <c r="X78" s="15"/>
      <c r="Y78" s="15"/>
      <c r="Z78" s="15"/>
      <c r="AA78" s="15"/>
    </row>
    <row r="79" spans="1:27" s="16" customFormat="1" ht="13.5" thickBot="1" x14ac:dyDescent="0.25">
      <c r="A79" s="27" t="s">
        <v>11</v>
      </c>
      <c r="B79" s="2"/>
      <c r="C79" s="2"/>
      <c r="D79" s="2"/>
      <c r="E79" s="2"/>
      <c r="F79" s="2"/>
      <c r="G79" s="2"/>
      <c r="H79" s="2"/>
      <c r="I79" s="2"/>
      <c r="J79" s="2"/>
      <c r="K79" s="2"/>
      <c r="N79" s="15"/>
      <c r="O79" s="15"/>
      <c r="P79" s="59"/>
      <c r="Q79" s="59"/>
      <c r="R79" s="59"/>
      <c r="S79" s="59"/>
      <c r="T79" s="59"/>
      <c r="W79" s="15"/>
      <c r="X79" s="15"/>
      <c r="Y79" s="15"/>
      <c r="Z79" s="15"/>
      <c r="AA79" s="15"/>
    </row>
    <row r="80" spans="1:27" s="16" customFormat="1" x14ac:dyDescent="0.2">
      <c r="A80" s="29" t="str">
        <f t="shared" ref="A80:J80" si="37">A18</f>
        <v>Tony W</v>
      </c>
      <c r="B80" s="17">
        <f t="shared" si="37"/>
        <v>6</v>
      </c>
      <c r="C80" s="3">
        <f t="shared" si="37"/>
        <v>7</v>
      </c>
      <c r="D80" s="3">
        <f t="shared" si="37"/>
        <v>5</v>
      </c>
      <c r="E80" s="3">
        <f t="shared" si="37"/>
        <v>6</v>
      </c>
      <c r="F80" s="3">
        <f t="shared" si="37"/>
        <v>5</v>
      </c>
      <c r="G80" s="3">
        <f t="shared" si="37"/>
        <v>4</v>
      </c>
      <c r="H80" s="3">
        <f t="shared" si="37"/>
        <v>6</v>
      </c>
      <c r="I80" s="3">
        <f t="shared" si="37"/>
        <v>4</v>
      </c>
      <c r="J80" s="4">
        <f t="shared" si="37"/>
        <v>5</v>
      </c>
      <c r="K80" s="12">
        <f>SUM(B80:J80)</f>
        <v>48</v>
      </c>
      <c r="N80" s="15"/>
      <c r="O80" s="15"/>
      <c r="P80" s="59"/>
      <c r="Q80" s="59"/>
      <c r="R80" s="59"/>
      <c r="S80" s="59"/>
      <c r="T80" s="59"/>
      <c r="W80" s="15"/>
      <c r="X80" s="15"/>
      <c r="Y80" s="15"/>
      <c r="Z80" s="15"/>
      <c r="AA80" s="15"/>
    </row>
    <row r="81" spans="1:27" s="16" customFormat="1" x14ac:dyDescent="0.2">
      <c r="A81" s="30">
        <f>A19</f>
        <v>10</v>
      </c>
      <c r="B81" s="18">
        <f>IF(AND(ISNUMBER($A81),ISNUMBER($A87)),IF((RANK(B$4,$B$4:$J$4,1))&lt;=($A81-$A87),1,0),"")</f>
        <v>0</v>
      </c>
      <c r="C81" s="6">
        <f t="shared" ref="C81:J81" si="38">IF(AND(ISNUMBER($A81),ISNUMBER($A87)),IF((RANK(C$4,$B$4:$J$4,1))&lt;=($A81-$A87),1,0),"")</f>
        <v>0</v>
      </c>
      <c r="D81" s="6">
        <f t="shared" si="38"/>
        <v>0</v>
      </c>
      <c r="E81" s="6">
        <f t="shared" si="38"/>
        <v>0</v>
      </c>
      <c r="F81" s="6">
        <f t="shared" si="38"/>
        <v>0</v>
      </c>
      <c r="G81" s="6">
        <f t="shared" si="38"/>
        <v>0</v>
      </c>
      <c r="H81" s="6">
        <f t="shared" si="38"/>
        <v>0</v>
      </c>
      <c r="I81" s="6">
        <f t="shared" si="38"/>
        <v>0</v>
      </c>
      <c r="J81" s="7">
        <f t="shared" si="38"/>
        <v>0</v>
      </c>
      <c r="K81" s="13">
        <f>SUM(B81:J81)</f>
        <v>0</v>
      </c>
      <c r="N81" s="15"/>
      <c r="O81" s="15"/>
      <c r="P81" s="59"/>
      <c r="Q81" s="59"/>
      <c r="R81" s="59"/>
      <c r="S81" s="59"/>
      <c r="T81" s="59"/>
      <c r="W81" s="15"/>
      <c r="X81" s="15"/>
      <c r="Y81" s="15"/>
      <c r="Z81" s="15"/>
      <c r="AA81" s="15"/>
    </row>
    <row r="82" spans="1:27" s="16" customFormat="1" x14ac:dyDescent="0.2">
      <c r="A82" s="30">
        <f>IF((A81-A87)&gt;9,(A81-A87-9),0)</f>
        <v>0</v>
      </c>
      <c r="B82" s="18">
        <f>IF(AND(ISNUMBER($A82),ISNUMBER($A88)),IF((RANK(B$4,$B$4:$J$4,1))&lt;=($A82-$A88),1,0),"")</f>
        <v>0</v>
      </c>
      <c r="C82" s="6">
        <f t="shared" ref="C82:J82" si="39">IF(AND(ISNUMBER($A82),ISNUMBER($A88)),IF((RANK(C$4,$B$4:$J$4,1))&lt;=($A82-$A88),1,0),"")</f>
        <v>0</v>
      </c>
      <c r="D82" s="6">
        <f t="shared" si="39"/>
        <v>0</v>
      </c>
      <c r="E82" s="6">
        <f t="shared" si="39"/>
        <v>0</v>
      </c>
      <c r="F82" s="6">
        <f t="shared" si="39"/>
        <v>0</v>
      </c>
      <c r="G82" s="6">
        <f t="shared" si="39"/>
        <v>0</v>
      </c>
      <c r="H82" s="6">
        <f t="shared" si="39"/>
        <v>0</v>
      </c>
      <c r="I82" s="6">
        <f t="shared" si="39"/>
        <v>0</v>
      </c>
      <c r="J82" s="7">
        <f t="shared" si="39"/>
        <v>0</v>
      </c>
      <c r="K82" s="13">
        <f>SUM(B82:J82)</f>
        <v>0</v>
      </c>
      <c r="N82" s="15"/>
      <c r="O82" s="15"/>
      <c r="P82" s="59"/>
      <c r="Q82" s="59"/>
      <c r="R82" s="59"/>
      <c r="S82" s="59"/>
      <c r="T82" s="59"/>
      <c r="W82" s="15"/>
      <c r="X82" s="15"/>
      <c r="Y82" s="15"/>
      <c r="Z82" s="15"/>
      <c r="AA82" s="15"/>
    </row>
    <row r="83" spans="1:27" s="16" customFormat="1" x14ac:dyDescent="0.2">
      <c r="A83" s="30"/>
      <c r="B83" s="82">
        <f t="shared" ref="B83:J83" si="40">IF(AND(ISNUMBER(B80),ISNUMBER(B81)),B80-B81-B82," ")</f>
        <v>6</v>
      </c>
      <c r="C83" s="83">
        <f t="shared" si="40"/>
        <v>7</v>
      </c>
      <c r="D83" s="83">
        <f t="shared" si="40"/>
        <v>5</v>
      </c>
      <c r="E83" s="83">
        <f t="shared" si="40"/>
        <v>6</v>
      </c>
      <c r="F83" s="83">
        <f t="shared" si="40"/>
        <v>5</v>
      </c>
      <c r="G83" s="83">
        <f t="shared" si="40"/>
        <v>4</v>
      </c>
      <c r="H83" s="83">
        <f t="shared" si="40"/>
        <v>6</v>
      </c>
      <c r="I83" s="83">
        <f t="shared" si="40"/>
        <v>4</v>
      </c>
      <c r="J83" s="84">
        <f t="shared" si="40"/>
        <v>5</v>
      </c>
      <c r="K83" s="13">
        <f>IF(ISNUMBER(FIND("Wins",K84)), 2, IF(ISNUMBER(FIND("Tie",K84)), 1, 0))</f>
        <v>0</v>
      </c>
      <c r="N83" s="15"/>
      <c r="O83" s="15"/>
      <c r="P83" s="59"/>
      <c r="Q83" s="59"/>
      <c r="R83" s="59"/>
      <c r="S83" s="59"/>
      <c r="T83" s="59"/>
      <c r="W83" s="15"/>
      <c r="X83" s="15"/>
      <c r="Y83" s="15"/>
      <c r="Z83" s="15"/>
      <c r="AA83" s="15"/>
    </row>
    <row r="84" spans="1:27" s="16" customFormat="1" ht="13.5" thickBot="1" x14ac:dyDescent="0.25">
      <c r="A84" s="31"/>
      <c r="B84" s="19">
        <f>IF(AND(ISNUMBER(B83),ISNUMBER(B89)),IF(B83&lt;B89, 0+1, (IF(B83&gt;B89, 0-1, 0)))," ")</f>
        <v>-1</v>
      </c>
      <c r="C84" s="9">
        <f t="shared" ref="C84:J84" si="41">IF(AND(ISNUMBER(C83),ISNUMBER(C89)),IF(C83&lt;C89, +B84+1, (IF(C83&gt;C89, +B84-1, +B84)))," ")</f>
        <v>-2</v>
      </c>
      <c r="D84" s="9">
        <f t="shared" si="41"/>
        <v>-3</v>
      </c>
      <c r="E84" s="9">
        <f t="shared" si="41"/>
        <v>-2</v>
      </c>
      <c r="F84" s="9">
        <f t="shared" si="41"/>
        <v>-2</v>
      </c>
      <c r="G84" s="9">
        <f t="shared" si="41"/>
        <v>-1</v>
      </c>
      <c r="H84" s="9">
        <f t="shared" si="41"/>
        <v>0</v>
      </c>
      <c r="I84" s="9">
        <f t="shared" si="41"/>
        <v>0</v>
      </c>
      <c r="J84" s="10">
        <f t="shared" si="41"/>
        <v>-1</v>
      </c>
      <c r="K84" s="14" t="str">
        <f>IF(ISNUMBER(J84),IF(F84&gt;4,"Wins " &amp; F84 &amp; " &amp; 4",IF(G84&gt;3,"Wins " &amp; G84 &amp; " &amp; 3",IF(H84&gt;2,"Wins " &amp; H84 &amp; " &amp; 2",IF(I84&gt;1,"Wins " &amp; I84 &amp; " &amp; 1",IF(J84&gt;J90,"Wins " &amp; J84 &amp; " Up",IF(J84&lt;J90,"Loss","Tie"))))))," ")</f>
        <v>Loss</v>
      </c>
      <c r="N84" s="15"/>
      <c r="O84" s="15"/>
      <c r="P84" s="59"/>
      <c r="Q84" s="59"/>
      <c r="R84" s="59"/>
      <c r="S84" s="59"/>
      <c r="T84" s="59"/>
      <c r="W84" s="15"/>
      <c r="X84" s="15"/>
      <c r="Y84" s="15"/>
      <c r="Z84" s="15"/>
      <c r="AA84" s="15"/>
    </row>
    <row r="85" spans="1:27" s="16" customFormat="1" ht="13.5" thickBot="1" x14ac:dyDescent="0.2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N85" s="15"/>
      <c r="O85" s="15"/>
      <c r="P85" s="59"/>
      <c r="Q85" s="59"/>
      <c r="R85" s="59"/>
      <c r="S85" s="59"/>
      <c r="T85" s="59"/>
      <c r="W85" s="15"/>
      <c r="X85" s="15"/>
      <c r="Y85" s="15"/>
      <c r="Z85" s="15"/>
      <c r="AA85" s="15"/>
    </row>
    <row r="86" spans="1:27" s="16" customFormat="1" x14ac:dyDescent="0.2">
      <c r="A86" s="29" t="str">
        <f t="shared" ref="A86:J86" si="42">A20</f>
        <v>Manny</v>
      </c>
      <c r="B86" s="17">
        <f t="shared" si="42"/>
        <v>5</v>
      </c>
      <c r="C86" s="3">
        <f t="shared" si="42"/>
        <v>4</v>
      </c>
      <c r="D86" s="3">
        <f t="shared" si="42"/>
        <v>4</v>
      </c>
      <c r="E86" s="3">
        <f t="shared" si="42"/>
        <v>10</v>
      </c>
      <c r="F86" s="3">
        <f t="shared" si="42"/>
        <v>5</v>
      </c>
      <c r="G86" s="3">
        <f t="shared" si="42"/>
        <v>6</v>
      </c>
      <c r="H86" s="3">
        <f t="shared" si="42"/>
        <v>8</v>
      </c>
      <c r="I86" s="3">
        <f t="shared" si="42"/>
        <v>4</v>
      </c>
      <c r="J86" s="4">
        <f t="shared" si="42"/>
        <v>5</v>
      </c>
      <c r="K86" s="12">
        <f>SUM(B86:J86)</f>
        <v>51</v>
      </c>
      <c r="N86" s="15"/>
      <c r="O86" s="15"/>
      <c r="P86" s="59"/>
      <c r="Q86" s="59"/>
      <c r="R86" s="59"/>
      <c r="S86" s="59"/>
      <c r="T86" s="59"/>
      <c r="W86" s="15"/>
      <c r="X86" s="15"/>
      <c r="Y86" s="15"/>
      <c r="Z86" s="15"/>
      <c r="AA86" s="15"/>
    </row>
    <row r="87" spans="1:27" s="16" customFormat="1" x14ac:dyDescent="0.2">
      <c r="A87" s="30">
        <f>A21</f>
        <v>14</v>
      </c>
      <c r="B87" s="18">
        <f>IF(AND(ISNUMBER($A81),ISNUMBER($A87)),IF((RANK(B$4,$B$4:$J$4,1))&lt;=($A87-$A81),1,0),"")</f>
        <v>0</v>
      </c>
      <c r="C87" s="6">
        <f t="shared" ref="C87:J87" si="43">IF(AND(ISNUMBER($A81),ISNUMBER($A87)),IF((RANK(C$4,$B$4:$J$4,1))&lt;=($A87-$A81),1,0),"")</f>
        <v>1</v>
      </c>
      <c r="D87" s="6">
        <f t="shared" si="43"/>
        <v>0</v>
      </c>
      <c r="E87" s="6">
        <f t="shared" si="43"/>
        <v>0</v>
      </c>
      <c r="F87" s="6">
        <f t="shared" si="43"/>
        <v>0</v>
      </c>
      <c r="G87" s="6">
        <f t="shared" si="43"/>
        <v>1</v>
      </c>
      <c r="H87" s="6">
        <f t="shared" si="43"/>
        <v>1</v>
      </c>
      <c r="I87" s="6">
        <f t="shared" si="43"/>
        <v>0</v>
      </c>
      <c r="J87" s="7">
        <f t="shared" si="43"/>
        <v>1</v>
      </c>
      <c r="K87" s="13">
        <f>SUM(B87:J87)</f>
        <v>4</v>
      </c>
      <c r="N87" s="15"/>
      <c r="O87" s="15"/>
      <c r="P87" s="59"/>
      <c r="Q87" s="59"/>
      <c r="R87" s="59"/>
      <c r="S87" s="59"/>
      <c r="T87" s="59"/>
      <c r="W87" s="15"/>
      <c r="X87" s="15"/>
      <c r="Y87" s="15"/>
      <c r="Z87" s="15"/>
      <c r="AA87" s="15"/>
    </row>
    <row r="88" spans="1:27" s="16" customFormat="1" x14ac:dyDescent="0.2">
      <c r="A88" s="30">
        <f>IF((A87-A81)&gt;9,(A87-A81-9),0)</f>
        <v>0</v>
      </c>
      <c r="B88" s="18">
        <f>IF(AND(ISNUMBER($A82),ISNUMBER($A88)),IF((RANK(B$4,$B$4:$J$4,1))&lt;=($A88-$A82),1,0),"")</f>
        <v>0</v>
      </c>
      <c r="C88" s="6">
        <f t="shared" ref="C88:J88" si="44">IF(AND(ISNUMBER($A82),ISNUMBER($A88)),IF((RANK(C$4,$B$4:$J$4,1))&lt;=($A88-$A82),1,0),"")</f>
        <v>0</v>
      </c>
      <c r="D88" s="6">
        <f t="shared" si="44"/>
        <v>0</v>
      </c>
      <c r="E88" s="6">
        <f t="shared" si="44"/>
        <v>0</v>
      </c>
      <c r="F88" s="6">
        <f t="shared" si="44"/>
        <v>0</v>
      </c>
      <c r="G88" s="6">
        <f t="shared" si="44"/>
        <v>0</v>
      </c>
      <c r="H88" s="6">
        <f t="shared" si="44"/>
        <v>0</v>
      </c>
      <c r="I88" s="6">
        <f t="shared" si="44"/>
        <v>0</v>
      </c>
      <c r="J88" s="7">
        <f t="shared" si="44"/>
        <v>0</v>
      </c>
      <c r="K88" s="13">
        <f>SUM(B88:J88)</f>
        <v>0</v>
      </c>
      <c r="N88" s="15"/>
      <c r="O88" s="15"/>
      <c r="P88" s="59"/>
      <c r="Q88" s="59"/>
      <c r="R88" s="59"/>
      <c r="S88" s="59"/>
      <c r="T88" s="59"/>
      <c r="W88" s="15"/>
      <c r="X88" s="15"/>
      <c r="Y88" s="15"/>
      <c r="Z88" s="15"/>
      <c r="AA88" s="15"/>
    </row>
    <row r="89" spans="1:27" s="16" customFormat="1" x14ac:dyDescent="0.2">
      <c r="A89" s="30"/>
      <c r="B89" s="82">
        <f t="shared" ref="B89:J89" si="45">IF(AND(ISNUMBER(B86),ISNUMBER(B87)),B86-B87-B88," ")</f>
        <v>5</v>
      </c>
      <c r="C89" s="83">
        <f t="shared" si="45"/>
        <v>3</v>
      </c>
      <c r="D89" s="83">
        <f t="shared" si="45"/>
        <v>4</v>
      </c>
      <c r="E89" s="83">
        <f t="shared" si="45"/>
        <v>10</v>
      </c>
      <c r="F89" s="83">
        <f t="shared" si="45"/>
        <v>5</v>
      </c>
      <c r="G89" s="83">
        <f t="shared" si="45"/>
        <v>5</v>
      </c>
      <c r="H89" s="83">
        <f t="shared" si="45"/>
        <v>7</v>
      </c>
      <c r="I89" s="83">
        <f t="shared" si="45"/>
        <v>4</v>
      </c>
      <c r="J89" s="84">
        <f t="shared" si="45"/>
        <v>4</v>
      </c>
      <c r="K89" s="13">
        <f>IF(ISNUMBER(FIND("Wins",K90)), 2, IF(ISNUMBER(FIND("Tie",K90)), 1, 0))</f>
        <v>2</v>
      </c>
      <c r="N89" s="15"/>
      <c r="O89" s="15"/>
      <c r="P89" s="59"/>
      <c r="Q89" s="59"/>
      <c r="R89" s="59"/>
      <c r="S89" s="59"/>
      <c r="T89" s="59"/>
      <c r="W89" s="15"/>
      <c r="X89" s="15"/>
      <c r="Y89" s="15"/>
      <c r="Z89" s="15"/>
      <c r="AA89" s="15"/>
    </row>
    <row r="90" spans="1:27" s="16" customFormat="1" ht="13.5" thickBot="1" x14ac:dyDescent="0.25">
      <c r="A90" s="31"/>
      <c r="B90" s="19">
        <f>IF(AND(ISNUMBER(B83),ISNUMBER(B89)),IF(B89&lt;B83, 0+1, (IF(B89&gt;B83, 0-1, 0)))," ")</f>
        <v>1</v>
      </c>
      <c r="C90" s="9">
        <f t="shared" ref="C90:J90" si="46">IF(AND(ISNUMBER(C83),ISNUMBER(C89)),IF(C89&lt;C83, +B90+1, (IF(C89&gt;C83, +B90-1, +B90)))," ")</f>
        <v>2</v>
      </c>
      <c r="D90" s="9">
        <f t="shared" si="46"/>
        <v>3</v>
      </c>
      <c r="E90" s="9">
        <f t="shared" si="46"/>
        <v>2</v>
      </c>
      <c r="F90" s="9">
        <f t="shared" si="46"/>
        <v>2</v>
      </c>
      <c r="G90" s="9">
        <f t="shared" si="46"/>
        <v>1</v>
      </c>
      <c r="H90" s="9">
        <f t="shared" si="46"/>
        <v>0</v>
      </c>
      <c r="I90" s="9">
        <f t="shared" si="46"/>
        <v>0</v>
      </c>
      <c r="J90" s="10">
        <f t="shared" si="46"/>
        <v>1</v>
      </c>
      <c r="K90" s="14" t="str">
        <f>IF(ISNUMBER(J90),IF(F90&gt;4,"Wins " &amp; F90 &amp; " &amp; 4",IF(G90&gt;3,"Wins " &amp; G90 &amp; " &amp; 3",IF(H90&gt;2,"Wins " &amp; H90 &amp; " &amp; 2",IF(I90&gt;1,"Wins " &amp; I90 &amp; " &amp; 1",IF(J90&gt;J84,"Wins " &amp; J90 &amp; " Up",IF(J90&lt;J84,"Loss","Tie"))))))," ")</f>
        <v>Wins 1 Up</v>
      </c>
      <c r="N90" s="15"/>
      <c r="O90" s="15"/>
      <c r="P90" s="59"/>
      <c r="Q90" s="59"/>
      <c r="R90" s="59"/>
      <c r="S90" s="59"/>
      <c r="T90" s="59"/>
      <c r="W90" s="15"/>
      <c r="X90" s="15"/>
      <c r="Y90" s="15"/>
      <c r="Z90" s="15"/>
      <c r="AA90" s="15"/>
    </row>
    <row r="91" spans="1:27" s="16" customFormat="1" x14ac:dyDescent="0.2">
      <c r="A91" s="26"/>
      <c r="B91" s="15"/>
      <c r="C91" s="15"/>
      <c r="D91" s="15"/>
      <c r="E91" s="15"/>
      <c r="F91" s="15"/>
      <c r="G91" s="15"/>
      <c r="H91" s="15"/>
      <c r="I91" s="15"/>
      <c r="J91" s="15"/>
      <c r="K91" s="15"/>
      <c r="N91" s="15"/>
      <c r="O91" s="15"/>
      <c r="P91" s="59"/>
      <c r="Q91" s="59"/>
      <c r="R91" s="59"/>
      <c r="S91" s="59"/>
      <c r="T91" s="59"/>
      <c r="W91" s="15"/>
      <c r="X91" s="15"/>
      <c r="Y91" s="15"/>
      <c r="Z91" s="15"/>
      <c r="AA91" s="15"/>
    </row>
    <row r="92" spans="1:27" s="16" customFormat="1" ht="13.5" thickBot="1" x14ac:dyDescent="0.25">
      <c r="A92" s="27" t="s">
        <v>12</v>
      </c>
      <c r="B92" s="2"/>
      <c r="C92" s="2"/>
      <c r="D92" s="2"/>
      <c r="E92" s="2"/>
      <c r="F92" s="2"/>
      <c r="G92" s="2"/>
      <c r="H92" s="2"/>
      <c r="I92" s="2"/>
      <c r="J92" s="2"/>
      <c r="K92" s="2"/>
      <c r="N92" s="15"/>
      <c r="O92" s="15"/>
      <c r="P92" s="59"/>
      <c r="Q92" s="59"/>
      <c r="R92" s="59"/>
      <c r="S92" s="59"/>
      <c r="T92" s="59"/>
      <c r="W92" s="15"/>
      <c r="X92" s="15"/>
      <c r="Y92" s="15"/>
      <c r="Z92" s="15"/>
      <c r="AA92" s="15"/>
    </row>
    <row r="93" spans="1:27" s="16" customFormat="1" x14ac:dyDescent="0.2">
      <c r="A93" s="29" t="str">
        <f t="shared" ref="A93:J93" si="47">A22</f>
        <v>Tommy</v>
      </c>
      <c r="B93" s="17">
        <f t="shared" si="47"/>
        <v>5</v>
      </c>
      <c r="C93" s="3">
        <f t="shared" si="47"/>
        <v>5</v>
      </c>
      <c r="D93" s="3">
        <f t="shared" si="47"/>
        <v>3</v>
      </c>
      <c r="E93" s="3">
        <f t="shared" si="47"/>
        <v>8</v>
      </c>
      <c r="F93" s="3">
        <f t="shared" si="47"/>
        <v>4</v>
      </c>
      <c r="G93" s="3">
        <f t="shared" si="47"/>
        <v>4</v>
      </c>
      <c r="H93" s="3">
        <f t="shared" si="47"/>
        <v>7</v>
      </c>
      <c r="I93" s="3">
        <f t="shared" si="47"/>
        <v>4</v>
      </c>
      <c r="J93" s="4">
        <f t="shared" si="47"/>
        <v>4</v>
      </c>
      <c r="K93" s="12">
        <f>SUM(B93:J93)</f>
        <v>44</v>
      </c>
      <c r="N93" s="15"/>
      <c r="O93" s="15"/>
      <c r="P93" s="59"/>
      <c r="Q93" s="59"/>
      <c r="R93" s="59"/>
      <c r="S93" s="59"/>
      <c r="T93" s="59"/>
      <c r="W93" s="15"/>
      <c r="X93" s="15"/>
      <c r="Y93" s="15"/>
      <c r="Z93" s="15"/>
      <c r="AA93" s="15"/>
    </row>
    <row r="94" spans="1:27" s="16" customFormat="1" x14ac:dyDescent="0.2">
      <c r="A94" s="30">
        <f>A23</f>
        <v>5</v>
      </c>
      <c r="B94" s="18">
        <f>IF(AND(ISNUMBER($A94),ISNUMBER($A100)),IF((RANK(B$4,$B$4:$J$4,1))&lt;=($A94-$A100),1,0),"")</f>
        <v>0</v>
      </c>
      <c r="C94" s="6">
        <f t="shared" ref="C94:J94" si="48">IF(AND(ISNUMBER($A94),ISNUMBER($A100)),IF((RANK(C$4,$B$4:$J$4,1))&lt;=($A94-$A100),1,0),"")</f>
        <v>0</v>
      </c>
      <c r="D94" s="6">
        <f t="shared" si="48"/>
        <v>0</v>
      </c>
      <c r="E94" s="6">
        <f t="shared" si="48"/>
        <v>0</v>
      </c>
      <c r="F94" s="6">
        <f t="shared" si="48"/>
        <v>0</v>
      </c>
      <c r="G94" s="6">
        <f t="shared" si="48"/>
        <v>0</v>
      </c>
      <c r="H94" s="6">
        <f t="shared" si="48"/>
        <v>0</v>
      </c>
      <c r="I94" s="6">
        <f t="shared" si="48"/>
        <v>0</v>
      </c>
      <c r="J94" s="7">
        <f t="shared" si="48"/>
        <v>0</v>
      </c>
      <c r="K94" s="13">
        <f>SUM(B94:J94)</f>
        <v>0</v>
      </c>
      <c r="N94" s="15"/>
      <c r="O94" s="15"/>
      <c r="P94" s="59"/>
      <c r="Q94" s="59"/>
      <c r="R94" s="59"/>
      <c r="S94" s="59"/>
      <c r="T94" s="59"/>
      <c r="W94" s="15"/>
      <c r="X94" s="15"/>
      <c r="Y94" s="15"/>
      <c r="Z94" s="15"/>
      <c r="AA94" s="15"/>
    </row>
    <row r="95" spans="1:27" s="16" customFormat="1" x14ac:dyDescent="0.2">
      <c r="A95" s="30">
        <f>IF((A94-A100)&gt;9,(A94-A100-9),0)</f>
        <v>0</v>
      </c>
      <c r="B95" s="18">
        <f>IF(AND(ISNUMBER($A95),ISNUMBER($A101)),IF((RANK(B$4,$B$4:$J$4,1))&lt;=($A95-$A101),1,0),"")</f>
        <v>0</v>
      </c>
      <c r="C95" s="6">
        <f t="shared" ref="C95:J95" si="49">IF(AND(ISNUMBER($A95),ISNUMBER($A101)),IF((RANK(C$4,$B$4:$J$4,1))&lt;=($A95-$A101),1,0),"")</f>
        <v>0</v>
      </c>
      <c r="D95" s="6">
        <f t="shared" si="49"/>
        <v>0</v>
      </c>
      <c r="E95" s="6">
        <f t="shared" si="49"/>
        <v>0</v>
      </c>
      <c r="F95" s="6">
        <f t="shared" si="49"/>
        <v>0</v>
      </c>
      <c r="G95" s="6">
        <f t="shared" si="49"/>
        <v>0</v>
      </c>
      <c r="H95" s="6">
        <f t="shared" si="49"/>
        <v>0</v>
      </c>
      <c r="I95" s="6">
        <f t="shared" si="49"/>
        <v>0</v>
      </c>
      <c r="J95" s="7">
        <f t="shared" si="49"/>
        <v>0</v>
      </c>
      <c r="K95" s="13">
        <f>SUM(B95:J95)</f>
        <v>0</v>
      </c>
      <c r="N95" s="15"/>
      <c r="O95" s="15"/>
      <c r="P95" s="59"/>
      <c r="Q95" s="59"/>
      <c r="R95" s="59"/>
      <c r="S95" s="59"/>
      <c r="T95" s="59"/>
      <c r="W95" s="15"/>
      <c r="X95" s="15"/>
      <c r="Y95" s="15"/>
      <c r="Z95" s="15"/>
      <c r="AA95" s="15"/>
    </row>
    <row r="96" spans="1:27" s="16" customFormat="1" x14ac:dyDescent="0.2">
      <c r="A96" s="30"/>
      <c r="B96" s="82">
        <f t="shared" ref="B96:J96" si="50">IF(AND(ISNUMBER(B93),ISNUMBER(B94)),B93-B94-B95," ")</f>
        <v>5</v>
      </c>
      <c r="C96" s="83">
        <f t="shared" si="50"/>
        <v>5</v>
      </c>
      <c r="D96" s="83">
        <f t="shared" si="50"/>
        <v>3</v>
      </c>
      <c r="E96" s="83">
        <f t="shared" si="50"/>
        <v>8</v>
      </c>
      <c r="F96" s="83">
        <f t="shared" si="50"/>
        <v>4</v>
      </c>
      <c r="G96" s="83">
        <f t="shared" si="50"/>
        <v>4</v>
      </c>
      <c r="H96" s="83">
        <f t="shared" si="50"/>
        <v>7</v>
      </c>
      <c r="I96" s="83">
        <f t="shared" si="50"/>
        <v>4</v>
      </c>
      <c r="J96" s="84">
        <f t="shared" si="50"/>
        <v>4</v>
      </c>
      <c r="K96" s="13">
        <f>IF(ISNUMBER(FIND("Wins",K97)), 2, IF(ISNUMBER(FIND("Tie",K97)), 1, 0))</f>
        <v>2</v>
      </c>
      <c r="N96" s="15"/>
      <c r="O96" s="15"/>
      <c r="P96" s="59"/>
      <c r="Q96" s="59"/>
      <c r="R96" s="59"/>
      <c r="S96" s="59"/>
      <c r="T96" s="59"/>
      <c r="W96" s="15"/>
      <c r="X96" s="15"/>
      <c r="Y96" s="15"/>
      <c r="Z96" s="15"/>
      <c r="AA96" s="15"/>
    </row>
    <row r="97" spans="1:27" s="16" customFormat="1" ht="13.5" thickBot="1" x14ac:dyDescent="0.25">
      <c r="A97" s="31"/>
      <c r="B97" s="19">
        <f>IF(AND(ISNUMBER(B96),ISNUMBER(B102)),IF(B96&lt;B102, 0+1, (IF(B96&gt;B102, 0-1, 0)))," ")</f>
        <v>1</v>
      </c>
      <c r="C97" s="9">
        <f t="shared" ref="C97:J97" si="51">IF(AND(ISNUMBER(C96),ISNUMBER(C102)),IF(C96&lt;C102, +B97+1, (IF(C96&gt;C102, +B97-1, +B97)))," ")</f>
        <v>0</v>
      </c>
      <c r="D97" s="9">
        <f t="shared" si="51"/>
        <v>1</v>
      </c>
      <c r="E97" s="9">
        <f t="shared" si="51"/>
        <v>0</v>
      </c>
      <c r="F97" s="9">
        <f t="shared" si="51"/>
        <v>0</v>
      </c>
      <c r="G97" s="9">
        <f t="shared" si="51"/>
        <v>1</v>
      </c>
      <c r="H97" s="9">
        <f t="shared" si="51"/>
        <v>0</v>
      </c>
      <c r="I97" s="9">
        <f t="shared" si="51"/>
        <v>0</v>
      </c>
      <c r="J97" s="10">
        <f t="shared" si="51"/>
        <v>1</v>
      </c>
      <c r="K97" s="14" t="str">
        <f>IF(ISNUMBER(J97),IF(F97&gt;4,"Wins " &amp; F97 &amp; " &amp; 4",IF(G97&gt;3,"Wins " &amp; G97 &amp; " &amp; 3",IF(H97&gt;2,"Wins " &amp; H97 &amp; " &amp; 2",IF(I97&gt;1,"Wins " &amp; I97 &amp; " &amp; 1",IF(J97&gt;J103,"Wins " &amp; J97 &amp; " Up",IF(J97&lt;J103,"Loss","Tie"))))))," ")</f>
        <v>Wins 1 Up</v>
      </c>
      <c r="N97" s="15"/>
      <c r="O97" s="15"/>
      <c r="P97" s="59"/>
      <c r="Q97" s="59"/>
      <c r="R97" s="59"/>
      <c r="S97" s="59"/>
      <c r="T97" s="59"/>
      <c r="W97" s="15"/>
      <c r="X97" s="15"/>
      <c r="Y97" s="15"/>
      <c r="Z97" s="15"/>
      <c r="AA97" s="15"/>
    </row>
    <row r="98" spans="1:27" s="16" customFormat="1" ht="13.5" thickBot="1" x14ac:dyDescent="0.25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N98" s="15"/>
      <c r="O98" s="15"/>
      <c r="P98" s="59"/>
      <c r="Q98" s="59"/>
      <c r="R98" s="59"/>
      <c r="S98" s="59"/>
      <c r="T98" s="59"/>
      <c r="W98" s="15"/>
      <c r="X98" s="15"/>
      <c r="Y98" s="15"/>
      <c r="Z98" s="15"/>
      <c r="AA98" s="15"/>
    </row>
    <row r="99" spans="1:27" s="16" customFormat="1" x14ac:dyDescent="0.2">
      <c r="A99" s="29" t="str">
        <f t="shared" ref="A99:J99" si="52">A24</f>
        <v>Dave</v>
      </c>
      <c r="B99" s="17">
        <f t="shared" si="52"/>
        <v>6</v>
      </c>
      <c r="C99" s="3">
        <f t="shared" si="52"/>
        <v>4</v>
      </c>
      <c r="D99" s="3">
        <f t="shared" si="52"/>
        <v>4</v>
      </c>
      <c r="E99" s="3">
        <f t="shared" si="52"/>
        <v>6</v>
      </c>
      <c r="F99" s="3">
        <f t="shared" si="52"/>
        <v>4</v>
      </c>
      <c r="G99" s="3">
        <f t="shared" si="52"/>
        <v>6</v>
      </c>
      <c r="H99" s="3">
        <f t="shared" si="52"/>
        <v>6</v>
      </c>
      <c r="I99" s="3">
        <f t="shared" si="52"/>
        <v>4</v>
      </c>
      <c r="J99" s="4">
        <f t="shared" si="52"/>
        <v>5</v>
      </c>
      <c r="K99" s="12">
        <f>SUM(B99:J99)</f>
        <v>45</v>
      </c>
      <c r="N99" s="15"/>
      <c r="O99" s="15"/>
      <c r="P99" s="59"/>
      <c r="Q99" s="59"/>
      <c r="R99" s="59"/>
      <c r="S99" s="59"/>
      <c r="T99" s="59"/>
      <c r="W99" s="15"/>
      <c r="X99" s="15"/>
      <c r="Y99" s="15"/>
      <c r="Z99" s="15"/>
      <c r="AA99" s="15"/>
    </row>
    <row r="100" spans="1:27" s="16" customFormat="1" x14ac:dyDescent="0.2">
      <c r="A100" s="30">
        <f>A25</f>
        <v>5</v>
      </c>
      <c r="B100" s="18">
        <f>IF(AND(ISNUMBER($A94),ISNUMBER($A100)),IF((RANK(B$4,$B$4:$J$4,1))&lt;=($A100-$A94),1,0),"")</f>
        <v>0</v>
      </c>
      <c r="C100" s="6">
        <f t="shared" ref="C100:J100" si="53">IF(AND(ISNUMBER($A94),ISNUMBER($A100)),IF((RANK(C$4,$B$4:$J$4,1))&lt;=($A100-$A94),1,0),"")</f>
        <v>0</v>
      </c>
      <c r="D100" s="6">
        <f t="shared" si="53"/>
        <v>0</v>
      </c>
      <c r="E100" s="6">
        <f t="shared" si="53"/>
        <v>0</v>
      </c>
      <c r="F100" s="6">
        <f t="shared" si="53"/>
        <v>0</v>
      </c>
      <c r="G100" s="6">
        <f t="shared" si="53"/>
        <v>0</v>
      </c>
      <c r="H100" s="6">
        <f t="shared" si="53"/>
        <v>0</v>
      </c>
      <c r="I100" s="6">
        <f t="shared" si="53"/>
        <v>0</v>
      </c>
      <c r="J100" s="7">
        <f t="shared" si="53"/>
        <v>0</v>
      </c>
      <c r="K100" s="13">
        <f>SUM(B100:J100)</f>
        <v>0</v>
      </c>
      <c r="N100" s="15"/>
      <c r="O100" s="15"/>
      <c r="P100" s="59"/>
      <c r="Q100" s="59"/>
      <c r="R100" s="59"/>
      <c r="S100" s="59"/>
      <c r="T100" s="59"/>
      <c r="W100" s="15"/>
      <c r="X100" s="15"/>
      <c r="Y100" s="15"/>
      <c r="Z100" s="15"/>
      <c r="AA100" s="15"/>
    </row>
    <row r="101" spans="1:27" s="16" customFormat="1" x14ac:dyDescent="0.2">
      <c r="A101" s="30">
        <f>IF((A100-A94)&gt;9,(A100-A94-9),0)</f>
        <v>0</v>
      </c>
      <c r="B101" s="18">
        <f>IF(AND(ISNUMBER($A95),ISNUMBER($A101)),IF((RANK(B$4,$B$4:$J$4,1))&lt;=($A101-$A95),1,0),"")</f>
        <v>0</v>
      </c>
      <c r="C101" s="6">
        <f t="shared" ref="C101:J101" si="54">IF(AND(ISNUMBER($A95),ISNUMBER($A101)),IF((RANK(C$4,$B$4:$J$4,1))&lt;=($A101-$A95),1,0),"")</f>
        <v>0</v>
      </c>
      <c r="D101" s="6">
        <f t="shared" si="54"/>
        <v>0</v>
      </c>
      <c r="E101" s="6">
        <f t="shared" si="54"/>
        <v>0</v>
      </c>
      <c r="F101" s="6">
        <f t="shared" si="54"/>
        <v>0</v>
      </c>
      <c r="G101" s="6">
        <f t="shared" si="54"/>
        <v>0</v>
      </c>
      <c r="H101" s="6">
        <f t="shared" si="54"/>
        <v>0</v>
      </c>
      <c r="I101" s="6">
        <f t="shared" si="54"/>
        <v>0</v>
      </c>
      <c r="J101" s="7">
        <f t="shared" si="54"/>
        <v>0</v>
      </c>
      <c r="K101" s="13">
        <f>SUM(B101:J101)</f>
        <v>0</v>
      </c>
      <c r="N101" s="15"/>
      <c r="O101" s="15"/>
      <c r="P101" s="59"/>
      <c r="Q101" s="59"/>
      <c r="R101" s="59"/>
      <c r="S101" s="59"/>
      <c r="T101" s="59"/>
      <c r="W101" s="15"/>
      <c r="X101" s="15"/>
      <c r="Y101" s="15"/>
      <c r="Z101" s="15"/>
      <c r="AA101" s="15"/>
    </row>
    <row r="102" spans="1:27" s="16" customFormat="1" x14ac:dyDescent="0.2">
      <c r="A102" s="30"/>
      <c r="B102" s="82">
        <f t="shared" ref="B102:J102" si="55">IF(AND(ISNUMBER(B99),ISNUMBER(B100)),B99-B100-B101," ")</f>
        <v>6</v>
      </c>
      <c r="C102" s="83">
        <f t="shared" si="55"/>
        <v>4</v>
      </c>
      <c r="D102" s="83">
        <f t="shared" si="55"/>
        <v>4</v>
      </c>
      <c r="E102" s="83">
        <f t="shared" si="55"/>
        <v>6</v>
      </c>
      <c r="F102" s="83">
        <f t="shared" si="55"/>
        <v>4</v>
      </c>
      <c r="G102" s="83">
        <f t="shared" si="55"/>
        <v>6</v>
      </c>
      <c r="H102" s="83">
        <f t="shared" si="55"/>
        <v>6</v>
      </c>
      <c r="I102" s="83">
        <f t="shared" si="55"/>
        <v>4</v>
      </c>
      <c r="J102" s="84">
        <f t="shared" si="55"/>
        <v>5</v>
      </c>
      <c r="K102" s="13">
        <f>IF(ISNUMBER(FIND("Wins",K103)), 2, IF(ISNUMBER(FIND("Tie",K103)), 1, 0))</f>
        <v>0</v>
      </c>
      <c r="N102" s="15"/>
      <c r="O102" s="15"/>
      <c r="P102" s="59"/>
      <c r="Q102" s="59"/>
      <c r="R102" s="59"/>
      <c r="S102" s="59"/>
      <c r="T102" s="59"/>
      <c r="W102" s="15"/>
      <c r="X102" s="15"/>
      <c r="Y102" s="15"/>
      <c r="Z102" s="15"/>
      <c r="AA102" s="15"/>
    </row>
    <row r="103" spans="1:27" s="16" customFormat="1" ht="13.5" thickBot="1" x14ac:dyDescent="0.25">
      <c r="A103" s="31"/>
      <c r="B103" s="19">
        <f>IF(AND(ISNUMBER(B96),ISNUMBER(B102)),IF(B102&lt;B96, 0+1, (IF(B102&gt;B96, 0-1, 0)))," ")</f>
        <v>-1</v>
      </c>
      <c r="C103" s="9">
        <f t="shared" ref="C103:J103" si="56">IF(AND(ISNUMBER(C96),ISNUMBER(C102)),IF(C102&lt;C96, +B103+1, (IF(C102&gt;C96, +B103-1, +B103)))," ")</f>
        <v>0</v>
      </c>
      <c r="D103" s="9">
        <f t="shared" si="56"/>
        <v>-1</v>
      </c>
      <c r="E103" s="9">
        <f t="shared" si="56"/>
        <v>0</v>
      </c>
      <c r="F103" s="9">
        <f t="shared" si="56"/>
        <v>0</v>
      </c>
      <c r="G103" s="9">
        <f t="shared" si="56"/>
        <v>-1</v>
      </c>
      <c r="H103" s="9">
        <f t="shared" si="56"/>
        <v>0</v>
      </c>
      <c r="I103" s="9">
        <f t="shared" si="56"/>
        <v>0</v>
      </c>
      <c r="J103" s="10">
        <f t="shared" si="56"/>
        <v>-1</v>
      </c>
      <c r="K103" s="14" t="str">
        <f>IF(ISNUMBER(J103),IF(F103&gt;4,"Wins " &amp; F103 &amp; " &amp; 4",IF(G103&gt;3,"Wins " &amp; G103 &amp; " &amp; 3",IF(H103&gt;2,"Wins " &amp; H103 &amp; " &amp; 2",IF(I103&gt;1,"Wins " &amp; I103 &amp; " &amp; 1",IF(J103&gt;J97,"Wins " &amp; J103 &amp; " Up",IF(J103&lt;J97,"Loss","Tie"))))))," ")</f>
        <v>Loss</v>
      </c>
      <c r="N103" s="15"/>
      <c r="O103" s="15"/>
      <c r="P103" s="59"/>
      <c r="Q103" s="59"/>
      <c r="R103" s="59"/>
      <c r="S103" s="59"/>
      <c r="T103" s="59"/>
      <c r="W103" s="15"/>
      <c r="X103" s="15"/>
      <c r="Y103" s="15"/>
      <c r="Z103" s="15"/>
      <c r="AA103" s="15"/>
    </row>
    <row r="104" spans="1:27" s="16" customFormat="1" x14ac:dyDescent="0.2">
      <c r="A104" s="2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N104" s="15"/>
      <c r="O104" s="15"/>
      <c r="P104" s="59"/>
      <c r="Q104" s="59"/>
      <c r="R104" s="59"/>
      <c r="S104" s="59"/>
      <c r="T104" s="59"/>
      <c r="W104" s="15"/>
      <c r="X104" s="15"/>
      <c r="Y104" s="15"/>
      <c r="Z104" s="15"/>
      <c r="AA104" s="15"/>
    </row>
    <row r="105" spans="1:27" s="16" customFormat="1" ht="13.5" thickBot="1" x14ac:dyDescent="0.25">
      <c r="A105" s="27" t="s">
        <v>13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N105" s="15"/>
      <c r="O105" s="15"/>
      <c r="P105" s="59"/>
      <c r="Q105" s="59"/>
      <c r="R105" s="59"/>
      <c r="S105" s="59"/>
      <c r="T105" s="59"/>
      <c r="W105" s="15"/>
      <c r="X105" s="15"/>
      <c r="Y105" s="15"/>
      <c r="Z105" s="15"/>
      <c r="AA105" s="15"/>
    </row>
    <row r="106" spans="1:27" s="16" customFormat="1" x14ac:dyDescent="0.2">
      <c r="A106" s="29" t="str">
        <f t="shared" ref="A106:J106" si="57">A26</f>
        <v>Hunter</v>
      </c>
      <c r="B106" s="17">
        <f t="shared" si="57"/>
        <v>5</v>
      </c>
      <c r="C106" s="3">
        <f t="shared" si="57"/>
        <v>4</v>
      </c>
      <c r="D106" s="3">
        <f t="shared" si="57"/>
        <v>4</v>
      </c>
      <c r="E106" s="3">
        <f t="shared" si="57"/>
        <v>6</v>
      </c>
      <c r="F106" s="3">
        <f t="shared" si="57"/>
        <v>3</v>
      </c>
      <c r="G106" s="3">
        <f t="shared" si="57"/>
        <v>5</v>
      </c>
      <c r="H106" s="3">
        <f t="shared" si="57"/>
        <v>7</v>
      </c>
      <c r="I106" s="3">
        <f t="shared" si="57"/>
        <v>6</v>
      </c>
      <c r="J106" s="4">
        <f t="shared" si="57"/>
        <v>6</v>
      </c>
      <c r="K106" s="12">
        <f>SUM(B106:J106)</f>
        <v>46</v>
      </c>
      <c r="N106" s="15"/>
      <c r="O106" s="15"/>
      <c r="P106" s="59"/>
      <c r="Q106" s="59"/>
      <c r="R106" s="59"/>
      <c r="S106" s="59"/>
      <c r="T106" s="59"/>
      <c r="W106" s="15"/>
      <c r="X106" s="15"/>
      <c r="Y106" s="15"/>
      <c r="Z106" s="15"/>
      <c r="AA106" s="15"/>
    </row>
    <row r="107" spans="1:27" s="16" customFormat="1" x14ac:dyDescent="0.2">
      <c r="A107" s="30">
        <f>A27</f>
        <v>7</v>
      </c>
      <c r="B107" s="18">
        <f>IF(AND(ISNUMBER($A107),ISNUMBER($A113)),IF((RANK(B$4,$B$4:$J$4,1))&lt;=($A107-$A113),1,0),"")</f>
        <v>0</v>
      </c>
      <c r="C107" s="6">
        <f t="shared" ref="C107:J107" si="58">IF(AND(ISNUMBER($A107),ISNUMBER($A113)),IF((RANK(C$4,$B$4:$J$4,1))&lt;=($A107-$A113),1,0),"")</f>
        <v>0</v>
      </c>
      <c r="D107" s="6">
        <f t="shared" si="58"/>
        <v>0</v>
      </c>
      <c r="E107" s="6">
        <f t="shared" si="58"/>
        <v>0</v>
      </c>
      <c r="F107" s="6">
        <f t="shared" si="58"/>
        <v>0</v>
      </c>
      <c r="G107" s="6">
        <f t="shared" si="58"/>
        <v>0</v>
      </c>
      <c r="H107" s="6">
        <f t="shared" si="58"/>
        <v>0</v>
      </c>
      <c r="I107" s="6">
        <f t="shared" si="58"/>
        <v>0</v>
      </c>
      <c r="J107" s="7">
        <f t="shared" si="58"/>
        <v>0</v>
      </c>
      <c r="K107" s="13">
        <f>SUM(B107:J107)</f>
        <v>0</v>
      </c>
      <c r="N107" s="15"/>
      <c r="O107" s="15"/>
      <c r="P107" s="59"/>
      <c r="Q107" s="59"/>
      <c r="R107" s="59"/>
      <c r="S107" s="59"/>
      <c r="T107" s="59"/>
      <c r="W107" s="15"/>
      <c r="X107" s="15"/>
      <c r="Y107" s="15"/>
      <c r="Z107" s="15"/>
      <c r="AA107" s="15"/>
    </row>
    <row r="108" spans="1:27" s="16" customFormat="1" x14ac:dyDescent="0.2">
      <c r="A108" s="30">
        <f>IF((A107-A113)&gt;9,(A107-A113-9),0)</f>
        <v>0</v>
      </c>
      <c r="B108" s="18">
        <f>IF(AND(ISNUMBER($A108),ISNUMBER($A114)),IF((RANK(B$4,$B$4:$J$4,1))&lt;=($A108-$A114),1,0),"")</f>
        <v>0</v>
      </c>
      <c r="C108" s="6">
        <f t="shared" ref="C108:J108" si="59">IF(AND(ISNUMBER($A108),ISNUMBER($A114)),IF((RANK(C$4,$B$4:$J$4,1))&lt;=($A108-$A114),1,0),"")</f>
        <v>0</v>
      </c>
      <c r="D108" s="6">
        <f t="shared" si="59"/>
        <v>0</v>
      </c>
      <c r="E108" s="6">
        <f t="shared" si="59"/>
        <v>0</v>
      </c>
      <c r="F108" s="6">
        <f t="shared" si="59"/>
        <v>0</v>
      </c>
      <c r="G108" s="6">
        <f t="shared" si="59"/>
        <v>0</v>
      </c>
      <c r="H108" s="6">
        <f t="shared" si="59"/>
        <v>0</v>
      </c>
      <c r="I108" s="6">
        <f t="shared" si="59"/>
        <v>0</v>
      </c>
      <c r="J108" s="7">
        <f t="shared" si="59"/>
        <v>0</v>
      </c>
      <c r="K108" s="13">
        <f>SUM(B108:J108)</f>
        <v>0</v>
      </c>
      <c r="N108" s="15"/>
      <c r="O108" s="15"/>
      <c r="P108" s="59"/>
      <c r="Q108" s="59"/>
      <c r="R108" s="59"/>
      <c r="S108" s="59"/>
      <c r="T108" s="59"/>
      <c r="W108" s="15"/>
      <c r="X108" s="15"/>
      <c r="Y108" s="15"/>
      <c r="Z108" s="15"/>
      <c r="AA108" s="15"/>
    </row>
    <row r="109" spans="1:27" s="16" customFormat="1" x14ac:dyDescent="0.2">
      <c r="A109" s="30"/>
      <c r="B109" s="82">
        <f t="shared" ref="B109:J109" si="60">IF(AND(ISNUMBER(B106),ISNUMBER(B107)),B106-B107-B108," ")</f>
        <v>5</v>
      </c>
      <c r="C109" s="83">
        <f t="shared" si="60"/>
        <v>4</v>
      </c>
      <c r="D109" s="83">
        <f t="shared" si="60"/>
        <v>4</v>
      </c>
      <c r="E109" s="83">
        <f t="shared" si="60"/>
        <v>6</v>
      </c>
      <c r="F109" s="83">
        <f t="shared" si="60"/>
        <v>3</v>
      </c>
      <c r="G109" s="83">
        <f t="shared" si="60"/>
        <v>5</v>
      </c>
      <c r="H109" s="83">
        <f t="shared" si="60"/>
        <v>7</v>
      </c>
      <c r="I109" s="83">
        <f t="shared" si="60"/>
        <v>6</v>
      </c>
      <c r="J109" s="84">
        <f t="shared" si="60"/>
        <v>6</v>
      </c>
      <c r="K109" s="13">
        <f>IF(ISNUMBER(FIND("Wins",K110)), 2, IF(ISNUMBER(FIND("Tie",K110)), 1, 0))</f>
        <v>2</v>
      </c>
      <c r="N109" s="15"/>
      <c r="O109" s="15"/>
      <c r="P109" s="59"/>
      <c r="Q109" s="59"/>
      <c r="R109" s="59"/>
      <c r="S109" s="59"/>
      <c r="T109" s="59"/>
      <c r="W109" s="15"/>
      <c r="X109" s="15"/>
      <c r="Y109" s="15"/>
      <c r="Z109" s="15"/>
      <c r="AA109" s="15"/>
    </row>
    <row r="110" spans="1:27" s="16" customFormat="1" ht="13.5" thickBot="1" x14ac:dyDescent="0.25">
      <c r="A110" s="31"/>
      <c r="B110" s="19">
        <f>IF(AND(ISNUMBER(B109),ISNUMBER(B115)),IF(B109&lt;B115, 0+1, (IF(B109&gt;B115, 0-1, 0)))," ")</f>
        <v>1</v>
      </c>
      <c r="C110" s="9">
        <f t="shared" ref="C110:J110" si="61">IF(AND(ISNUMBER(C109),ISNUMBER(C115)),IF(C109&lt;C115, +B110+1, (IF(C109&gt;C115, +B110-1, +B110)))," ")</f>
        <v>2</v>
      </c>
      <c r="D110" s="9">
        <f t="shared" si="61"/>
        <v>2</v>
      </c>
      <c r="E110" s="9">
        <f t="shared" si="61"/>
        <v>3</v>
      </c>
      <c r="F110" s="9">
        <f t="shared" si="61"/>
        <v>4</v>
      </c>
      <c r="G110" s="9">
        <f t="shared" si="61"/>
        <v>3</v>
      </c>
      <c r="H110" s="9">
        <f t="shared" si="61"/>
        <v>2</v>
      </c>
      <c r="I110" s="9">
        <f t="shared" si="61"/>
        <v>3</v>
      </c>
      <c r="J110" s="10">
        <f t="shared" si="61"/>
        <v>3</v>
      </c>
      <c r="K110" s="14" t="str">
        <f>IF(ISNUMBER(J110),IF(F110&gt;4,"Wins " &amp; F110 &amp; " &amp; 4",IF(G110&gt;3,"Wins " &amp; G110 &amp; " &amp; 3",IF(H110&gt;2,"Wins " &amp; H110 &amp; " &amp; 2",IF(I110&gt;1,"Wins " &amp; I110 &amp; " &amp; 1",IF(J110&gt;J116,"Wins " &amp; J110 &amp; " Up",IF(J110&lt;J116,"Loss","Tie"))))))," ")</f>
        <v>Wins 3 &amp; 1</v>
      </c>
      <c r="N110" s="15"/>
      <c r="O110" s="15"/>
      <c r="P110" s="59"/>
      <c r="Q110" s="59"/>
      <c r="R110" s="59"/>
      <c r="S110" s="59"/>
      <c r="T110" s="59"/>
      <c r="W110" s="15"/>
      <c r="X110" s="15"/>
      <c r="Y110" s="15"/>
      <c r="Z110" s="15"/>
      <c r="AA110" s="15"/>
    </row>
    <row r="111" spans="1:27" s="16" customFormat="1" ht="13.5" thickBot="1" x14ac:dyDescent="0.25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N111" s="15"/>
      <c r="O111" s="15"/>
      <c r="P111" s="59"/>
      <c r="Q111" s="59"/>
      <c r="R111" s="59"/>
      <c r="S111" s="59"/>
      <c r="T111" s="59"/>
      <c r="W111" s="15"/>
      <c r="X111" s="15"/>
      <c r="Y111" s="15"/>
      <c r="Z111" s="15"/>
      <c r="AA111" s="15"/>
    </row>
    <row r="112" spans="1:27" s="16" customFormat="1" x14ac:dyDescent="0.2">
      <c r="A112" s="29" t="str">
        <f t="shared" ref="A112:J112" si="62">A28</f>
        <v>Gerald C</v>
      </c>
      <c r="B112" s="17">
        <f t="shared" si="62"/>
        <v>8</v>
      </c>
      <c r="C112" s="3">
        <f t="shared" si="62"/>
        <v>6</v>
      </c>
      <c r="D112" s="3">
        <f t="shared" si="62"/>
        <v>5</v>
      </c>
      <c r="E112" s="3">
        <f t="shared" si="62"/>
        <v>9</v>
      </c>
      <c r="F112" s="3">
        <f t="shared" si="62"/>
        <v>4</v>
      </c>
      <c r="G112" s="3">
        <f t="shared" si="62"/>
        <v>5</v>
      </c>
      <c r="H112" s="3">
        <f t="shared" si="62"/>
        <v>6</v>
      </c>
      <c r="I112" s="3">
        <f t="shared" si="62"/>
        <v>8</v>
      </c>
      <c r="J112" s="4">
        <f t="shared" si="62"/>
        <v>7</v>
      </c>
      <c r="K112" s="12">
        <f>SUM(B112:J112)</f>
        <v>58</v>
      </c>
      <c r="N112" s="15"/>
      <c r="O112" s="15"/>
      <c r="P112" s="59"/>
      <c r="Q112" s="59"/>
      <c r="R112" s="59"/>
      <c r="S112" s="59"/>
      <c r="T112" s="59"/>
      <c r="W112" s="15"/>
      <c r="X112" s="15"/>
      <c r="Y112" s="15"/>
      <c r="Z112" s="15"/>
      <c r="AA112" s="15"/>
    </row>
    <row r="113" spans="1:27" s="16" customFormat="1" x14ac:dyDescent="0.2">
      <c r="A113" s="30">
        <f>A29</f>
        <v>12</v>
      </c>
      <c r="B113" s="18">
        <f>IF(AND(ISNUMBER($A107),ISNUMBER($A113)),IF((RANK(B$4,$B$4:$J$4,1))&lt;=($A113-$A107),1,0),"")</f>
        <v>0</v>
      </c>
      <c r="C113" s="6">
        <f t="shared" ref="C113:J113" si="63">IF(AND(ISNUMBER($A107),ISNUMBER($A113)),IF((RANK(C$4,$B$4:$J$4,1))&lt;=($A113-$A107),1,0),"")</f>
        <v>1</v>
      </c>
      <c r="D113" s="6">
        <f t="shared" si="63"/>
        <v>1</v>
      </c>
      <c r="E113" s="6">
        <f t="shared" si="63"/>
        <v>0</v>
      </c>
      <c r="F113" s="6">
        <f t="shared" si="63"/>
        <v>0</v>
      </c>
      <c r="G113" s="6">
        <f t="shared" si="63"/>
        <v>1</v>
      </c>
      <c r="H113" s="6">
        <f t="shared" si="63"/>
        <v>1</v>
      </c>
      <c r="I113" s="6">
        <f t="shared" si="63"/>
        <v>0</v>
      </c>
      <c r="J113" s="7">
        <f t="shared" si="63"/>
        <v>1</v>
      </c>
      <c r="K113" s="13">
        <f>SUM(B113:J113)</f>
        <v>5</v>
      </c>
      <c r="N113" s="15"/>
      <c r="O113" s="15"/>
      <c r="P113" s="59"/>
      <c r="Q113" s="59"/>
      <c r="R113" s="59"/>
      <c r="S113" s="59"/>
      <c r="T113" s="59"/>
      <c r="W113" s="15"/>
      <c r="X113" s="15"/>
      <c r="Y113" s="15"/>
      <c r="Z113" s="15"/>
      <c r="AA113" s="15"/>
    </row>
    <row r="114" spans="1:27" s="16" customFormat="1" x14ac:dyDescent="0.2">
      <c r="A114" s="30">
        <f>IF((A113-A107)&gt;9,(A113-A107-9),0)</f>
        <v>0</v>
      </c>
      <c r="B114" s="18">
        <f>IF(AND(ISNUMBER($A108),ISNUMBER($A114)),IF((RANK(B$4,$B$4:$J$4,1))&lt;=($A114-$A108),1,0),"")</f>
        <v>0</v>
      </c>
      <c r="C114" s="6">
        <f t="shared" ref="C114:J114" si="64">IF(AND(ISNUMBER($A108),ISNUMBER($A114)),IF((RANK(C$4,$B$4:$J$4,1))&lt;=($A114-$A108),1,0),"")</f>
        <v>0</v>
      </c>
      <c r="D114" s="6">
        <f t="shared" si="64"/>
        <v>0</v>
      </c>
      <c r="E114" s="6">
        <f t="shared" si="64"/>
        <v>0</v>
      </c>
      <c r="F114" s="6">
        <f t="shared" si="64"/>
        <v>0</v>
      </c>
      <c r="G114" s="6">
        <f t="shared" si="64"/>
        <v>0</v>
      </c>
      <c r="H114" s="6">
        <f t="shared" si="64"/>
        <v>0</v>
      </c>
      <c r="I114" s="6">
        <f t="shared" si="64"/>
        <v>0</v>
      </c>
      <c r="J114" s="7">
        <f t="shared" si="64"/>
        <v>0</v>
      </c>
      <c r="K114" s="13">
        <f>SUM(B114:J114)</f>
        <v>0</v>
      </c>
      <c r="N114" s="15"/>
      <c r="O114" s="15"/>
      <c r="P114" s="59"/>
      <c r="Q114" s="59"/>
      <c r="R114" s="59"/>
      <c r="S114" s="59"/>
      <c r="T114" s="59"/>
      <c r="W114" s="15"/>
      <c r="X114" s="15"/>
      <c r="Y114" s="15"/>
      <c r="Z114" s="15"/>
      <c r="AA114" s="15"/>
    </row>
    <row r="115" spans="1:27" s="16" customFormat="1" x14ac:dyDescent="0.2">
      <c r="A115" s="30"/>
      <c r="B115" s="82">
        <f t="shared" ref="B115:J115" si="65">IF(AND(ISNUMBER(B112),ISNUMBER(B113)),B112-B113-B114," ")</f>
        <v>8</v>
      </c>
      <c r="C115" s="83">
        <f t="shared" si="65"/>
        <v>5</v>
      </c>
      <c r="D115" s="83">
        <f t="shared" si="65"/>
        <v>4</v>
      </c>
      <c r="E115" s="83">
        <f t="shared" si="65"/>
        <v>9</v>
      </c>
      <c r="F115" s="83">
        <f t="shared" si="65"/>
        <v>4</v>
      </c>
      <c r="G115" s="83">
        <f t="shared" si="65"/>
        <v>4</v>
      </c>
      <c r="H115" s="83">
        <f t="shared" si="65"/>
        <v>5</v>
      </c>
      <c r="I115" s="83">
        <f t="shared" si="65"/>
        <v>8</v>
      </c>
      <c r="J115" s="84">
        <f t="shared" si="65"/>
        <v>6</v>
      </c>
      <c r="K115" s="13">
        <f>IF(ISNUMBER(FIND("Wins",K116)), 2, IF(ISNUMBER(FIND("Tie",K116)), 1, 0))</f>
        <v>0</v>
      </c>
      <c r="N115" s="15"/>
      <c r="O115" s="15"/>
      <c r="P115" s="59"/>
      <c r="Q115" s="59"/>
      <c r="R115" s="59"/>
      <c r="S115" s="59"/>
      <c r="T115" s="59"/>
      <c r="W115" s="15"/>
      <c r="X115" s="15"/>
      <c r="Y115" s="15"/>
      <c r="Z115" s="15"/>
      <c r="AA115" s="15"/>
    </row>
    <row r="116" spans="1:27" s="16" customFormat="1" ht="13.5" thickBot="1" x14ac:dyDescent="0.25">
      <c r="A116" s="31"/>
      <c r="B116" s="19">
        <f>IF(AND(ISNUMBER(B109),ISNUMBER(B115)),IF(B115&lt;B109, 0+1, (IF(B115&gt;B109, 0-1, 0)))," ")</f>
        <v>-1</v>
      </c>
      <c r="C116" s="9">
        <f t="shared" ref="C116:J116" si="66">IF(AND(ISNUMBER(C109),ISNUMBER(C115)),IF(C115&lt;C109, +B116+1, (IF(C115&gt;C109, +B116-1, +B116)))," ")</f>
        <v>-2</v>
      </c>
      <c r="D116" s="9">
        <f t="shared" si="66"/>
        <v>-2</v>
      </c>
      <c r="E116" s="9">
        <f t="shared" si="66"/>
        <v>-3</v>
      </c>
      <c r="F116" s="9">
        <f t="shared" si="66"/>
        <v>-4</v>
      </c>
      <c r="G116" s="9">
        <f t="shared" si="66"/>
        <v>-3</v>
      </c>
      <c r="H116" s="9">
        <f t="shared" si="66"/>
        <v>-2</v>
      </c>
      <c r="I116" s="9">
        <f t="shared" si="66"/>
        <v>-3</v>
      </c>
      <c r="J116" s="10">
        <f t="shared" si="66"/>
        <v>-3</v>
      </c>
      <c r="K116" s="14" t="str">
        <f>IF(ISNUMBER(J116),IF(F116&gt;4,"Wins " &amp; F116 &amp; " &amp; 4",IF(G116&gt;3,"Wins " &amp; G116 &amp; " &amp; 3",IF(H116&gt;2,"Wins " &amp; H116 &amp; " &amp; 2",IF(I116&gt;1,"Wins " &amp; I116 &amp; " &amp; 1",IF(J116&gt;J110,"Wins " &amp; J116 &amp; " Up",IF(J116&lt;J110,"Loss","Tie"))))))," ")</f>
        <v>Loss</v>
      </c>
      <c r="N116" s="15"/>
      <c r="O116" s="15"/>
      <c r="P116" s="59"/>
      <c r="Q116" s="59"/>
      <c r="R116" s="59"/>
      <c r="S116" s="59"/>
      <c r="T116" s="59"/>
      <c r="W116" s="15"/>
      <c r="X116" s="15"/>
      <c r="Y116" s="15"/>
      <c r="Z116" s="15"/>
      <c r="AA116" s="15"/>
    </row>
    <row r="117" spans="1:27" s="16" customFormat="1" x14ac:dyDescent="0.2">
      <c r="A117" s="26"/>
      <c r="B117" s="85"/>
      <c r="C117" s="85"/>
      <c r="D117" s="85"/>
      <c r="E117" s="85"/>
      <c r="F117" s="85"/>
      <c r="G117" s="85"/>
      <c r="H117" s="85"/>
      <c r="I117" s="85"/>
      <c r="J117" s="85"/>
      <c r="K117" s="15"/>
      <c r="N117" s="15"/>
      <c r="O117" s="15"/>
      <c r="P117" s="59"/>
      <c r="Q117" s="59"/>
      <c r="R117" s="59"/>
      <c r="S117" s="59"/>
      <c r="T117" s="59"/>
      <c r="W117" s="15"/>
      <c r="X117" s="15"/>
      <c r="Y117" s="15"/>
      <c r="Z117" s="15"/>
      <c r="AA117" s="15"/>
    </row>
    <row r="118" spans="1:27" ht="13.5" thickBot="1" x14ac:dyDescent="0.25">
      <c r="A118" s="27" t="s">
        <v>82</v>
      </c>
    </row>
    <row r="119" spans="1:27" x14ac:dyDescent="0.2">
      <c r="A119" s="79" t="str">
        <f t="shared" ref="A119:J119" si="67">A30</f>
        <v>Bob</v>
      </c>
      <c r="B119" s="17">
        <f t="shared" si="67"/>
        <v>5</v>
      </c>
      <c r="C119" s="3">
        <f t="shared" si="67"/>
        <v>5</v>
      </c>
      <c r="D119" s="3">
        <f t="shared" si="67"/>
        <v>6</v>
      </c>
      <c r="E119" s="3">
        <f t="shared" si="67"/>
        <v>6</v>
      </c>
      <c r="F119" s="3">
        <f t="shared" si="67"/>
        <v>3</v>
      </c>
      <c r="G119" s="3">
        <f t="shared" si="67"/>
        <v>7</v>
      </c>
      <c r="H119" s="3">
        <f t="shared" si="67"/>
        <v>4</v>
      </c>
      <c r="I119" s="3">
        <f t="shared" si="67"/>
        <v>5</v>
      </c>
      <c r="J119" s="4">
        <f t="shared" si="67"/>
        <v>8</v>
      </c>
      <c r="K119" s="12">
        <f>SUM(B119:J119)</f>
        <v>49</v>
      </c>
    </row>
    <row r="120" spans="1:27" x14ac:dyDescent="0.2">
      <c r="A120" s="80">
        <f>A31</f>
        <v>10</v>
      </c>
      <c r="B120" s="18">
        <f>IF(AND(ISNUMBER($A120),ISNUMBER($A126)),IF((RANK(B$4,$B$4:$J$4,1))&lt;=($A120-$A126),1,0),"")</f>
        <v>0</v>
      </c>
      <c r="C120" s="6">
        <f t="shared" ref="C120:J120" si="68">IF(AND(ISNUMBER($A120),ISNUMBER($A126)),IF((RANK(C$4,$B$4:$J$4,1))&lt;=($A120-$A126),1,0),"")</f>
        <v>0</v>
      </c>
      <c r="D120" s="6">
        <f t="shared" si="68"/>
        <v>0</v>
      </c>
      <c r="E120" s="6">
        <f t="shared" si="68"/>
        <v>0</v>
      </c>
      <c r="F120" s="6">
        <f t="shared" si="68"/>
        <v>0</v>
      </c>
      <c r="G120" s="6">
        <f t="shared" si="68"/>
        <v>0</v>
      </c>
      <c r="H120" s="6">
        <f t="shared" si="68"/>
        <v>1</v>
      </c>
      <c r="I120" s="6">
        <f t="shared" si="68"/>
        <v>0</v>
      </c>
      <c r="J120" s="7">
        <f t="shared" si="68"/>
        <v>1</v>
      </c>
      <c r="K120" s="13">
        <f>SUM(B120:J120)</f>
        <v>2</v>
      </c>
    </row>
    <row r="121" spans="1:27" x14ac:dyDescent="0.2">
      <c r="A121" s="80">
        <f>IF((A120-A126)&gt;9,(A120-A126-9),0)</f>
        <v>0</v>
      </c>
      <c r="B121" s="18">
        <f>IF(AND(ISNUMBER($A121),ISNUMBER($A127)),IF((RANK(B$4,$B$4:$J$4,1))&lt;=($A121-$A127),1,0),"")</f>
        <v>0</v>
      </c>
      <c r="C121" s="6">
        <f t="shared" ref="C121:J121" si="69">IF(AND(ISNUMBER($A121),ISNUMBER($A127)),IF((RANK(C$4,$B$4:$J$4,1))&lt;=($A121-$A127),1,0),"")</f>
        <v>0</v>
      </c>
      <c r="D121" s="6">
        <f t="shared" si="69"/>
        <v>0</v>
      </c>
      <c r="E121" s="6">
        <f t="shared" si="69"/>
        <v>0</v>
      </c>
      <c r="F121" s="6">
        <f t="shared" si="69"/>
        <v>0</v>
      </c>
      <c r="G121" s="6">
        <f t="shared" si="69"/>
        <v>0</v>
      </c>
      <c r="H121" s="6">
        <f t="shared" si="69"/>
        <v>0</v>
      </c>
      <c r="I121" s="6">
        <f t="shared" si="69"/>
        <v>0</v>
      </c>
      <c r="J121" s="7">
        <f t="shared" si="69"/>
        <v>0</v>
      </c>
      <c r="K121" s="13">
        <f>SUM(B121:J121)</f>
        <v>0</v>
      </c>
    </row>
    <row r="122" spans="1:27" x14ac:dyDescent="0.2">
      <c r="A122" s="80"/>
      <c r="B122" s="82">
        <f t="shared" ref="B122:J122" si="70">IF(AND(ISNUMBER(B119),ISNUMBER(B120)),B119-B120-B121," ")</f>
        <v>5</v>
      </c>
      <c r="C122" s="83">
        <f t="shared" si="70"/>
        <v>5</v>
      </c>
      <c r="D122" s="83">
        <f t="shared" si="70"/>
        <v>6</v>
      </c>
      <c r="E122" s="83">
        <f t="shared" si="70"/>
        <v>6</v>
      </c>
      <c r="F122" s="83">
        <f t="shared" si="70"/>
        <v>3</v>
      </c>
      <c r="G122" s="83">
        <f t="shared" si="70"/>
        <v>7</v>
      </c>
      <c r="H122" s="83">
        <f t="shared" si="70"/>
        <v>3</v>
      </c>
      <c r="I122" s="83">
        <f t="shared" si="70"/>
        <v>5</v>
      </c>
      <c r="J122" s="84">
        <f t="shared" si="70"/>
        <v>7</v>
      </c>
      <c r="K122" s="13">
        <f>IF(ISNUMBER(FIND("Wins",K123)), 2, IF(ISNUMBER(FIND("Tie",K123)), 1, 0))</f>
        <v>2</v>
      </c>
    </row>
    <row r="123" spans="1:27" ht="13.5" thickBot="1" x14ac:dyDescent="0.25">
      <c r="A123" s="81"/>
      <c r="B123" s="19">
        <f>IF(AND(ISNUMBER(B122),ISNUMBER(B128)),IF(B122&lt;B128, 0+1, (IF(B122&gt;B128, 0-1, 0)))," ")</f>
        <v>0</v>
      </c>
      <c r="C123" s="9">
        <f t="shared" ref="C123:J123" si="71">IF(AND(ISNUMBER(C122),ISNUMBER(C128)),IF(C122&lt;C128, +B123+1, (IF(C122&gt;C128, +B123-1, +B123)))," ")</f>
        <v>1</v>
      </c>
      <c r="D123" s="9">
        <f t="shared" si="71"/>
        <v>1</v>
      </c>
      <c r="E123" s="9">
        <f t="shared" si="71"/>
        <v>1</v>
      </c>
      <c r="F123" s="9">
        <f t="shared" si="71"/>
        <v>2</v>
      </c>
      <c r="G123" s="9">
        <f t="shared" si="71"/>
        <v>1</v>
      </c>
      <c r="H123" s="9">
        <f t="shared" si="71"/>
        <v>2</v>
      </c>
      <c r="I123" s="9">
        <f t="shared" si="71"/>
        <v>2</v>
      </c>
      <c r="J123" s="10">
        <f t="shared" si="71"/>
        <v>3</v>
      </c>
      <c r="K123" s="14" t="str">
        <f>IF(ISNUMBER(J123),IF(F123&gt;4,"Wins " &amp; F123 &amp; " &amp; 4",IF(G123&gt;3,"Wins " &amp; G123 &amp; " &amp; 3",IF(H123&gt;2,"Wins " &amp; H123 &amp; " &amp; 2",IF(I123&gt;1,"Wins " &amp; I123 &amp; " &amp; 1",IF(J123&gt;J129,"Wins " &amp; J123 &amp; " Up",IF(J123&lt;J129,"Loss","Tie"))))))," ")</f>
        <v>Wins 2 &amp; 1</v>
      </c>
    </row>
    <row r="124" spans="1:27" ht="13.5" thickBot="1" x14ac:dyDescent="0.25">
      <c r="A124" s="32"/>
    </row>
    <row r="125" spans="1:27" x14ac:dyDescent="0.2">
      <c r="A125" s="79" t="str">
        <f t="shared" ref="A125:J125" si="72">A32</f>
        <v>Patrick</v>
      </c>
      <c r="B125" s="17">
        <f t="shared" si="72"/>
        <v>5</v>
      </c>
      <c r="C125" s="3">
        <f t="shared" si="72"/>
        <v>7</v>
      </c>
      <c r="D125" s="3">
        <f t="shared" si="72"/>
        <v>6</v>
      </c>
      <c r="E125" s="3">
        <f t="shared" si="72"/>
        <v>6</v>
      </c>
      <c r="F125" s="3">
        <f t="shared" si="72"/>
        <v>6</v>
      </c>
      <c r="G125" s="3">
        <f t="shared" si="72"/>
        <v>6</v>
      </c>
      <c r="H125" s="3">
        <f t="shared" si="72"/>
        <v>6</v>
      </c>
      <c r="I125" s="3">
        <f t="shared" si="72"/>
        <v>5</v>
      </c>
      <c r="J125" s="4">
        <f t="shared" si="72"/>
        <v>9</v>
      </c>
      <c r="K125" s="12">
        <f>SUM(B125:J125)</f>
        <v>56</v>
      </c>
    </row>
    <row r="126" spans="1:27" x14ac:dyDescent="0.2">
      <c r="A126" s="80">
        <f>A33</f>
        <v>8</v>
      </c>
      <c r="B126" s="18">
        <f>IF(AND(ISNUMBER($A120),ISNUMBER($A126)),IF((RANK(B$4,$B$4:$J$4,1))&lt;=($A126-$A120),1,0),"")</f>
        <v>0</v>
      </c>
      <c r="C126" s="6">
        <f t="shared" ref="C126:J126" si="73">IF(AND(ISNUMBER($A120),ISNUMBER($A126)),IF((RANK(C$4,$B$4:$J$4,1))&lt;=($A126-$A120),1,0),"")</f>
        <v>0</v>
      </c>
      <c r="D126" s="6">
        <f t="shared" si="73"/>
        <v>0</v>
      </c>
      <c r="E126" s="6">
        <f t="shared" si="73"/>
        <v>0</v>
      </c>
      <c r="F126" s="6">
        <f t="shared" si="73"/>
        <v>0</v>
      </c>
      <c r="G126" s="6">
        <f t="shared" si="73"/>
        <v>0</v>
      </c>
      <c r="H126" s="6">
        <f t="shared" si="73"/>
        <v>0</v>
      </c>
      <c r="I126" s="6">
        <f t="shared" si="73"/>
        <v>0</v>
      </c>
      <c r="J126" s="7">
        <f t="shared" si="73"/>
        <v>0</v>
      </c>
      <c r="K126" s="13">
        <f>SUM(B126:J126)</f>
        <v>0</v>
      </c>
    </row>
    <row r="127" spans="1:27" x14ac:dyDescent="0.2">
      <c r="A127" s="80">
        <f>IF((A126-A120)&gt;9,(A126-A120-9),0)</f>
        <v>0</v>
      </c>
      <c r="B127" s="18">
        <f>IF(AND(ISNUMBER($A121),ISNUMBER($A127)),IF((RANK(B$4,$B$4:$J$4,1))&lt;=($A127-$A121),1,0),"")</f>
        <v>0</v>
      </c>
      <c r="C127" s="6">
        <f t="shared" ref="C127:J127" si="74">IF(AND(ISNUMBER($A121),ISNUMBER($A127)),IF((RANK(C$4,$B$4:$J$4,1))&lt;=($A127-$A121),1,0),"")</f>
        <v>0</v>
      </c>
      <c r="D127" s="6">
        <f t="shared" si="74"/>
        <v>0</v>
      </c>
      <c r="E127" s="6">
        <f t="shared" si="74"/>
        <v>0</v>
      </c>
      <c r="F127" s="6">
        <f t="shared" si="74"/>
        <v>0</v>
      </c>
      <c r="G127" s="6">
        <f t="shared" si="74"/>
        <v>0</v>
      </c>
      <c r="H127" s="6">
        <f t="shared" si="74"/>
        <v>0</v>
      </c>
      <c r="I127" s="6">
        <f t="shared" si="74"/>
        <v>0</v>
      </c>
      <c r="J127" s="7">
        <f t="shared" si="74"/>
        <v>0</v>
      </c>
      <c r="K127" s="13">
        <f>SUM(B127:J127)</f>
        <v>0</v>
      </c>
    </row>
    <row r="128" spans="1:27" x14ac:dyDescent="0.2">
      <c r="A128" s="80"/>
      <c r="B128" s="82">
        <f t="shared" ref="B128:J128" si="75">IF(AND(ISNUMBER(B125),ISNUMBER(B126)),B125-B126-B127," ")</f>
        <v>5</v>
      </c>
      <c r="C128" s="83">
        <f t="shared" si="75"/>
        <v>7</v>
      </c>
      <c r="D128" s="83">
        <f t="shared" si="75"/>
        <v>6</v>
      </c>
      <c r="E128" s="83">
        <f t="shared" si="75"/>
        <v>6</v>
      </c>
      <c r="F128" s="83">
        <f t="shared" si="75"/>
        <v>6</v>
      </c>
      <c r="G128" s="83">
        <f t="shared" si="75"/>
        <v>6</v>
      </c>
      <c r="H128" s="83">
        <f t="shared" si="75"/>
        <v>6</v>
      </c>
      <c r="I128" s="83">
        <f t="shared" si="75"/>
        <v>5</v>
      </c>
      <c r="J128" s="84">
        <f t="shared" si="75"/>
        <v>9</v>
      </c>
      <c r="K128" s="13">
        <f>IF(ISNUMBER(FIND("Wins",K129)), 2, IF(ISNUMBER(FIND("Tie",K129)), 1, 0))</f>
        <v>0</v>
      </c>
    </row>
    <row r="129" spans="1:11" ht="13.5" thickBot="1" x14ac:dyDescent="0.25">
      <c r="A129" s="81"/>
      <c r="B129" s="19">
        <f>IF(AND(ISNUMBER(B122),ISNUMBER(B128)),IF(B128&lt;B122, 0+1, (IF(B128&gt;B122, 0-1, 0)))," ")</f>
        <v>0</v>
      </c>
      <c r="C129" s="9">
        <f t="shared" ref="C129:J129" si="76">IF(AND(ISNUMBER(C122),ISNUMBER(C128)),IF(C128&lt;C122, +B129+1, (IF(C128&gt;C122, +B129-1, +B129)))," ")</f>
        <v>-1</v>
      </c>
      <c r="D129" s="9">
        <f t="shared" si="76"/>
        <v>-1</v>
      </c>
      <c r="E129" s="9">
        <f t="shared" si="76"/>
        <v>-1</v>
      </c>
      <c r="F129" s="9">
        <f t="shared" si="76"/>
        <v>-2</v>
      </c>
      <c r="G129" s="9">
        <f t="shared" si="76"/>
        <v>-1</v>
      </c>
      <c r="H129" s="9">
        <f t="shared" si="76"/>
        <v>-2</v>
      </c>
      <c r="I129" s="9">
        <f t="shared" si="76"/>
        <v>-2</v>
      </c>
      <c r="J129" s="10">
        <f t="shared" si="76"/>
        <v>-3</v>
      </c>
      <c r="K129" s="14" t="str">
        <f>IF(ISNUMBER(J129),IF(F129&gt;4,"Wins " &amp; F129 &amp; " &amp; 4",IF(G129&gt;3,"Wins " &amp; G129 &amp; " &amp; 3",IF(H129&gt;2,"Wins " &amp; H129 &amp; " &amp; 2",IF(I129&gt;1,"Wins " &amp; I129 &amp; " &amp; 1",IF(J129&gt;J123,"Wins " &amp; J129 &amp; " Up",IF(J129&lt;J123,"Loss","Tie"))))))," ")</f>
        <v>Loss</v>
      </c>
    </row>
    <row r="130" spans="1:11" x14ac:dyDescent="0.2">
      <c r="A130" s="26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ht="13.5" thickBot="1" x14ac:dyDescent="0.25">
      <c r="A131" s="27" t="s">
        <v>133</v>
      </c>
    </row>
    <row r="132" spans="1:11" x14ac:dyDescent="0.2">
      <c r="A132" s="29" t="str">
        <f t="shared" ref="A132:J132" si="77">A34</f>
        <v>Brian S</v>
      </c>
      <c r="B132" s="17">
        <f t="shared" si="77"/>
        <v>5</v>
      </c>
      <c r="C132" s="3">
        <f t="shared" si="77"/>
        <v>6</v>
      </c>
      <c r="D132" s="3">
        <f t="shared" si="77"/>
        <v>4</v>
      </c>
      <c r="E132" s="3">
        <f t="shared" si="77"/>
        <v>6</v>
      </c>
      <c r="F132" s="3">
        <f t="shared" si="77"/>
        <v>3</v>
      </c>
      <c r="G132" s="3">
        <f t="shared" si="77"/>
        <v>5</v>
      </c>
      <c r="H132" s="3">
        <f t="shared" si="77"/>
        <v>7</v>
      </c>
      <c r="I132" s="3">
        <f t="shared" si="77"/>
        <v>5</v>
      </c>
      <c r="J132" s="4">
        <f t="shared" si="77"/>
        <v>6</v>
      </c>
      <c r="K132" s="12">
        <f>SUM(B132:J132)</f>
        <v>47</v>
      </c>
    </row>
    <row r="133" spans="1:11" x14ac:dyDescent="0.2">
      <c r="A133" s="30">
        <f>A35</f>
        <v>13</v>
      </c>
      <c r="B133" s="18">
        <f>IF(AND(ISNUMBER($A133),ISNUMBER($A139)),IF((RANK(B$4,$B$4:$J$4,1))&lt;=($A133-$A139),1,0),"")</f>
        <v>0</v>
      </c>
      <c r="C133" s="6">
        <f t="shared" ref="C133:J133" si="78">IF(AND(ISNUMBER($A133),ISNUMBER($A139)),IF((RANK(C$4,$B$4:$J$4,1))&lt;=($A133-$A139),1,0),"")</f>
        <v>0</v>
      </c>
      <c r="D133" s="6">
        <f t="shared" si="78"/>
        <v>0</v>
      </c>
      <c r="E133" s="6">
        <f t="shared" si="78"/>
        <v>0</v>
      </c>
      <c r="F133" s="6">
        <f t="shared" si="78"/>
        <v>0</v>
      </c>
      <c r="G133" s="6">
        <f t="shared" si="78"/>
        <v>0</v>
      </c>
      <c r="H133" s="6">
        <f t="shared" si="78"/>
        <v>0</v>
      </c>
      <c r="I133" s="6">
        <f t="shared" si="78"/>
        <v>0</v>
      </c>
      <c r="J133" s="7">
        <f t="shared" si="78"/>
        <v>0</v>
      </c>
      <c r="K133" s="13">
        <f>SUM(B133:J133)</f>
        <v>0</v>
      </c>
    </row>
    <row r="134" spans="1:11" x14ac:dyDescent="0.2">
      <c r="A134" s="30">
        <f>IF((A133-A139)&gt;9,(A133-A139-9),0)</f>
        <v>0</v>
      </c>
      <c r="B134" s="18">
        <f>IF(AND(ISNUMBER($A134),ISNUMBER($A140)),IF((RANK(B$4,$B$4:$J$4,1))&lt;=($A134-$A140),1,0),"")</f>
        <v>0</v>
      </c>
      <c r="C134" s="6">
        <f t="shared" ref="C134:J134" si="79">IF(AND(ISNUMBER($A134),ISNUMBER($A140)),IF((RANK(C$4,$B$4:$J$4,1))&lt;=($A134-$A140),1,0),"")</f>
        <v>0</v>
      </c>
      <c r="D134" s="6">
        <f t="shared" si="79"/>
        <v>0</v>
      </c>
      <c r="E134" s="6">
        <f t="shared" si="79"/>
        <v>0</v>
      </c>
      <c r="F134" s="6">
        <f t="shared" si="79"/>
        <v>0</v>
      </c>
      <c r="G134" s="6">
        <f t="shared" si="79"/>
        <v>0</v>
      </c>
      <c r="H134" s="6">
        <f t="shared" si="79"/>
        <v>0</v>
      </c>
      <c r="I134" s="6">
        <f t="shared" si="79"/>
        <v>0</v>
      </c>
      <c r="J134" s="7">
        <f t="shared" si="79"/>
        <v>0</v>
      </c>
      <c r="K134" s="13">
        <f>SUM(B134:J134)</f>
        <v>0</v>
      </c>
    </row>
    <row r="135" spans="1:11" x14ac:dyDescent="0.2">
      <c r="A135" s="30"/>
      <c r="B135" s="82">
        <f t="shared" ref="B135:J135" si="80">IF(AND(ISNUMBER(B132),ISNUMBER(B133)),B132-B133-B134," ")</f>
        <v>5</v>
      </c>
      <c r="C135" s="83">
        <f t="shared" si="80"/>
        <v>6</v>
      </c>
      <c r="D135" s="83">
        <f t="shared" si="80"/>
        <v>4</v>
      </c>
      <c r="E135" s="83">
        <f t="shared" si="80"/>
        <v>6</v>
      </c>
      <c r="F135" s="83">
        <f t="shared" si="80"/>
        <v>3</v>
      </c>
      <c r="G135" s="83">
        <f t="shared" si="80"/>
        <v>5</v>
      </c>
      <c r="H135" s="83">
        <f t="shared" si="80"/>
        <v>7</v>
      </c>
      <c r="I135" s="83">
        <f t="shared" si="80"/>
        <v>5</v>
      </c>
      <c r="J135" s="84">
        <f t="shared" si="80"/>
        <v>6</v>
      </c>
      <c r="K135" s="13">
        <f>IF(ISNUMBER(FIND("Wins",K136)), 2, IF(ISNUMBER(FIND("Tie",K136)), 1, 0))</f>
        <v>2</v>
      </c>
    </row>
    <row r="136" spans="1:11" ht="13.5" thickBot="1" x14ac:dyDescent="0.25">
      <c r="A136" s="31"/>
      <c r="B136" s="19">
        <f>IF(AND(ISNUMBER(B135),ISNUMBER(B141)),IF(B135&lt;B141, 0+1, (IF(B135&gt;B141, 0-1, 0)))," ")</f>
        <v>1</v>
      </c>
      <c r="C136" s="9">
        <f t="shared" ref="C136:J136" si="81">IF(AND(ISNUMBER(C135),ISNUMBER(C141)),IF(C135&lt;C141, +B136+1, (IF(C135&gt;C141, +B136-1, +B136)))," ")</f>
        <v>2</v>
      </c>
      <c r="D136" s="9">
        <f t="shared" si="81"/>
        <v>1</v>
      </c>
      <c r="E136" s="9">
        <f t="shared" si="81"/>
        <v>2</v>
      </c>
      <c r="F136" s="9">
        <f t="shared" si="81"/>
        <v>2</v>
      </c>
      <c r="G136" s="9">
        <f t="shared" si="81"/>
        <v>3</v>
      </c>
      <c r="H136" s="9">
        <f t="shared" si="81"/>
        <v>4</v>
      </c>
      <c r="I136" s="9">
        <f t="shared" si="81"/>
        <v>3</v>
      </c>
      <c r="J136" s="10">
        <f t="shared" si="81"/>
        <v>4</v>
      </c>
      <c r="K136" s="14" t="str">
        <f>IF(ISNUMBER(J136),IF(F136&gt;4,"Wins " &amp; F136 &amp; " &amp; 4",IF(G136&gt;3,"Wins " &amp; G136 &amp; " &amp; 3",IF(H136&gt;2,"Wins " &amp; H136 &amp; " &amp; 2",IF(I136&gt;1,"Wins " &amp; I136 &amp; " &amp; 1",IF(J136&gt;J142,"Wins " &amp; J136 &amp; " Up",IF(J136&lt;J142,"Loss","Tie"))))))," ")</f>
        <v>Wins 4 &amp; 2</v>
      </c>
    </row>
    <row r="137" spans="1:11" ht="13.5" thickBot="1" x14ac:dyDescent="0.25">
      <c r="A137" s="32"/>
    </row>
    <row r="138" spans="1:11" x14ac:dyDescent="0.2">
      <c r="A138" s="29" t="str">
        <f t="shared" ref="A138:J138" si="82">A36</f>
        <v>Chris</v>
      </c>
      <c r="B138" s="17">
        <f t="shared" si="82"/>
        <v>8</v>
      </c>
      <c r="C138" s="3">
        <f t="shared" si="82"/>
        <v>7</v>
      </c>
      <c r="D138" s="3">
        <f t="shared" si="82"/>
        <v>3</v>
      </c>
      <c r="E138" s="3">
        <f t="shared" si="82"/>
        <v>10</v>
      </c>
      <c r="F138" s="3">
        <f t="shared" si="82"/>
        <v>3</v>
      </c>
      <c r="G138" s="3">
        <f t="shared" si="82"/>
        <v>6</v>
      </c>
      <c r="H138" s="3">
        <f t="shared" si="82"/>
        <v>9</v>
      </c>
      <c r="I138" s="3">
        <f t="shared" si="82"/>
        <v>4</v>
      </c>
      <c r="J138" s="4">
        <f t="shared" si="82"/>
        <v>8</v>
      </c>
      <c r="K138" s="12">
        <f>SUM(B138:J138)</f>
        <v>58</v>
      </c>
    </row>
    <row r="139" spans="1:11" x14ac:dyDescent="0.2">
      <c r="A139" s="30">
        <f>A37</f>
        <v>15</v>
      </c>
      <c r="B139" s="18">
        <f>IF(AND(ISNUMBER($A133),ISNUMBER($A139)),IF((RANK(B$4,$B$4:$J$4,1))&lt;=($A139-$A133),1,0),"")</f>
        <v>0</v>
      </c>
      <c r="C139" s="6">
        <f t="shared" ref="C139:J139" si="83">IF(AND(ISNUMBER($A133),ISNUMBER($A139)),IF((RANK(C$4,$B$4:$J$4,1))&lt;=($A139-$A133),1,0),"")</f>
        <v>0</v>
      </c>
      <c r="D139" s="6">
        <f t="shared" si="83"/>
        <v>0</v>
      </c>
      <c r="E139" s="6">
        <f t="shared" si="83"/>
        <v>0</v>
      </c>
      <c r="F139" s="6">
        <f t="shared" si="83"/>
        <v>0</v>
      </c>
      <c r="G139" s="6">
        <f t="shared" si="83"/>
        <v>0</v>
      </c>
      <c r="H139" s="6">
        <f t="shared" si="83"/>
        <v>1</v>
      </c>
      <c r="I139" s="6">
        <f t="shared" si="83"/>
        <v>0</v>
      </c>
      <c r="J139" s="7">
        <f t="shared" si="83"/>
        <v>1</v>
      </c>
      <c r="K139" s="13">
        <f>SUM(B139:J139)</f>
        <v>2</v>
      </c>
    </row>
    <row r="140" spans="1:11" x14ac:dyDescent="0.2">
      <c r="A140" s="30">
        <f>IF((A139-A133)&gt;9,(A139-A133-9),0)</f>
        <v>0</v>
      </c>
      <c r="B140" s="18">
        <f>IF(AND(ISNUMBER($A134),ISNUMBER($A140)),IF((RANK(B$4,$B$4:$J$4,1))&lt;=($A140-$A134),1,0),"")</f>
        <v>0</v>
      </c>
      <c r="C140" s="6">
        <f t="shared" ref="C140:J140" si="84">IF(AND(ISNUMBER($A134),ISNUMBER($A140)),IF((RANK(C$4,$B$4:$J$4,1))&lt;=($A140-$A134),1,0),"")</f>
        <v>0</v>
      </c>
      <c r="D140" s="6">
        <f t="shared" si="84"/>
        <v>0</v>
      </c>
      <c r="E140" s="6">
        <f t="shared" si="84"/>
        <v>0</v>
      </c>
      <c r="F140" s="6">
        <f t="shared" si="84"/>
        <v>0</v>
      </c>
      <c r="G140" s="6">
        <f t="shared" si="84"/>
        <v>0</v>
      </c>
      <c r="H140" s="6">
        <f t="shared" si="84"/>
        <v>0</v>
      </c>
      <c r="I140" s="6">
        <f t="shared" si="84"/>
        <v>0</v>
      </c>
      <c r="J140" s="7">
        <f t="shared" si="84"/>
        <v>0</v>
      </c>
      <c r="K140" s="13">
        <f>SUM(B140:J140)</f>
        <v>0</v>
      </c>
    </row>
    <row r="141" spans="1:11" x14ac:dyDescent="0.2">
      <c r="A141" s="30"/>
      <c r="B141" s="82">
        <f t="shared" ref="B141:J141" si="85">IF(AND(ISNUMBER(B138),ISNUMBER(B139)),B138-B139-B140," ")</f>
        <v>8</v>
      </c>
      <c r="C141" s="83">
        <f t="shared" si="85"/>
        <v>7</v>
      </c>
      <c r="D141" s="83">
        <f t="shared" si="85"/>
        <v>3</v>
      </c>
      <c r="E141" s="83">
        <f t="shared" si="85"/>
        <v>10</v>
      </c>
      <c r="F141" s="83">
        <f t="shared" si="85"/>
        <v>3</v>
      </c>
      <c r="G141" s="83">
        <f t="shared" si="85"/>
        <v>6</v>
      </c>
      <c r="H141" s="83">
        <f t="shared" si="85"/>
        <v>8</v>
      </c>
      <c r="I141" s="83">
        <f t="shared" si="85"/>
        <v>4</v>
      </c>
      <c r="J141" s="84">
        <f t="shared" si="85"/>
        <v>7</v>
      </c>
      <c r="K141" s="13">
        <f>IF(ISNUMBER(FIND("Wins",K142)), 2, IF(ISNUMBER(FIND("Tie",K142)), 1, 0))</f>
        <v>0</v>
      </c>
    </row>
    <row r="142" spans="1:11" ht="13.5" thickBot="1" x14ac:dyDescent="0.25">
      <c r="A142" s="31"/>
      <c r="B142" s="19">
        <f>IF(AND(ISNUMBER(B135),ISNUMBER(B141)),IF(B141&lt;B135, 0+1, (IF(B141&gt;B135, 0-1, 0)))," ")</f>
        <v>-1</v>
      </c>
      <c r="C142" s="9">
        <f t="shared" ref="C142:J142" si="86">IF(AND(ISNUMBER(C135),ISNUMBER(C141)),IF(C141&lt;C135, +B142+1, (IF(C141&gt;C135, +B142-1, +B142)))," ")</f>
        <v>-2</v>
      </c>
      <c r="D142" s="9">
        <f t="shared" si="86"/>
        <v>-1</v>
      </c>
      <c r="E142" s="9">
        <f t="shared" si="86"/>
        <v>-2</v>
      </c>
      <c r="F142" s="9">
        <f t="shared" si="86"/>
        <v>-2</v>
      </c>
      <c r="G142" s="9">
        <f t="shared" si="86"/>
        <v>-3</v>
      </c>
      <c r="H142" s="9">
        <f t="shared" si="86"/>
        <v>-4</v>
      </c>
      <c r="I142" s="9">
        <f t="shared" si="86"/>
        <v>-3</v>
      </c>
      <c r="J142" s="10">
        <f t="shared" si="86"/>
        <v>-4</v>
      </c>
      <c r="K142" s="14" t="str">
        <f>IF(ISNUMBER(J142),IF(F142&gt;4,"Wins " &amp; F142 &amp; " &amp; 4",IF(G142&gt;3,"Wins " &amp; G142 &amp; " &amp; 3",IF(H142&gt;2,"Wins " &amp; H142 &amp; " &amp; 2",IF(I142&gt;1,"Wins " &amp; I142 &amp; " &amp; 1",IF(J142&gt;J136,"Wins " &amp; J142 &amp; " Up",IF(J142&lt;J136,"Loss","Tie"))))))," ")</f>
        <v>Loss</v>
      </c>
    </row>
    <row r="143" spans="1:11" x14ac:dyDescent="0.2">
      <c r="A143" s="26"/>
      <c r="B143" s="85"/>
      <c r="C143" s="85"/>
      <c r="D143" s="85"/>
      <c r="E143" s="85"/>
      <c r="F143" s="85"/>
      <c r="G143" s="85"/>
      <c r="H143" s="85"/>
      <c r="I143" s="85"/>
      <c r="J143" s="85"/>
      <c r="K143" s="15"/>
    </row>
  </sheetData>
  <pageMargins left="0.7" right="0.7" top="0.75" bottom="0.75" header="0.3" footer="0.3"/>
  <pageSetup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43"/>
  <sheetViews>
    <sheetView zoomScaleNormal="100" workbookViewId="0">
      <pane xSplit="1" ySplit="4" topLeftCell="B5" activePane="bottomRight" state="frozen"/>
      <selection activeCell="A144" sqref="A144:XFD169"/>
      <selection pane="topRight" activeCell="A144" sqref="A144:XFD169"/>
      <selection pane="bottomLeft" activeCell="A144" sqref="A144:XFD169"/>
      <selection pane="bottomRight" activeCell="S30" sqref="S30"/>
    </sheetView>
  </sheetViews>
  <sheetFormatPr defaultColWidth="9.140625" defaultRowHeight="12.75" x14ac:dyDescent="0.2"/>
  <cols>
    <col min="1" max="1" width="17.85546875" style="20" customWidth="1"/>
    <col min="2" max="10" width="9.140625" style="2"/>
    <col min="11" max="11" width="13.42578125" style="2" customWidth="1"/>
    <col min="12" max="12" width="9.140625" style="1"/>
    <col min="13" max="13" width="11.140625" style="1" customWidth="1"/>
    <col min="14" max="15" width="11.140625" style="2" customWidth="1"/>
    <col min="16" max="20" width="11.85546875" style="52" customWidth="1"/>
    <col min="21" max="22" width="9.140625" style="1"/>
    <col min="23" max="26" width="9.140625" style="2"/>
    <col min="27" max="27" width="9.85546875" style="2" customWidth="1"/>
    <col min="28" max="16384" width="9.140625" style="1"/>
  </cols>
  <sheetData>
    <row r="1" spans="1:27" ht="13.5" thickBot="1" x14ac:dyDescent="0.25"/>
    <row r="2" spans="1:27" x14ac:dyDescent="0.2">
      <c r="A2" s="21" t="s">
        <v>1</v>
      </c>
      <c r="B2" s="76">
        <f>Courses!C10</f>
        <v>10</v>
      </c>
      <c r="C2" s="34">
        <f>Courses!D10</f>
        <v>11</v>
      </c>
      <c r="D2" s="34">
        <f>Courses!E10</f>
        <v>12</v>
      </c>
      <c r="E2" s="34">
        <f>Courses!F10</f>
        <v>13</v>
      </c>
      <c r="F2" s="34">
        <f>Courses!G10</f>
        <v>14</v>
      </c>
      <c r="G2" s="34">
        <f>Courses!H10</f>
        <v>15</v>
      </c>
      <c r="H2" s="34">
        <f>Courses!I10</f>
        <v>16</v>
      </c>
      <c r="I2" s="34">
        <f>Courses!J10</f>
        <v>17</v>
      </c>
      <c r="J2" s="35">
        <f>Courses!K10</f>
        <v>18</v>
      </c>
      <c r="K2" s="73"/>
    </row>
    <row r="3" spans="1:27" x14ac:dyDescent="0.2">
      <c r="A3" s="22" t="s">
        <v>2</v>
      </c>
      <c r="B3" s="77">
        <f>Courses!C11</f>
        <v>5</v>
      </c>
      <c r="C3" s="39">
        <f>Courses!D11</f>
        <v>4</v>
      </c>
      <c r="D3" s="39">
        <f>Courses!E11</f>
        <v>5</v>
      </c>
      <c r="E3" s="39">
        <f>Courses!F11</f>
        <v>3</v>
      </c>
      <c r="F3" s="39">
        <f>Courses!G11</f>
        <v>4</v>
      </c>
      <c r="G3" s="39">
        <f>Courses!H11</f>
        <v>3</v>
      </c>
      <c r="H3" s="39">
        <f>Courses!I11</f>
        <v>4</v>
      </c>
      <c r="I3" s="39">
        <f>Courses!J11</f>
        <v>4</v>
      </c>
      <c r="J3" s="40">
        <f>Courses!K11</f>
        <v>4</v>
      </c>
      <c r="K3" s="74">
        <f>SUM(B3:J3)</f>
        <v>36</v>
      </c>
      <c r="P3" s="55" t="s">
        <v>32</v>
      </c>
    </row>
    <row r="4" spans="1:27" ht="13.5" thickBot="1" x14ac:dyDescent="0.25">
      <c r="A4" s="23" t="s">
        <v>3</v>
      </c>
      <c r="B4" s="78">
        <f>Courses!C12</f>
        <v>12</v>
      </c>
      <c r="C4" s="44">
        <f>Courses!D12</f>
        <v>4</v>
      </c>
      <c r="D4" s="44">
        <f>Courses!E12</f>
        <v>14</v>
      </c>
      <c r="E4" s="44">
        <f>Courses!F12</f>
        <v>10</v>
      </c>
      <c r="F4" s="44">
        <f>Courses!G12</f>
        <v>2</v>
      </c>
      <c r="G4" s="44">
        <f>Courses!H12</f>
        <v>18</v>
      </c>
      <c r="H4" s="44">
        <f>Courses!I12</f>
        <v>8</v>
      </c>
      <c r="I4" s="44">
        <f>Courses!J12</f>
        <v>6</v>
      </c>
      <c r="J4" s="45">
        <f>Courses!K12</f>
        <v>16</v>
      </c>
      <c r="K4" s="75"/>
      <c r="P4" s="52" t="s">
        <v>34</v>
      </c>
      <c r="Q4" s="52" t="s">
        <v>126</v>
      </c>
      <c r="R4" s="52" t="s">
        <v>33</v>
      </c>
      <c r="T4" s="52" t="s">
        <v>127</v>
      </c>
    </row>
    <row r="5" spans="1:27" ht="13.5" thickBot="1" x14ac:dyDescent="0.25">
      <c r="M5" s="230" t="s">
        <v>16</v>
      </c>
      <c r="N5" s="232" t="s">
        <v>17</v>
      </c>
      <c r="O5" s="233" t="s">
        <v>36</v>
      </c>
      <c r="P5" s="161" t="str">
        <f>Results!C40</f>
        <v>Long Drive</v>
      </c>
      <c r="Q5" s="50" t="str">
        <f>Results!D40</f>
        <v>Closest to Pin</v>
      </c>
      <c r="R5" s="50" t="str">
        <f>Results!E40</f>
        <v>Long Putt</v>
      </c>
      <c r="S5" s="50" t="str">
        <f>Results!F40</f>
        <v>Secret Snowman</v>
      </c>
      <c r="T5" s="51" t="str">
        <f>Results!G40</f>
        <v>Closest to Pin</v>
      </c>
      <c r="V5" s="2">
        <v>1</v>
      </c>
      <c r="W5" s="2">
        <v>2</v>
      </c>
      <c r="X5" s="2">
        <v>3</v>
      </c>
      <c r="Y5" s="2">
        <v>4</v>
      </c>
      <c r="Z5" s="2">
        <v>5</v>
      </c>
    </row>
    <row r="6" spans="1:27" x14ac:dyDescent="0.2">
      <c r="A6" s="21" t="str">
        <f>Matchups!C3</f>
        <v>Mil</v>
      </c>
      <c r="B6" s="115">
        <v>6</v>
      </c>
      <c r="C6" s="116">
        <v>4</v>
      </c>
      <c r="D6" s="116">
        <v>6</v>
      </c>
      <c r="E6" s="116">
        <v>4</v>
      </c>
      <c r="F6" s="116">
        <v>9</v>
      </c>
      <c r="G6" s="116">
        <v>5</v>
      </c>
      <c r="H6" s="116">
        <v>6</v>
      </c>
      <c r="I6" s="116">
        <v>3</v>
      </c>
      <c r="J6" s="117">
        <v>4</v>
      </c>
      <c r="K6" s="12">
        <f>SUM(B6:J6)</f>
        <v>47</v>
      </c>
      <c r="M6" s="226" t="str">
        <f>A6</f>
        <v>Mil</v>
      </c>
      <c r="N6" s="5">
        <f>K6</f>
        <v>47</v>
      </c>
      <c r="O6" s="12">
        <f>K44</f>
        <v>0</v>
      </c>
      <c r="P6" s="162"/>
      <c r="Q6" s="65"/>
      <c r="R6" s="65"/>
      <c r="S6" s="65"/>
      <c r="T6" s="153"/>
      <c r="V6" s="2">
        <f t="shared" ref="V6:V37" si="0">IF($S$39=V$5,S6*V$5,"")</f>
        <v>0</v>
      </c>
      <c r="W6" s="2" t="str">
        <f t="shared" ref="W6:W37" si="1">IF($S$39=W$5,S6*W$5,"")</f>
        <v/>
      </c>
      <c r="X6" s="2" t="str">
        <f t="shared" ref="X6:X37" si="2">IF($S$39=X$5,S6*X$5,"")</f>
        <v/>
      </c>
      <c r="Y6" s="2" t="str">
        <f t="shared" ref="Y6:Y37" si="3">IF($S$39=Y$5,S6*Y$5,"")</f>
        <v/>
      </c>
      <c r="Z6" s="2" t="str">
        <f t="shared" ref="Z6:Z37" si="4">IF($S$39=Z$5,S6*Z$5,"")</f>
        <v/>
      </c>
      <c r="AA6" s="144">
        <f>IF(SUM(V6:Z6)=0,0,Setup!F$44/SUM(V6:Z6))</f>
        <v>0</v>
      </c>
    </row>
    <row r="7" spans="1:27" hidden="1" x14ac:dyDescent="0.2">
      <c r="A7" s="22">
        <f>Matchups!C4</f>
        <v>6</v>
      </c>
      <c r="B7" s="118"/>
      <c r="C7" s="119"/>
      <c r="D7" s="119"/>
      <c r="E7" s="119"/>
      <c r="F7" s="119"/>
      <c r="G7" s="119"/>
      <c r="H7" s="119"/>
      <c r="I7" s="119"/>
      <c r="J7" s="120"/>
      <c r="K7" s="13"/>
      <c r="M7" s="227">
        <f>A7</f>
        <v>6</v>
      </c>
      <c r="N7" s="8">
        <f t="shared" ref="N7:N29" si="5">K7</f>
        <v>0</v>
      </c>
      <c r="O7" s="13"/>
      <c r="P7" s="164"/>
      <c r="Q7" s="66"/>
      <c r="R7" s="66"/>
      <c r="S7" s="66"/>
      <c r="T7" s="154"/>
      <c r="V7" s="2">
        <f t="shared" si="0"/>
        <v>0</v>
      </c>
      <c r="W7" s="2" t="str">
        <f t="shared" si="1"/>
        <v/>
      </c>
      <c r="X7" s="2" t="str">
        <f t="shared" si="2"/>
        <v/>
      </c>
      <c r="Y7" s="2" t="str">
        <f t="shared" si="3"/>
        <v/>
      </c>
      <c r="Z7" s="2" t="str">
        <f t="shared" si="4"/>
        <v/>
      </c>
      <c r="AA7" s="144">
        <f>IF(SUM(V7:Z7)=0,0,Setup!F$44/SUM(V7:Z7))</f>
        <v>0</v>
      </c>
    </row>
    <row r="8" spans="1:27" x14ac:dyDescent="0.2">
      <c r="A8" s="22" t="str">
        <f>Matchups!C5</f>
        <v>John</v>
      </c>
      <c r="B8" s="118">
        <v>5</v>
      </c>
      <c r="C8" s="119">
        <v>5</v>
      </c>
      <c r="D8" s="119">
        <v>8</v>
      </c>
      <c r="E8" s="119">
        <v>4</v>
      </c>
      <c r="F8" s="119">
        <v>5</v>
      </c>
      <c r="G8" s="119">
        <v>3</v>
      </c>
      <c r="H8" s="119">
        <v>4</v>
      </c>
      <c r="I8" s="119">
        <v>4</v>
      </c>
      <c r="J8" s="120">
        <v>5</v>
      </c>
      <c r="K8" s="13">
        <f t="shared" ref="K8:K28" si="6">SUM(B8:J8)</f>
        <v>43</v>
      </c>
      <c r="M8" s="227" t="str">
        <f>A8</f>
        <v>John</v>
      </c>
      <c r="N8" s="8">
        <f t="shared" si="5"/>
        <v>43</v>
      </c>
      <c r="O8" s="13">
        <f>K57</f>
        <v>2</v>
      </c>
      <c r="P8" s="164"/>
      <c r="Q8" s="66"/>
      <c r="R8" s="66"/>
      <c r="S8" s="66"/>
      <c r="T8" s="154"/>
      <c r="V8" s="2">
        <f t="shared" si="0"/>
        <v>0</v>
      </c>
      <c r="W8" s="2" t="str">
        <f t="shared" si="1"/>
        <v/>
      </c>
      <c r="X8" s="2" t="str">
        <f t="shared" si="2"/>
        <v/>
      </c>
      <c r="Y8" s="2" t="str">
        <f t="shared" si="3"/>
        <v/>
      </c>
      <c r="Z8" s="2" t="str">
        <f t="shared" si="4"/>
        <v/>
      </c>
      <c r="AA8" s="144">
        <f>IF(SUM(V8:Z8)=0,0,Setup!F$44/SUM(V8:Z8))</f>
        <v>0</v>
      </c>
    </row>
    <row r="9" spans="1:27" hidden="1" x14ac:dyDescent="0.2">
      <c r="A9" s="22">
        <f>Matchups!C6</f>
        <v>7</v>
      </c>
      <c r="B9" s="118"/>
      <c r="C9" s="119"/>
      <c r="D9" s="119"/>
      <c r="E9" s="119"/>
      <c r="F9" s="119"/>
      <c r="G9" s="119"/>
      <c r="H9" s="119"/>
      <c r="I9" s="119"/>
      <c r="J9" s="120"/>
      <c r="K9" s="13"/>
      <c r="M9" s="227">
        <f>A9</f>
        <v>7</v>
      </c>
      <c r="N9" s="8">
        <f t="shared" si="5"/>
        <v>0</v>
      </c>
      <c r="O9" s="13"/>
      <c r="P9" s="164"/>
      <c r="Q9" s="66"/>
      <c r="R9" s="66"/>
      <c r="S9" s="66"/>
      <c r="T9" s="154"/>
      <c r="V9" s="2">
        <f t="shared" si="0"/>
        <v>0</v>
      </c>
      <c r="W9" s="2" t="str">
        <f t="shared" si="1"/>
        <v/>
      </c>
      <c r="X9" s="2" t="str">
        <f t="shared" si="2"/>
        <v/>
      </c>
      <c r="Y9" s="2" t="str">
        <f t="shared" si="3"/>
        <v/>
      </c>
      <c r="Z9" s="2" t="str">
        <f t="shared" si="4"/>
        <v/>
      </c>
      <c r="AA9" s="144">
        <f>IF(SUM(V9:Z9)=0,0,Setup!F$44/SUM(V9:Z9))</f>
        <v>0</v>
      </c>
    </row>
    <row r="10" spans="1:27" x14ac:dyDescent="0.2">
      <c r="A10" s="22" t="str">
        <f>Matchups!C7</f>
        <v>Brian P</v>
      </c>
      <c r="B10" s="118">
        <v>7</v>
      </c>
      <c r="C10" s="119">
        <v>7</v>
      </c>
      <c r="D10" s="119">
        <v>5</v>
      </c>
      <c r="E10" s="119">
        <v>3</v>
      </c>
      <c r="F10" s="119">
        <v>5</v>
      </c>
      <c r="G10" s="119">
        <v>4</v>
      </c>
      <c r="H10" s="119">
        <v>4</v>
      </c>
      <c r="I10" s="119">
        <v>7</v>
      </c>
      <c r="J10" s="120">
        <v>5</v>
      </c>
      <c r="K10" s="13">
        <f t="shared" si="6"/>
        <v>47</v>
      </c>
      <c r="M10" s="227" t="str">
        <f>A10</f>
        <v>Brian P</v>
      </c>
      <c r="N10" s="8">
        <f t="shared" si="5"/>
        <v>47</v>
      </c>
      <c r="O10" s="13">
        <f>K50</f>
        <v>2</v>
      </c>
      <c r="P10" s="164"/>
      <c r="Q10" s="66"/>
      <c r="R10" s="66"/>
      <c r="S10" s="66"/>
      <c r="T10" s="154"/>
      <c r="V10" s="2">
        <f t="shared" si="0"/>
        <v>0</v>
      </c>
      <c r="W10" s="2" t="str">
        <f t="shared" si="1"/>
        <v/>
      </c>
      <c r="X10" s="2" t="str">
        <f t="shared" si="2"/>
        <v/>
      </c>
      <c r="Y10" s="2" t="str">
        <f t="shared" si="3"/>
        <v/>
      </c>
      <c r="Z10" s="2" t="str">
        <f t="shared" si="4"/>
        <v/>
      </c>
      <c r="AA10" s="144">
        <f>IF(SUM(V10:Z10)=0,0,Setup!F$44/SUM(V10:Z10))</f>
        <v>0</v>
      </c>
    </row>
    <row r="11" spans="1:27" hidden="1" x14ac:dyDescent="0.2">
      <c r="A11" s="22">
        <f>Matchups!C8</f>
        <v>6</v>
      </c>
      <c r="B11" s="118"/>
      <c r="C11" s="119"/>
      <c r="D11" s="119"/>
      <c r="E11" s="119"/>
      <c r="F11" s="119"/>
      <c r="G11" s="119"/>
      <c r="H11" s="119"/>
      <c r="I11" s="119"/>
      <c r="J11" s="120"/>
      <c r="K11" s="13"/>
      <c r="M11" s="227">
        <f t="shared" ref="M11:M37" si="7">A11</f>
        <v>6</v>
      </c>
      <c r="N11" s="8">
        <f t="shared" si="5"/>
        <v>0</v>
      </c>
      <c r="O11" s="13"/>
      <c r="P11" s="164"/>
      <c r="Q11" s="66"/>
      <c r="R11" s="66"/>
      <c r="S11" s="66"/>
      <c r="T11" s="154"/>
      <c r="V11" s="2">
        <f t="shared" si="0"/>
        <v>0</v>
      </c>
      <c r="W11" s="2" t="str">
        <f t="shared" si="1"/>
        <v/>
      </c>
      <c r="X11" s="2" t="str">
        <f t="shared" si="2"/>
        <v/>
      </c>
      <c r="Y11" s="2" t="str">
        <f t="shared" si="3"/>
        <v/>
      </c>
      <c r="Z11" s="2" t="str">
        <f t="shared" si="4"/>
        <v/>
      </c>
      <c r="AA11" s="144">
        <f>IF(SUM(V11:Z11)=0,0,Setup!F$44/SUM(V11:Z11))</f>
        <v>0</v>
      </c>
    </row>
    <row r="12" spans="1:27" ht="13.5" thickBot="1" x14ac:dyDescent="0.25">
      <c r="A12" s="23" t="str">
        <f>Matchups!C9</f>
        <v xml:space="preserve">Pat </v>
      </c>
      <c r="B12" s="121">
        <v>7</v>
      </c>
      <c r="C12" s="122">
        <v>6</v>
      </c>
      <c r="D12" s="122">
        <v>6</v>
      </c>
      <c r="E12" s="122">
        <v>4</v>
      </c>
      <c r="F12" s="122">
        <v>4</v>
      </c>
      <c r="G12" s="122">
        <v>4</v>
      </c>
      <c r="H12" s="122">
        <v>4</v>
      </c>
      <c r="I12" s="122">
        <v>6</v>
      </c>
      <c r="J12" s="123">
        <v>4</v>
      </c>
      <c r="K12" s="13">
        <f t="shared" si="6"/>
        <v>45</v>
      </c>
      <c r="M12" s="227" t="str">
        <f t="shared" si="7"/>
        <v xml:space="preserve">Pat </v>
      </c>
      <c r="N12" s="8">
        <f t="shared" si="5"/>
        <v>45</v>
      </c>
      <c r="O12" s="13">
        <f>K63</f>
        <v>0</v>
      </c>
      <c r="P12" s="164"/>
      <c r="Q12" s="66"/>
      <c r="R12" s="66"/>
      <c r="S12" s="66"/>
      <c r="T12" s="154"/>
      <c r="V12" s="2">
        <f t="shared" si="0"/>
        <v>0</v>
      </c>
      <c r="W12" s="2" t="str">
        <f t="shared" si="1"/>
        <v/>
      </c>
      <c r="X12" s="2" t="str">
        <f t="shared" si="2"/>
        <v/>
      </c>
      <c r="Y12" s="2" t="str">
        <f t="shared" si="3"/>
        <v/>
      </c>
      <c r="Z12" s="2" t="str">
        <f t="shared" si="4"/>
        <v/>
      </c>
      <c r="AA12" s="144">
        <f>IF(SUM(V12:Z12)=0,0,Setup!F$44/SUM(V12:Z12))</f>
        <v>0</v>
      </c>
    </row>
    <row r="13" spans="1:27" ht="13.5" hidden="1" thickBot="1" x14ac:dyDescent="0.25">
      <c r="A13" s="72">
        <f>Matchups!C10</f>
        <v>6</v>
      </c>
      <c r="B13" s="127"/>
      <c r="C13" s="125"/>
      <c r="D13" s="125"/>
      <c r="E13" s="125"/>
      <c r="F13" s="125"/>
      <c r="G13" s="125"/>
      <c r="H13" s="125"/>
      <c r="I13" s="125"/>
      <c r="J13" s="128"/>
      <c r="K13" s="70"/>
      <c r="M13" s="334">
        <f t="shared" si="7"/>
        <v>6</v>
      </c>
      <c r="N13" s="70">
        <f t="shared" si="5"/>
        <v>0</v>
      </c>
      <c r="O13" s="229"/>
      <c r="P13" s="165"/>
      <c r="Q13" s="155"/>
      <c r="R13" s="155"/>
      <c r="S13" s="155"/>
      <c r="T13" s="156"/>
      <c r="V13" s="2">
        <f t="shared" si="0"/>
        <v>0</v>
      </c>
      <c r="W13" s="2" t="str">
        <f t="shared" si="1"/>
        <v/>
      </c>
      <c r="X13" s="2" t="str">
        <f t="shared" si="2"/>
        <v/>
      </c>
      <c r="Y13" s="2" t="str">
        <f t="shared" si="3"/>
        <v/>
      </c>
      <c r="Z13" s="2" t="str">
        <f t="shared" si="4"/>
        <v/>
      </c>
      <c r="AA13" s="144">
        <f>IF(SUM(V13:Z13)=0,0,Setup!F$44/SUM(V13:Z13))</f>
        <v>0</v>
      </c>
    </row>
    <row r="14" spans="1:27" x14ac:dyDescent="0.2">
      <c r="A14" s="21" t="str">
        <f>Matchups!C11</f>
        <v>Rick</v>
      </c>
      <c r="B14" s="339">
        <v>6</v>
      </c>
      <c r="C14" s="116">
        <v>7</v>
      </c>
      <c r="D14" s="116">
        <v>6</v>
      </c>
      <c r="E14" s="116">
        <v>3</v>
      </c>
      <c r="F14" s="116">
        <v>6</v>
      </c>
      <c r="G14" s="116">
        <v>3</v>
      </c>
      <c r="H14" s="116">
        <v>4</v>
      </c>
      <c r="I14" s="116">
        <v>5</v>
      </c>
      <c r="J14" s="117">
        <v>4</v>
      </c>
      <c r="K14" s="12">
        <f t="shared" si="6"/>
        <v>44</v>
      </c>
      <c r="M14" s="226" t="str">
        <f t="shared" si="7"/>
        <v>Rick</v>
      </c>
      <c r="N14" s="5">
        <f t="shared" si="5"/>
        <v>44</v>
      </c>
      <c r="O14" s="12">
        <f>K70</f>
        <v>2</v>
      </c>
      <c r="P14" s="297"/>
      <c r="Q14" s="65"/>
      <c r="R14" s="65"/>
      <c r="S14" s="65"/>
      <c r="T14" s="153"/>
      <c r="V14" s="2">
        <f t="shared" si="0"/>
        <v>0</v>
      </c>
      <c r="W14" s="2" t="str">
        <f t="shared" si="1"/>
        <v/>
      </c>
      <c r="X14" s="2" t="str">
        <f t="shared" si="2"/>
        <v/>
      </c>
      <c r="Y14" s="2" t="str">
        <f t="shared" si="3"/>
        <v/>
      </c>
      <c r="Z14" s="2" t="str">
        <f t="shared" si="4"/>
        <v/>
      </c>
      <c r="AA14" s="144">
        <f>IF(SUM(V14:Z14)=0,0,Setup!F$44/SUM(V14:Z14))</f>
        <v>0</v>
      </c>
    </row>
    <row r="15" spans="1:27" hidden="1" x14ac:dyDescent="0.2">
      <c r="A15" s="22">
        <f>Matchups!C12</f>
        <v>7</v>
      </c>
      <c r="B15" s="341"/>
      <c r="C15" s="119"/>
      <c r="D15" s="119"/>
      <c r="E15" s="119"/>
      <c r="F15" s="119"/>
      <c r="G15" s="119"/>
      <c r="H15" s="119"/>
      <c r="I15" s="119"/>
      <c r="J15" s="120"/>
      <c r="K15" s="13"/>
      <c r="M15" s="227">
        <f t="shared" si="7"/>
        <v>7</v>
      </c>
      <c r="N15" s="8">
        <f t="shared" si="5"/>
        <v>0</v>
      </c>
      <c r="O15" s="13"/>
      <c r="P15" s="191"/>
      <c r="Q15" s="66"/>
      <c r="R15" s="66"/>
      <c r="S15" s="66"/>
      <c r="T15" s="154"/>
      <c r="V15" s="2">
        <f t="shared" si="0"/>
        <v>0</v>
      </c>
      <c r="W15" s="2" t="str">
        <f t="shared" si="1"/>
        <v/>
      </c>
      <c r="X15" s="2" t="str">
        <f t="shared" si="2"/>
        <v/>
      </c>
      <c r="Y15" s="2" t="str">
        <f t="shared" si="3"/>
        <v/>
      </c>
      <c r="Z15" s="2" t="str">
        <f t="shared" si="4"/>
        <v/>
      </c>
      <c r="AA15" s="144">
        <f>IF(SUM(V15:Z15)=0,0,Setup!F$44/SUM(V15:Z15))</f>
        <v>0</v>
      </c>
    </row>
    <row r="16" spans="1:27" x14ac:dyDescent="0.2">
      <c r="A16" s="22" t="str">
        <f>Matchups!C13</f>
        <v>Keith</v>
      </c>
      <c r="B16" s="341">
        <v>7</v>
      </c>
      <c r="C16" s="119">
        <v>7</v>
      </c>
      <c r="D16" s="119">
        <v>8</v>
      </c>
      <c r="E16" s="119">
        <v>5</v>
      </c>
      <c r="F16" s="119">
        <v>7</v>
      </c>
      <c r="G16" s="119">
        <v>3</v>
      </c>
      <c r="H16" s="119">
        <v>5</v>
      </c>
      <c r="I16" s="119">
        <v>6</v>
      </c>
      <c r="J16" s="120">
        <v>7</v>
      </c>
      <c r="K16" s="13">
        <f t="shared" si="6"/>
        <v>55</v>
      </c>
      <c r="M16" s="227" t="str">
        <f t="shared" si="7"/>
        <v>Keith</v>
      </c>
      <c r="N16" s="8">
        <f t="shared" si="5"/>
        <v>55</v>
      </c>
      <c r="O16" s="13">
        <f>K83</f>
        <v>2</v>
      </c>
      <c r="P16" s="191">
        <v>1</v>
      </c>
      <c r="Q16" s="66"/>
      <c r="R16" s="66"/>
      <c r="S16" s="66"/>
      <c r="T16" s="154"/>
      <c r="V16" s="2">
        <f t="shared" si="0"/>
        <v>0</v>
      </c>
      <c r="W16" s="2" t="str">
        <f t="shared" si="1"/>
        <v/>
      </c>
      <c r="X16" s="2" t="str">
        <f t="shared" si="2"/>
        <v/>
      </c>
      <c r="Y16" s="2" t="str">
        <f t="shared" si="3"/>
        <v/>
      </c>
      <c r="Z16" s="2" t="str">
        <f t="shared" si="4"/>
        <v/>
      </c>
      <c r="AA16" s="144">
        <f>IF(SUM(V16:Z16)=0,0,Setup!F$44/SUM(V16:Z16))</f>
        <v>0</v>
      </c>
    </row>
    <row r="17" spans="1:27" hidden="1" x14ac:dyDescent="0.2">
      <c r="A17" s="22">
        <f>Matchups!C14</f>
        <v>16</v>
      </c>
      <c r="B17" s="341"/>
      <c r="C17" s="119"/>
      <c r="D17" s="119"/>
      <c r="E17" s="119"/>
      <c r="F17" s="119"/>
      <c r="G17" s="119"/>
      <c r="H17" s="119"/>
      <c r="I17" s="119"/>
      <c r="J17" s="120"/>
      <c r="K17" s="13"/>
      <c r="M17" s="227">
        <f t="shared" si="7"/>
        <v>16</v>
      </c>
      <c r="N17" s="8">
        <f t="shared" si="5"/>
        <v>0</v>
      </c>
      <c r="O17" s="13"/>
      <c r="P17" s="191"/>
      <c r="Q17" s="66"/>
      <c r="R17" s="66"/>
      <c r="S17" s="66"/>
      <c r="T17" s="154"/>
      <c r="V17" s="2">
        <f t="shared" si="0"/>
        <v>0</v>
      </c>
      <c r="W17" s="2" t="str">
        <f t="shared" si="1"/>
        <v/>
      </c>
      <c r="X17" s="2" t="str">
        <f t="shared" si="2"/>
        <v/>
      </c>
      <c r="Y17" s="2" t="str">
        <f t="shared" si="3"/>
        <v/>
      </c>
      <c r="Z17" s="2" t="str">
        <f t="shared" si="4"/>
        <v/>
      </c>
      <c r="AA17" s="144">
        <f>IF(SUM(V17:Z17)=0,0,Setup!F$44/SUM(V17:Z17))</f>
        <v>0</v>
      </c>
    </row>
    <row r="18" spans="1:27" x14ac:dyDescent="0.2">
      <c r="A18" s="22" t="str">
        <f>Matchups!C15</f>
        <v>Tony W</v>
      </c>
      <c r="B18" s="341">
        <v>8</v>
      </c>
      <c r="C18" s="119">
        <v>6</v>
      </c>
      <c r="D18" s="119">
        <v>6</v>
      </c>
      <c r="E18" s="119">
        <v>3</v>
      </c>
      <c r="F18" s="119">
        <v>6</v>
      </c>
      <c r="G18" s="119">
        <v>3</v>
      </c>
      <c r="H18" s="119">
        <v>5</v>
      </c>
      <c r="I18" s="119">
        <v>7</v>
      </c>
      <c r="J18" s="120">
        <v>8</v>
      </c>
      <c r="K18" s="13">
        <f t="shared" si="6"/>
        <v>52</v>
      </c>
      <c r="M18" s="227" t="str">
        <f t="shared" si="7"/>
        <v>Tony W</v>
      </c>
      <c r="N18" s="8">
        <f t="shared" si="5"/>
        <v>52</v>
      </c>
      <c r="O18" s="13">
        <f>K76</f>
        <v>0</v>
      </c>
      <c r="P18" s="191"/>
      <c r="Q18" s="66"/>
      <c r="R18" s="66"/>
      <c r="S18" s="66"/>
      <c r="T18" s="154"/>
      <c r="V18" s="2">
        <f t="shared" si="0"/>
        <v>0</v>
      </c>
      <c r="W18" s="2" t="str">
        <f t="shared" si="1"/>
        <v/>
      </c>
      <c r="X18" s="2" t="str">
        <f t="shared" si="2"/>
        <v/>
      </c>
      <c r="Y18" s="2" t="str">
        <f t="shared" si="3"/>
        <v/>
      </c>
      <c r="Z18" s="2" t="str">
        <f t="shared" si="4"/>
        <v/>
      </c>
      <c r="AA18" s="144">
        <f>IF(SUM(V18:Z18)=0,0,Setup!F$44/SUM(V18:Z18))</f>
        <v>0</v>
      </c>
    </row>
    <row r="19" spans="1:27" hidden="1" x14ac:dyDescent="0.2">
      <c r="A19" s="409">
        <f>Matchups!C16</f>
        <v>10</v>
      </c>
      <c r="B19" s="342"/>
      <c r="C19" s="337"/>
      <c r="D19" s="337"/>
      <c r="E19" s="337"/>
      <c r="F19" s="337"/>
      <c r="G19" s="337"/>
      <c r="H19" s="337"/>
      <c r="I19" s="337"/>
      <c r="J19" s="338"/>
      <c r="K19" s="229"/>
      <c r="M19" s="334">
        <f t="shared" si="7"/>
        <v>10</v>
      </c>
      <c r="N19" s="70">
        <f t="shared" si="5"/>
        <v>0</v>
      </c>
      <c r="O19" s="229"/>
      <c r="P19" s="404"/>
      <c r="Q19" s="155"/>
      <c r="R19" s="155"/>
      <c r="S19" s="155"/>
      <c r="T19" s="156"/>
      <c r="V19" s="2">
        <f t="shared" si="0"/>
        <v>0</v>
      </c>
      <c r="W19" s="2" t="str">
        <f t="shared" si="1"/>
        <v/>
      </c>
      <c r="X19" s="2" t="str">
        <f t="shared" si="2"/>
        <v/>
      </c>
      <c r="Y19" s="2" t="str">
        <f t="shared" si="3"/>
        <v/>
      </c>
      <c r="Z19" s="2" t="str">
        <f t="shared" si="4"/>
        <v/>
      </c>
      <c r="AA19" s="144">
        <f>IF(SUM(V19:Z19)=0,0,Setup!F$44/SUM(V19:Z19))</f>
        <v>0</v>
      </c>
    </row>
    <row r="20" spans="1:27" ht="13.5" thickBot="1" x14ac:dyDescent="0.25">
      <c r="A20" s="22" t="str">
        <f>Matchups!C17</f>
        <v>Manny</v>
      </c>
      <c r="B20" s="341">
        <v>10</v>
      </c>
      <c r="C20" s="119">
        <v>9</v>
      </c>
      <c r="D20" s="119">
        <v>9</v>
      </c>
      <c r="E20" s="119">
        <v>4</v>
      </c>
      <c r="F20" s="119">
        <v>5</v>
      </c>
      <c r="G20" s="119">
        <v>8</v>
      </c>
      <c r="H20" s="119">
        <v>4</v>
      </c>
      <c r="I20" s="119">
        <v>9</v>
      </c>
      <c r="J20" s="120">
        <v>9</v>
      </c>
      <c r="K20" s="13">
        <f t="shared" si="6"/>
        <v>67</v>
      </c>
      <c r="M20" s="227" t="str">
        <f t="shared" si="7"/>
        <v>Manny</v>
      </c>
      <c r="N20" s="8">
        <f t="shared" si="5"/>
        <v>67</v>
      </c>
      <c r="O20" s="13">
        <f>K89</f>
        <v>0</v>
      </c>
      <c r="P20" s="191"/>
      <c r="Q20" s="66"/>
      <c r="R20" s="66"/>
      <c r="S20" s="66"/>
      <c r="T20" s="154"/>
      <c r="V20" s="2">
        <f t="shared" si="0"/>
        <v>0</v>
      </c>
      <c r="W20" s="2" t="str">
        <f t="shared" si="1"/>
        <v/>
      </c>
      <c r="X20" s="2" t="str">
        <f t="shared" si="2"/>
        <v/>
      </c>
      <c r="Y20" s="2" t="str">
        <f t="shared" si="3"/>
        <v/>
      </c>
      <c r="Z20" s="2" t="str">
        <f t="shared" si="4"/>
        <v/>
      </c>
      <c r="AA20" s="144">
        <f>IF(SUM(V20:Z20)=0,0,Setup!F$44/SUM(V20:Z20))</f>
        <v>0</v>
      </c>
    </row>
    <row r="21" spans="1:27" ht="13.5" hidden="1" thickBot="1" x14ac:dyDescent="0.25">
      <c r="A21" s="409">
        <f>Matchups!C18</f>
        <v>14</v>
      </c>
      <c r="B21" s="342"/>
      <c r="C21" s="337"/>
      <c r="D21" s="337"/>
      <c r="E21" s="337"/>
      <c r="F21" s="337"/>
      <c r="G21" s="337"/>
      <c r="H21" s="337"/>
      <c r="I21" s="337"/>
      <c r="J21" s="338"/>
      <c r="K21" s="229"/>
      <c r="M21" s="334">
        <f t="shared" si="7"/>
        <v>14</v>
      </c>
      <c r="N21" s="70">
        <f t="shared" si="5"/>
        <v>0</v>
      </c>
      <c r="O21" s="229"/>
      <c r="P21" s="404"/>
      <c r="Q21" s="155"/>
      <c r="R21" s="155"/>
      <c r="S21" s="155"/>
      <c r="T21" s="156"/>
      <c r="V21" s="2">
        <f t="shared" si="0"/>
        <v>0</v>
      </c>
      <c r="W21" s="2" t="str">
        <f t="shared" si="1"/>
        <v/>
      </c>
      <c r="X21" s="2" t="str">
        <f t="shared" si="2"/>
        <v/>
      </c>
      <c r="Y21" s="2" t="str">
        <f t="shared" si="3"/>
        <v/>
      </c>
      <c r="Z21" s="2" t="str">
        <f t="shared" si="4"/>
        <v/>
      </c>
      <c r="AA21" s="144">
        <f>IF(SUM(V21:Z21)=0,0,Setup!F$44/SUM(V21:Z21))</f>
        <v>0</v>
      </c>
    </row>
    <row r="22" spans="1:27" x14ac:dyDescent="0.2">
      <c r="A22" s="21" t="str">
        <f>Matchups!C19</f>
        <v>Tommy</v>
      </c>
      <c r="B22" s="339">
        <v>7</v>
      </c>
      <c r="C22" s="116">
        <v>6</v>
      </c>
      <c r="D22" s="116">
        <v>7</v>
      </c>
      <c r="E22" s="116">
        <v>4</v>
      </c>
      <c r="F22" s="116">
        <v>5</v>
      </c>
      <c r="G22" s="116">
        <v>3</v>
      </c>
      <c r="H22" s="116">
        <v>4</v>
      </c>
      <c r="I22" s="116">
        <v>4</v>
      </c>
      <c r="J22" s="117">
        <v>4</v>
      </c>
      <c r="K22" s="12">
        <f t="shared" si="6"/>
        <v>44</v>
      </c>
      <c r="M22" s="226" t="str">
        <f t="shared" si="7"/>
        <v>Tommy</v>
      </c>
      <c r="N22" s="5">
        <f t="shared" si="5"/>
        <v>44</v>
      </c>
      <c r="O22" s="12">
        <f>K96</f>
        <v>2</v>
      </c>
      <c r="P22" s="297"/>
      <c r="Q22" s="65"/>
      <c r="R22" s="65"/>
      <c r="S22" s="65"/>
      <c r="T22" s="153"/>
      <c r="V22" s="2">
        <f t="shared" si="0"/>
        <v>0</v>
      </c>
      <c r="W22" s="2" t="str">
        <f t="shared" si="1"/>
        <v/>
      </c>
      <c r="X22" s="2" t="str">
        <f t="shared" si="2"/>
        <v/>
      </c>
      <c r="Y22" s="2" t="str">
        <f t="shared" si="3"/>
        <v/>
      </c>
      <c r="Z22" s="2" t="str">
        <f t="shared" si="4"/>
        <v/>
      </c>
      <c r="AA22" s="144">
        <f>IF(SUM(V22:Z22)=0,0,Setup!F$44/SUM(V22:Z22))</f>
        <v>0</v>
      </c>
    </row>
    <row r="23" spans="1:27" hidden="1" x14ac:dyDescent="0.2">
      <c r="A23" s="22">
        <f>Matchups!C20</f>
        <v>5</v>
      </c>
      <c r="B23" s="341"/>
      <c r="C23" s="119"/>
      <c r="D23" s="119"/>
      <c r="E23" s="119"/>
      <c r="F23" s="119"/>
      <c r="G23" s="119"/>
      <c r="H23" s="119"/>
      <c r="I23" s="119"/>
      <c r="J23" s="120"/>
      <c r="K23" s="13"/>
      <c r="M23" s="227">
        <f t="shared" si="7"/>
        <v>5</v>
      </c>
      <c r="N23" s="8">
        <f t="shared" si="5"/>
        <v>0</v>
      </c>
      <c r="O23" s="13"/>
      <c r="P23" s="191"/>
      <c r="Q23" s="66"/>
      <c r="R23" s="66"/>
      <c r="S23" s="66"/>
      <c r="T23" s="154"/>
      <c r="V23" s="2">
        <f t="shared" si="0"/>
        <v>0</v>
      </c>
      <c r="W23" s="2" t="str">
        <f t="shared" si="1"/>
        <v/>
      </c>
      <c r="X23" s="2" t="str">
        <f t="shared" si="2"/>
        <v/>
      </c>
      <c r="Y23" s="2" t="str">
        <f t="shared" si="3"/>
        <v/>
      </c>
      <c r="Z23" s="2" t="str">
        <f t="shared" si="4"/>
        <v/>
      </c>
      <c r="AA23" s="144">
        <f>IF(SUM(V23:Z23)=0,0,Setup!F$44/SUM(V23:Z23))</f>
        <v>0</v>
      </c>
    </row>
    <row r="24" spans="1:27" x14ac:dyDescent="0.2">
      <c r="A24" s="22" t="str">
        <f>Matchups!C21</f>
        <v>Dave</v>
      </c>
      <c r="B24" s="341">
        <v>8</v>
      </c>
      <c r="C24" s="119">
        <v>5</v>
      </c>
      <c r="D24" s="119">
        <v>6</v>
      </c>
      <c r="E24" s="119">
        <v>4</v>
      </c>
      <c r="F24" s="119">
        <v>4</v>
      </c>
      <c r="G24" s="119">
        <v>3</v>
      </c>
      <c r="H24" s="119">
        <v>5</v>
      </c>
      <c r="I24" s="119">
        <v>4</v>
      </c>
      <c r="J24" s="120">
        <v>4</v>
      </c>
      <c r="K24" s="13">
        <f t="shared" si="6"/>
        <v>43</v>
      </c>
      <c r="M24" s="227" t="str">
        <f t="shared" si="7"/>
        <v>Dave</v>
      </c>
      <c r="N24" s="8">
        <f t="shared" si="5"/>
        <v>43</v>
      </c>
      <c r="O24" s="13">
        <f>K109</f>
        <v>2</v>
      </c>
      <c r="P24" s="191"/>
      <c r="Q24" s="66"/>
      <c r="R24" s="66"/>
      <c r="S24" s="66"/>
      <c r="T24" s="154"/>
      <c r="V24" s="2">
        <f t="shared" si="0"/>
        <v>0</v>
      </c>
      <c r="W24" s="2" t="str">
        <f t="shared" si="1"/>
        <v/>
      </c>
      <c r="X24" s="2" t="str">
        <f t="shared" si="2"/>
        <v/>
      </c>
      <c r="Y24" s="2" t="str">
        <f t="shared" si="3"/>
        <v/>
      </c>
      <c r="Z24" s="2" t="str">
        <f t="shared" si="4"/>
        <v/>
      </c>
      <c r="AA24" s="144">
        <f>IF(SUM(V24:Z24)=0,0,Setup!F$44/SUM(V24:Z24))</f>
        <v>0</v>
      </c>
    </row>
    <row r="25" spans="1:27" hidden="1" x14ac:dyDescent="0.2">
      <c r="A25" s="22">
        <f>Matchups!C22</f>
        <v>5</v>
      </c>
      <c r="B25" s="341"/>
      <c r="C25" s="119"/>
      <c r="D25" s="119"/>
      <c r="E25" s="119"/>
      <c r="F25" s="119"/>
      <c r="G25" s="119"/>
      <c r="H25" s="119"/>
      <c r="I25" s="119"/>
      <c r="J25" s="120"/>
      <c r="K25" s="13"/>
      <c r="M25" s="227">
        <f t="shared" si="7"/>
        <v>5</v>
      </c>
      <c r="N25" s="8">
        <f t="shared" si="5"/>
        <v>0</v>
      </c>
      <c r="O25" s="13"/>
      <c r="P25" s="191"/>
      <c r="Q25" s="66"/>
      <c r="R25" s="66"/>
      <c r="S25" s="66"/>
      <c r="T25" s="154"/>
      <c r="V25" s="2">
        <f t="shared" si="0"/>
        <v>0</v>
      </c>
      <c r="W25" s="2" t="str">
        <f t="shared" si="1"/>
        <v/>
      </c>
      <c r="X25" s="2" t="str">
        <f t="shared" si="2"/>
        <v/>
      </c>
      <c r="Y25" s="2" t="str">
        <f t="shared" si="3"/>
        <v/>
      </c>
      <c r="Z25" s="2" t="str">
        <f t="shared" si="4"/>
        <v/>
      </c>
      <c r="AA25" s="144">
        <f>IF(SUM(V25:Z25)=0,0,Setup!F$44/SUM(V25:Z25))</f>
        <v>0</v>
      </c>
    </row>
    <row r="26" spans="1:27" x14ac:dyDescent="0.2">
      <c r="A26" s="22" t="str">
        <f>Matchups!C23</f>
        <v>Hunter</v>
      </c>
      <c r="B26" s="341">
        <v>5</v>
      </c>
      <c r="C26" s="119">
        <v>6</v>
      </c>
      <c r="D26" s="119">
        <v>7</v>
      </c>
      <c r="E26" s="119">
        <v>6</v>
      </c>
      <c r="F26" s="119">
        <v>7</v>
      </c>
      <c r="G26" s="119">
        <v>4</v>
      </c>
      <c r="H26" s="119">
        <v>5</v>
      </c>
      <c r="I26" s="119">
        <v>9</v>
      </c>
      <c r="J26" s="120">
        <v>9</v>
      </c>
      <c r="K26" s="13">
        <f t="shared" si="6"/>
        <v>58</v>
      </c>
      <c r="M26" s="227" t="str">
        <f t="shared" si="7"/>
        <v>Hunter</v>
      </c>
      <c r="N26" s="8">
        <f t="shared" si="5"/>
        <v>58</v>
      </c>
      <c r="O26" s="13">
        <f>K102</f>
        <v>0</v>
      </c>
      <c r="P26" s="191"/>
      <c r="Q26" s="66"/>
      <c r="R26" s="66"/>
      <c r="S26" s="66"/>
      <c r="T26" s="154"/>
      <c r="V26" s="2">
        <f t="shared" si="0"/>
        <v>0</v>
      </c>
      <c r="W26" s="2" t="str">
        <f t="shared" si="1"/>
        <v/>
      </c>
      <c r="X26" s="2" t="str">
        <f t="shared" si="2"/>
        <v/>
      </c>
      <c r="Y26" s="2" t="str">
        <f t="shared" si="3"/>
        <v/>
      </c>
      <c r="Z26" s="2" t="str">
        <f t="shared" si="4"/>
        <v/>
      </c>
      <c r="AA26" s="144">
        <f>IF(SUM(V26:Z26)=0,0,Setup!F$44/SUM(V26:Z26))</f>
        <v>0</v>
      </c>
    </row>
    <row r="27" spans="1:27" hidden="1" x14ac:dyDescent="0.2">
      <c r="A27" s="22">
        <f>Matchups!C24</f>
        <v>7</v>
      </c>
      <c r="B27" s="341"/>
      <c r="C27" s="119"/>
      <c r="D27" s="119"/>
      <c r="E27" s="119"/>
      <c r="F27" s="119"/>
      <c r="G27" s="119"/>
      <c r="H27" s="119"/>
      <c r="I27" s="119"/>
      <c r="J27" s="120"/>
      <c r="K27" s="13"/>
      <c r="M27" s="227">
        <f t="shared" si="7"/>
        <v>7</v>
      </c>
      <c r="N27" s="8">
        <f t="shared" si="5"/>
        <v>0</v>
      </c>
      <c r="O27" s="13"/>
      <c r="P27" s="191"/>
      <c r="Q27" s="66"/>
      <c r="R27" s="66"/>
      <c r="S27" s="66"/>
      <c r="T27" s="154"/>
      <c r="V27" s="2">
        <f t="shared" si="0"/>
        <v>0</v>
      </c>
      <c r="W27" s="2" t="str">
        <f t="shared" si="1"/>
        <v/>
      </c>
      <c r="X27" s="2" t="str">
        <f t="shared" si="2"/>
        <v/>
      </c>
      <c r="Y27" s="2" t="str">
        <f t="shared" si="3"/>
        <v/>
      </c>
      <c r="Z27" s="2" t="str">
        <f t="shared" si="4"/>
        <v/>
      </c>
      <c r="AA27" s="144">
        <f>IF(SUM(V27:Z27)=0,0,Setup!F$44/SUM(V27:Z27))</f>
        <v>0</v>
      </c>
    </row>
    <row r="28" spans="1:27" ht="13.5" thickBot="1" x14ac:dyDescent="0.25">
      <c r="A28" s="23" t="str">
        <f>Matchups!C25</f>
        <v>Gerald C</v>
      </c>
      <c r="B28" s="343">
        <v>6</v>
      </c>
      <c r="C28" s="122">
        <v>8</v>
      </c>
      <c r="D28" s="122">
        <v>7</v>
      </c>
      <c r="E28" s="122">
        <v>6</v>
      </c>
      <c r="F28" s="122">
        <v>8</v>
      </c>
      <c r="G28" s="122">
        <v>3</v>
      </c>
      <c r="H28" s="122">
        <v>5</v>
      </c>
      <c r="I28" s="122">
        <v>5</v>
      </c>
      <c r="J28" s="123">
        <v>6</v>
      </c>
      <c r="K28" s="14">
        <f t="shared" si="6"/>
        <v>54</v>
      </c>
      <c r="M28" s="227" t="str">
        <f t="shared" si="7"/>
        <v>Gerald C</v>
      </c>
      <c r="N28" s="8">
        <f t="shared" si="5"/>
        <v>54</v>
      </c>
      <c r="O28" s="13">
        <f>K115</f>
        <v>0</v>
      </c>
      <c r="P28" s="191"/>
      <c r="Q28" s="66"/>
      <c r="R28" s="66"/>
      <c r="S28" s="66">
        <v>1</v>
      </c>
      <c r="T28" s="154"/>
      <c r="V28" s="2">
        <f t="shared" si="0"/>
        <v>1</v>
      </c>
      <c r="W28" s="2" t="str">
        <f t="shared" si="1"/>
        <v/>
      </c>
      <c r="X28" s="2" t="str">
        <f t="shared" si="2"/>
        <v/>
      </c>
      <c r="Y28" s="2" t="str">
        <f t="shared" si="3"/>
        <v/>
      </c>
      <c r="Z28" s="2" t="str">
        <f t="shared" si="4"/>
        <v/>
      </c>
      <c r="AA28" s="144">
        <f>IF(SUM(V28:Z28)=0,0,Setup!F$44/SUM(V28:Z28))</f>
        <v>20</v>
      </c>
    </row>
    <row r="29" spans="1:27" ht="13.5" hidden="1" thickBot="1" x14ac:dyDescent="0.25">
      <c r="A29" s="534">
        <f>Matchups!C26</f>
        <v>12</v>
      </c>
      <c r="B29" s="340"/>
      <c r="C29" s="137"/>
      <c r="D29" s="137"/>
      <c r="E29" s="137"/>
      <c r="F29" s="137"/>
      <c r="G29" s="137"/>
      <c r="H29" s="137"/>
      <c r="I29" s="137"/>
      <c r="J29" s="138"/>
      <c r="K29" s="231"/>
      <c r="M29" s="334">
        <f t="shared" si="7"/>
        <v>12</v>
      </c>
      <c r="N29" s="70">
        <f t="shared" si="5"/>
        <v>0</v>
      </c>
      <c r="O29" s="229"/>
      <c r="P29" s="404"/>
      <c r="Q29" s="155"/>
      <c r="R29" s="155"/>
      <c r="S29" s="155"/>
      <c r="T29" s="156"/>
      <c r="V29" s="2">
        <f t="shared" si="0"/>
        <v>0</v>
      </c>
      <c r="W29" s="2" t="str">
        <f t="shared" si="1"/>
        <v/>
      </c>
      <c r="X29" s="2" t="str">
        <f t="shared" si="2"/>
        <v/>
      </c>
      <c r="Y29" s="2" t="str">
        <f t="shared" si="3"/>
        <v/>
      </c>
      <c r="Z29" s="2" t="str">
        <f t="shared" si="4"/>
        <v/>
      </c>
      <c r="AA29" s="144">
        <f>IF(SUM(V29:Z29)=0,0,Setup!F$44/SUM(V29:Z29))</f>
        <v>0</v>
      </c>
    </row>
    <row r="30" spans="1:27" x14ac:dyDescent="0.2">
      <c r="A30" s="22" t="str">
        <f>Matchups!C27</f>
        <v>Bob</v>
      </c>
      <c r="B30" s="341">
        <v>6</v>
      </c>
      <c r="C30" s="119">
        <v>7</v>
      </c>
      <c r="D30" s="119">
        <v>7</v>
      </c>
      <c r="E30" s="119">
        <v>3</v>
      </c>
      <c r="F30" s="119">
        <v>7</v>
      </c>
      <c r="G30" s="119">
        <v>4</v>
      </c>
      <c r="H30" s="119">
        <v>8</v>
      </c>
      <c r="I30" s="119">
        <v>4</v>
      </c>
      <c r="J30" s="120">
        <v>5</v>
      </c>
      <c r="K30" s="13">
        <f>SUM(B30:J30)</f>
        <v>51</v>
      </c>
      <c r="M30" s="226" t="str">
        <f t="shared" si="7"/>
        <v>Bob</v>
      </c>
      <c r="N30" s="5">
        <f>K30</f>
        <v>51</v>
      </c>
      <c r="O30" s="12">
        <f>K122</f>
        <v>2</v>
      </c>
      <c r="P30" s="297"/>
      <c r="Q30" s="65"/>
      <c r="R30" s="65">
        <v>1</v>
      </c>
      <c r="S30" s="65"/>
      <c r="T30" s="153"/>
      <c r="V30" s="2">
        <f t="shared" si="0"/>
        <v>0</v>
      </c>
      <c r="W30" s="2" t="str">
        <f t="shared" si="1"/>
        <v/>
      </c>
      <c r="X30" s="2" t="str">
        <f t="shared" si="2"/>
        <v/>
      </c>
      <c r="Y30" s="2" t="str">
        <f t="shared" si="3"/>
        <v/>
      </c>
      <c r="Z30" s="2" t="str">
        <f t="shared" si="4"/>
        <v/>
      </c>
      <c r="AA30" s="144">
        <f>IF(SUM(V30:Z30)=0,0,Setup!F$44/SUM(V30:Z30))</f>
        <v>0</v>
      </c>
    </row>
    <row r="31" spans="1:27" hidden="1" x14ac:dyDescent="0.2">
      <c r="A31" s="22">
        <f>Matchups!C28</f>
        <v>10</v>
      </c>
      <c r="B31" s="341"/>
      <c r="C31" s="119"/>
      <c r="D31" s="119"/>
      <c r="E31" s="119"/>
      <c r="F31" s="119"/>
      <c r="G31" s="119"/>
      <c r="H31" s="119"/>
      <c r="I31" s="119"/>
      <c r="J31" s="120"/>
      <c r="K31" s="13"/>
      <c r="M31" s="227">
        <f t="shared" si="7"/>
        <v>10</v>
      </c>
      <c r="N31" s="8">
        <f>K31</f>
        <v>0</v>
      </c>
      <c r="O31" s="13"/>
      <c r="P31" s="191"/>
      <c r="Q31" s="66"/>
      <c r="R31" s="66"/>
      <c r="S31" s="66"/>
      <c r="T31" s="154"/>
      <c r="V31" s="2">
        <f t="shared" si="0"/>
        <v>0</v>
      </c>
      <c r="W31" s="2" t="str">
        <f t="shared" si="1"/>
        <v/>
      </c>
      <c r="X31" s="2" t="str">
        <f t="shared" si="2"/>
        <v/>
      </c>
      <c r="Y31" s="2" t="str">
        <f t="shared" si="3"/>
        <v/>
      </c>
      <c r="Z31" s="2" t="str">
        <f t="shared" si="4"/>
        <v/>
      </c>
      <c r="AA31" s="144">
        <f>IF(SUM(V31:Z31)=0,0,Setup!F$44/SUM(V31:Z31))</f>
        <v>0</v>
      </c>
    </row>
    <row r="32" spans="1:27" x14ac:dyDescent="0.2">
      <c r="A32" s="22" t="str">
        <f>Matchups!C29</f>
        <v>Patrick</v>
      </c>
      <c r="B32" s="341">
        <v>9</v>
      </c>
      <c r="C32" s="119">
        <v>5</v>
      </c>
      <c r="D32" s="119">
        <v>10</v>
      </c>
      <c r="E32" s="119">
        <v>3</v>
      </c>
      <c r="F32" s="119">
        <v>5</v>
      </c>
      <c r="G32" s="119">
        <v>4</v>
      </c>
      <c r="H32" s="119">
        <v>5</v>
      </c>
      <c r="I32" s="119">
        <v>5</v>
      </c>
      <c r="J32" s="120">
        <v>5</v>
      </c>
      <c r="K32" s="13">
        <f>SUM(B32:J32)</f>
        <v>51</v>
      </c>
      <c r="M32" s="227" t="str">
        <f t="shared" si="7"/>
        <v>Patrick</v>
      </c>
      <c r="N32" s="8">
        <f>K32</f>
        <v>51</v>
      </c>
      <c r="O32" s="13">
        <f>K135</f>
        <v>0</v>
      </c>
      <c r="P32" s="191"/>
      <c r="Q32" s="66"/>
      <c r="R32" s="66"/>
      <c r="S32" s="66"/>
      <c r="T32" s="154"/>
      <c r="V32" s="2">
        <f t="shared" si="0"/>
        <v>0</v>
      </c>
      <c r="W32" s="2" t="str">
        <f t="shared" si="1"/>
        <v/>
      </c>
      <c r="X32" s="2" t="str">
        <f t="shared" si="2"/>
        <v/>
      </c>
      <c r="Y32" s="2" t="str">
        <f t="shared" si="3"/>
        <v/>
      </c>
      <c r="Z32" s="2" t="str">
        <f t="shared" si="4"/>
        <v/>
      </c>
      <c r="AA32" s="144">
        <f>IF(SUM(V32:Z32)=0,0,Setup!F$44/SUM(V32:Z32))</f>
        <v>0</v>
      </c>
    </row>
    <row r="33" spans="1:27" hidden="1" x14ac:dyDescent="0.2">
      <c r="A33" s="22">
        <f>Matchups!C30</f>
        <v>8</v>
      </c>
      <c r="B33" s="341"/>
      <c r="C33" s="119"/>
      <c r="D33" s="119"/>
      <c r="E33" s="119"/>
      <c r="F33" s="119"/>
      <c r="G33" s="119"/>
      <c r="H33" s="119"/>
      <c r="I33" s="119"/>
      <c r="J33" s="120"/>
      <c r="K33" s="13"/>
      <c r="M33" s="227">
        <f t="shared" si="7"/>
        <v>8</v>
      </c>
      <c r="N33" s="8">
        <f>K33</f>
        <v>0</v>
      </c>
      <c r="O33" s="13"/>
      <c r="P33" s="191"/>
      <c r="Q33" s="66"/>
      <c r="R33" s="66"/>
      <c r="S33" s="66"/>
      <c r="T33" s="154"/>
      <c r="V33" s="2">
        <f t="shared" si="0"/>
        <v>0</v>
      </c>
      <c r="W33" s="2" t="str">
        <f t="shared" si="1"/>
        <v/>
      </c>
      <c r="X33" s="2" t="str">
        <f t="shared" si="2"/>
        <v/>
      </c>
      <c r="Y33" s="2" t="str">
        <f t="shared" si="3"/>
        <v/>
      </c>
      <c r="Z33" s="2" t="str">
        <f t="shared" si="4"/>
        <v/>
      </c>
      <c r="AA33" s="144">
        <f>IF(SUM(V33:Z33)=0,0,Setup!F$44/SUM(V33:Z33))</f>
        <v>0</v>
      </c>
    </row>
    <row r="34" spans="1:27" x14ac:dyDescent="0.2">
      <c r="A34" s="22" t="str">
        <f>Matchups!C31</f>
        <v>Brian S</v>
      </c>
      <c r="B34" s="340">
        <v>7</v>
      </c>
      <c r="C34" s="137">
        <v>9</v>
      </c>
      <c r="D34" s="137">
        <v>10</v>
      </c>
      <c r="E34" s="137">
        <v>4</v>
      </c>
      <c r="F34" s="137">
        <v>5</v>
      </c>
      <c r="G34" s="137">
        <v>3</v>
      </c>
      <c r="H34" s="137">
        <v>5</v>
      </c>
      <c r="I34" s="137">
        <v>6</v>
      </c>
      <c r="J34" s="138">
        <v>5</v>
      </c>
      <c r="K34" s="13">
        <f>SUM(B34:J34)</f>
        <v>54</v>
      </c>
      <c r="M34" s="227" t="str">
        <f t="shared" si="7"/>
        <v>Brian S</v>
      </c>
      <c r="N34" s="8">
        <f>K34</f>
        <v>54</v>
      </c>
      <c r="O34" s="13">
        <f>K128</f>
        <v>0</v>
      </c>
      <c r="P34" s="191"/>
      <c r="Q34" s="66"/>
      <c r="R34" s="66"/>
      <c r="S34" s="66"/>
      <c r="T34" s="154"/>
      <c r="V34" s="2">
        <f t="shared" si="0"/>
        <v>0</v>
      </c>
      <c r="W34" s="2" t="str">
        <f t="shared" si="1"/>
        <v/>
      </c>
      <c r="X34" s="2" t="str">
        <f t="shared" si="2"/>
        <v/>
      </c>
      <c r="Y34" s="2" t="str">
        <f t="shared" si="3"/>
        <v/>
      </c>
      <c r="Z34" s="2" t="str">
        <f t="shared" si="4"/>
        <v/>
      </c>
      <c r="AA34" s="144">
        <f>IF(SUM(V34:Z34)=0,0,Setup!F$44/SUM(V34:Z34))</f>
        <v>0</v>
      </c>
    </row>
    <row r="35" spans="1:27" hidden="1" x14ac:dyDescent="0.2">
      <c r="A35" s="22">
        <f>Matchups!C32</f>
        <v>13</v>
      </c>
      <c r="B35" s="341"/>
      <c r="C35" s="119"/>
      <c r="D35" s="119"/>
      <c r="E35" s="119"/>
      <c r="F35" s="119"/>
      <c r="G35" s="119"/>
      <c r="H35" s="119"/>
      <c r="I35" s="119"/>
      <c r="J35" s="120"/>
      <c r="K35" s="13"/>
      <c r="M35" s="227">
        <f t="shared" si="7"/>
        <v>13</v>
      </c>
      <c r="N35" s="8"/>
      <c r="O35" s="13"/>
      <c r="P35" s="191"/>
      <c r="Q35" s="66"/>
      <c r="R35" s="66"/>
      <c r="S35" s="66"/>
      <c r="T35" s="154"/>
      <c r="V35" s="2">
        <f t="shared" si="0"/>
        <v>0</v>
      </c>
      <c r="W35" s="2" t="str">
        <f t="shared" si="1"/>
        <v/>
      </c>
      <c r="X35" s="2" t="str">
        <f t="shared" si="2"/>
        <v/>
      </c>
      <c r="Y35" s="2" t="str">
        <f t="shared" si="3"/>
        <v/>
      </c>
      <c r="Z35" s="2" t="str">
        <f t="shared" si="4"/>
        <v/>
      </c>
      <c r="AA35" s="144">
        <f>IF(SUM(V35:Z35)=0,0,Setup!F$44/SUM(V35:Z35))</f>
        <v>0</v>
      </c>
    </row>
    <row r="36" spans="1:27" ht="13.5" thickBot="1" x14ac:dyDescent="0.25">
      <c r="A36" s="23" t="str">
        <f>Matchups!C33</f>
        <v>Chris</v>
      </c>
      <c r="B36" s="343">
        <v>9</v>
      </c>
      <c r="C36" s="122">
        <v>5</v>
      </c>
      <c r="D36" s="122">
        <v>8</v>
      </c>
      <c r="E36" s="122">
        <v>4</v>
      </c>
      <c r="F36" s="122">
        <v>6</v>
      </c>
      <c r="G36" s="122">
        <v>5</v>
      </c>
      <c r="H36" s="122">
        <v>5</v>
      </c>
      <c r="I36" s="122">
        <v>6</v>
      </c>
      <c r="J36" s="123">
        <v>7</v>
      </c>
      <c r="K36" s="14">
        <f>SUM(B36:J36)</f>
        <v>55</v>
      </c>
      <c r="M36" s="228" t="str">
        <f t="shared" si="7"/>
        <v>Chris</v>
      </c>
      <c r="N36" s="11">
        <f>K36</f>
        <v>55</v>
      </c>
      <c r="O36" s="14">
        <f>K141</f>
        <v>2</v>
      </c>
      <c r="P36" s="192"/>
      <c r="Q36" s="67">
        <v>1</v>
      </c>
      <c r="R36" s="67"/>
      <c r="S36" s="67"/>
      <c r="T36" s="157"/>
      <c r="V36" s="2">
        <f t="shared" si="0"/>
        <v>0</v>
      </c>
      <c r="W36" s="2" t="str">
        <f t="shared" si="1"/>
        <v/>
      </c>
      <c r="X36" s="2" t="str">
        <f t="shared" si="2"/>
        <v/>
      </c>
      <c r="Y36" s="2" t="str">
        <f t="shared" si="3"/>
        <v/>
      </c>
      <c r="Z36" s="2" t="str">
        <f t="shared" si="4"/>
        <v/>
      </c>
      <c r="AA36" s="144">
        <f>IF(SUM(V36:Z36)=0,0,Setup!F$44/SUM(V36:Z36))</f>
        <v>0</v>
      </c>
    </row>
    <row r="37" spans="1:27" hidden="1" x14ac:dyDescent="0.2">
      <c r="A37" s="400">
        <f>Matchups!C34</f>
        <v>15</v>
      </c>
      <c r="B37" s="124"/>
      <c r="C37" s="125"/>
      <c r="D37" s="125"/>
      <c r="E37" s="125"/>
      <c r="F37" s="125"/>
      <c r="G37" s="125"/>
      <c r="H37" s="125"/>
      <c r="I37" s="125"/>
      <c r="J37" s="126"/>
      <c r="K37" s="250"/>
      <c r="M37" s="262">
        <f t="shared" si="7"/>
        <v>15</v>
      </c>
      <c r="N37" s="71"/>
      <c r="O37" s="231"/>
      <c r="P37" s="537"/>
      <c r="Q37" s="158"/>
      <c r="R37" s="158"/>
      <c r="S37" s="158"/>
      <c r="T37" s="159"/>
      <c r="V37" s="2">
        <f t="shared" si="0"/>
        <v>0</v>
      </c>
      <c r="W37" s="2" t="str">
        <f t="shared" si="1"/>
        <v/>
      </c>
      <c r="X37" s="2" t="str">
        <f t="shared" si="2"/>
        <v/>
      </c>
      <c r="Y37" s="2" t="str">
        <f t="shared" si="3"/>
        <v/>
      </c>
      <c r="Z37" s="2" t="str">
        <f t="shared" si="4"/>
        <v/>
      </c>
      <c r="AA37" s="144">
        <f>IF(SUM(V37:Z37)=0,0,Setup!F$44/SUM(V37:Z37))</f>
        <v>0</v>
      </c>
    </row>
    <row r="38" spans="1:27" x14ac:dyDescent="0.2">
      <c r="A38" s="26"/>
      <c r="B38" s="15"/>
      <c r="C38" s="15"/>
      <c r="D38" s="15"/>
      <c r="E38" s="15"/>
      <c r="F38" s="15"/>
      <c r="G38" s="15"/>
      <c r="H38" s="15"/>
      <c r="I38" s="15"/>
      <c r="J38" s="15"/>
      <c r="K38" s="15"/>
      <c r="AA38" s="139"/>
    </row>
    <row r="39" spans="1:27" x14ac:dyDescent="0.2">
      <c r="S39" s="52">
        <f>COUNTIF(S6:S37,1)</f>
        <v>1</v>
      </c>
    </row>
    <row r="40" spans="1:27" ht="13.5" thickBot="1" x14ac:dyDescent="0.25">
      <c r="A40" s="24" t="s">
        <v>8</v>
      </c>
    </row>
    <row r="41" spans="1:27" x14ac:dyDescent="0.2">
      <c r="A41" s="79" t="str">
        <f t="shared" ref="A41:J41" si="8">A6</f>
        <v>Mil</v>
      </c>
      <c r="B41" s="17">
        <f t="shared" si="8"/>
        <v>6</v>
      </c>
      <c r="C41" s="3">
        <f t="shared" si="8"/>
        <v>4</v>
      </c>
      <c r="D41" s="3">
        <f t="shared" si="8"/>
        <v>6</v>
      </c>
      <c r="E41" s="3">
        <f t="shared" si="8"/>
        <v>4</v>
      </c>
      <c r="F41" s="3">
        <f t="shared" si="8"/>
        <v>9</v>
      </c>
      <c r="G41" s="3">
        <f t="shared" si="8"/>
        <v>5</v>
      </c>
      <c r="H41" s="3">
        <f t="shared" si="8"/>
        <v>6</v>
      </c>
      <c r="I41" s="3">
        <f t="shared" si="8"/>
        <v>3</v>
      </c>
      <c r="J41" s="4">
        <f t="shared" si="8"/>
        <v>4</v>
      </c>
      <c r="K41" s="12">
        <f>SUM(B41:J41)</f>
        <v>47</v>
      </c>
    </row>
    <row r="42" spans="1:27" x14ac:dyDescent="0.2">
      <c r="A42" s="80">
        <f>A7</f>
        <v>6</v>
      </c>
      <c r="B42" s="18">
        <f>IF(AND(ISNUMBER($A42),ISNUMBER($A48)),IF((RANK(B$4,$B$4:$J$4,1))&lt;=($A42-$A48),1,0),"")</f>
        <v>0</v>
      </c>
      <c r="C42" s="6">
        <f t="shared" ref="C42:J43" si="9">IF(AND(ISNUMBER($A42),ISNUMBER($A48)),IF((RANK(C$4,$B$4:$J$4,1))&lt;=($A42-$A48),1,0),"")</f>
        <v>0</v>
      </c>
      <c r="D42" s="6">
        <f t="shared" si="9"/>
        <v>0</v>
      </c>
      <c r="E42" s="6">
        <f t="shared" si="9"/>
        <v>0</v>
      </c>
      <c r="F42" s="6">
        <f t="shared" si="9"/>
        <v>0</v>
      </c>
      <c r="G42" s="6">
        <f t="shared" si="9"/>
        <v>0</v>
      </c>
      <c r="H42" s="6">
        <f t="shared" si="9"/>
        <v>0</v>
      </c>
      <c r="I42" s="6">
        <f t="shared" si="9"/>
        <v>0</v>
      </c>
      <c r="J42" s="7">
        <f t="shared" si="9"/>
        <v>0</v>
      </c>
      <c r="K42" s="8">
        <f>SUM(B42:J42)</f>
        <v>0</v>
      </c>
    </row>
    <row r="43" spans="1:27" x14ac:dyDescent="0.2">
      <c r="A43" s="80">
        <f>IF((A42-A48)&gt;9,(A42-A48-9),0)</f>
        <v>0</v>
      </c>
      <c r="B43" s="18">
        <f>IF(AND(ISNUMBER($A43),ISNUMBER($A49)),IF((RANK(B$4,$B$4:$J$4,1))&lt;=($A43-$A49),1,0),"")</f>
        <v>0</v>
      </c>
      <c r="C43" s="6">
        <f t="shared" si="9"/>
        <v>0</v>
      </c>
      <c r="D43" s="6">
        <f t="shared" si="9"/>
        <v>0</v>
      </c>
      <c r="E43" s="6">
        <f t="shared" si="9"/>
        <v>0</v>
      </c>
      <c r="F43" s="6">
        <f t="shared" si="9"/>
        <v>0</v>
      </c>
      <c r="G43" s="6">
        <f t="shared" si="9"/>
        <v>0</v>
      </c>
      <c r="H43" s="6">
        <f t="shared" si="9"/>
        <v>0</v>
      </c>
      <c r="I43" s="6">
        <f t="shared" si="9"/>
        <v>0</v>
      </c>
      <c r="J43" s="7">
        <f t="shared" si="9"/>
        <v>0</v>
      </c>
      <c r="K43" s="8">
        <f>SUM(B43:J43)</f>
        <v>0</v>
      </c>
    </row>
    <row r="44" spans="1:27" x14ac:dyDescent="0.2">
      <c r="A44" s="80"/>
      <c r="B44" s="82">
        <f>IF(AND(ISNUMBER(B41),ISNUMBER(B42)),B41-B42-B43," ")</f>
        <v>6</v>
      </c>
      <c r="C44" s="86">
        <f t="shared" ref="C44:J44" si="10">IF(AND(ISNUMBER(C41),ISNUMBER(C42)),C41-C42-C43," ")</f>
        <v>4</v>
      </c>
      <c r="D44" s="86">
        <f t="shared" si="10"/>
        <v>6</v>
      </c>
      <c r="E44" s="86">
        <f t="shared" si="10"/>
        <v>4</v>
      </c>
      <c r="F44" s="86">
        <f t="shared" si="10"/>
        <v>9</v>
      </c>
      <c r="G44" s="86">
        <f t="shared" si="10"/>
        <v>5</v>
      </c>
      <c r="H44" s="86">
        <f t="shared" si="10"/>
        <v>6</v>
      </c>
      <c r="I44" s="86">
        <f t="shared" si="10"/>
        <v>3</v>
      </c>
      <c r="J44" s="87">
        <f t="shared" si="10"/>
        <v>4</v>
      </c>
      <c r="K44" s="8">
        <f>IF(ISNUMBER(FIND("Wins",K45)), 2, IF(ISNUMBER(FIND("Tie",K45)), 1, 0))</f>
        <v>0</v>
      </c>
    </row>
    <row r="45" spans="1:27" ht="13.5" thickBot="1" x14ac:dyDescent="0.25">
      <c r="A45" s="81"/>
      <c r="B45" s="19">
        <f>IF(AND(ISNUMBER(B44),ISNUMBER(B50)),IF(B44&lt;B50, 0+1, (IF(B44&gt;B50, 0-1, 0)))," ")</f>
        <v>1</v>
      </c>
      <c r="C45" s="9">
        <f t="shared" ref="C45:J45" si="11">IF(AND(ISNUMBER(C44),ISNUMBER(C50)),IF(C44&lt;C50, +B45+1, (IF(C44&gt;C50, +B45-1, +B45)))," ")</f>
        <v>2</v>
      </c>
      <c r="D45" s="9">
        <f t="shared" si="11"/>
        <v>1</v>
      </c>
      <c r="E45" s="9">
        <f t="shared" si="11"/>
        <v>0</v>
      </c>
      <c r="F45" s="9">
        <f t="shared" si="11"/>
        <v>-1</v>
      </c>
      <c r="G45" s="9">
        <f t="shared" si="11"/>
        <v>-2</v>
      </c>
      <c r="H45" s="9">
        <f t="shared" si="11"/>
        <v>-3</v>
      </c>
      <c r="I45" s="9">
        <f t="shared" si="11"/>
        <v>-2</v>
      </c>
      <c r="J45" s="10">
        <f t="shared" si="11"/>
        <v>-1</v>
      </c>
      <c r="K45" s="11" t="str">
        <f>IF(ISNUMBER(J45),IF(F45&gt;4,"Wins " &amp; F45 &amp; " &amp; 4",IF(G45&gt;3,"Wins " &amp; G45 &amp; " &amp; 3",IF(H45&gt;2,"Wins " &amp; H45 &amp; " &amp; 2",IF(I45&gt;1,"Wins " &amp; I45 &amp; " &amp; 1",IF(J45&gt;J51,"Wins " &amp; J45 &amp; " Up",IF(J45&lt;J51,"Loss","Tie"))))))," ")</f>
        <v>Loss</v>
      </c>
    </row>
    <row r="46" spans="1:27" ht="13.5" thickBot="1" x14ac:dyDescent="0.25">
      <c r="A46" s="32"/>
    </row>
    <row r="47" spans="1:27" x14ac:dyDescent="0.2">
      <c r="A47" s="29" t="str">
        <f t="shared" ref="A47:J47" si="12">A10</f>
        <v>Brian P</v>
      </c>
      <c r="B47" s="17">
        <f t="shared" si="12"/>
        <v>7</v>
      </c>
      <c r="C47" s="3">
        <f t="shared" si="12"/>
        <v>7</v>
      </c>
      <c r="D47" s="3">
        <f t="shared" si="12"/>
        <v>5</v>
      </c>
      <c r="E47" s="3">
        <f t="shared" si="12"/>
        <v>3</v>
      </c>
      <c r="F47" s="3">
        <f t="shared" si="12"/>
        <v>5</v>
      </c>
      <c r="G47" s="3">
        <f t="shared" si="12"/>
        <v>4</v>
      </c>
      <c r="H47" s="3">
        <f t="shared" si="12"/>
        <v>4</v>
      </c>
      <c r="I47" s="3">
        <f t="shared" si="12"/>
        <v>7</v>
      </c>
      <c r="J47" s="4">
        <f t="shared" si="12"/>
        <v>5</v>
      </c>
      <c r="K47" s="12">
        <f>SUM(B47:J47)</f>
        <v>47</v>
      </c>
    </row>
    <row r="48" spans="1:27" x14ac:dyDescent="0.2">
      <c r="A48" s="30">
        <f>A11</f>
        <v>6</v>
      </c>
      <c r="B48" s="18">
        <f>IF(AND(ISNUMBER($A42),ISNUMBER($A48)),IF((RANK(B$4,$B$4:$J$4,1))&lt;=($A48-$A42),1,0),"")</f>
        <v>0</v>
      </c>
      <c r="C48" s="6">
        <f t="shared" ref="C48:J49" si="13">IF(AND(ISNUMBER($A42),ISNUMBER($A48)),IF((RANK(C$4,$B$4:$J$4,1))&lt;=($A48-$A42),1,0),"")</f>
        <v>0</v>
      </c>
      <c r="D48" s="6">
        <f t="shared" si="13"/>
        <v>0</v>
      </c>
      <c r="E48" s="6">
        <f t="shared" si="13"/>
        <v>0</v>
      </c>
      <c r="F48" s="6">
        <f t="shared" si="13"/>
        <v>0</v>
      </c>
      <c r="G48" s="6">
        <f t="shared" si="13"/>
        <v>0</v>
      </c>
      <c r="H48" s="6">
        <f t="shared" si="13"/>
        <v>0</v>
      </c>
      <c r="I48" s="6">
        <f t="shared" si="13"/>
        <v>0</v>
      </c>
      <c r="J48" s="7">
        <f t="shared" si="13"/>
        <v>0</v>
      </c>
      <c r="K48" s="13">
        <f>SUM(B48:J48)</f>
        <v>0</v>
      </c>
    </row>
    <row r="49" spans="1:27" x14ac:dyDescent="0.2">
      <c r="A49" s="30">
        <f>IF((A48-A42)&gt;9,(A48-A42-9),0)</f>
        <v>0</v>
      </c>
      <c r="B49" s="18">
        <f>IF(AND(ISNUMBER($A43),ISNUMBER($A49)),IF((RANK(B$4,$B$4:$J$4,1))&lt;=($A49-$A43),1,0),"")</f>
        <v>0</v>
      </c>
      <c r="C49" s="6">
        <f t="shared" si="13"/>
        <v>0</v>
      </c>
      <c r="D49" s="6">
        <f t="shared" si="13"/>
        <v>0</v>
      </c>
      <c r="E49" s="6">
        <f t="shared" si="13"/>
        <v>0</v>
      </c>
      <c r="F49" s="6">
        <f t="shared" si="13"/>
        <v>0</v>
      </c>
      <c r="G49" s="6">
        <f t="shared" si="13"/>
        <v>0</v>
      </c>
      <c r="H49" s="6">
        <f t="shared" si="13"/>
        <v>0</v>
      </c>
      <c r="I49" s="6">
        <f t="shared" si="13"/>
        <v>0</v>
      </c>
      <c r="J49" s="7">
        <f t="shared" si="13"/>
        <v>0</v>
      </c>
      <c r="K49" s="13">
        <f>SUM(B49:J49)</f>
        <v>0</v>
      </c>
    </row>
    <row r="50" spans="1:27" x14ac:dyDescent="0.2">
      <c r="A50" s="30"/>
      <c r="B50" s="82">
        <f>IF(AND(ISNUMBER(B47),ISNUMBER(B48)),B47-B48-B49," ")</f>
        <v>7</v>
      </c>
      <c r="C50" s="83">
        <f t="shared" ref="C50:J50" si="14">IF(AND(ISNUMBER(C47),ISNUMBER(C48)),C47-C48-C49," ")</f>
        <v>7</v>
      </c>
      <c r="D50" s="83">
        <f t="shared" si="14"/>
        <v>5</v>
      </c>
      <c r="E50" s="83">
        <f t="shared" si="14"/>
        <v>3</v>
      </c>
      <c r="F50" s="83">
        <f t="shared" si="14"/>
        <v>5</v>
      </c>
      <c r="G50" s="83">
        <f t="shared" si="14"/>
        <v>4</v>
      </c>
      <c r="H50" s="83">
        <f t="shared" si="14"/>
        <v>4</v>
      </c>
      <c r="I50" s="83">
        <f t="shared" si="14"/>
        <v>7</v>
      </c>
      <c r="J50" s="84">
        <f t="shared" si="14"/>
        <v>5</v>
      </c>
      <c r="K50" s="13">
        <f>IF(ISNUMBER(FIND("Wins",K51)), 2, IF(ISNUMBER(FIND("Tie",K51)), 1, 0))</f>
        <v>2</v>
      </c>
    </row>
    <row r="51" spans="1:27" ht="13.5" thickBot="1" x14ac:dyDescent="0.25">
      <c r="A51" s="31"/>
      <c r="B51" s="19">
        <f>IF(AND(ISNUMBER(B44),ISNUMBER(B50)),IF(B50&lt;B44, 0+1, (IF(B50&gt;B44, 0-1, 0)))," ")</f>
        <v>-1</v>
      </c>
      <c r="C51" s="9">
        <f t="shared" ref="C51:J51" si="15">IF(AND(ISNUMBER(C44),ISNUMBER(C50)),IF(C50&lt;C44, +B51+1, (IF(C50&gt;C44, +B51-1, +B51)))," ")</f>
        <v>-2</v>
      </c>
      <c r="D51" s="9">
        <f t="shared" si="15"/>
        <v>-1</v>
      </c>
      <c r="E51" s="9">
        <f t="shared" si="15"/>
        <v>0</v>
      </c>
      <c r="F51" s="9">
        <f t="shared" si="15"/>
        <v>1</v>
      </c>
      <c r="G51" s="9">
        <f t="shared" si="15"/>
        <v>2</v>
      </c>
      <c r="H51" s="9">
        <f t="shared" si="15"/>
        <v>3</v>
      </c>
      <c r="I51" s="9">
        <f t="shared" si="15"/>
        <v>2</v>
      </c>
      <c r="J51" s="10">
        <f t="shared" si="15"/>
        <v>1</v>
      </c>
      <c r="K51" s="14" t="str">
        <f>IF(ISNUMBER(J51),IF(F51&gt;4,"Wins " &amp; F51 &amp; " &amp; 4",IF(G51&gt;3,"Wins " &amp; G51 &amp; " &amp; 3",IF(H51&gt;2,"Wins " &amp; H51 &amp; " &amp; 2",IF(I51&gt;1,"Wins " &amp; I51 &amp; " &amp; 1",IF(J51&gt;J45,"Wins " &amp; J51 &amp; " Up",IF(J51&lt;J45,"Loss","Tie"))))))," ")</f>
        <v>Wins 3 &amp; 2</v>
      </c>
    </row>
    <row r="53" spans="1:27" s="16" customFormat="1" ht="13.5" thickBot="1" x14ac:dyDescent="0.25">
      <c r="A53" s="24" t="s">
        <v>9</v>
      </c>
      <c r="B53" s="2"/>
      <c r="C53" s="2"/>
      <c r="D53" s="2"/>
      <c r="E53" s="2"/>
      <c r="F53" s="2"/>
      <c r="G53" s="2"/>
      <c r="H53" s="2"/>
      <c r="I53" s="2"/>
      <c r="J53" s="2"/>
      <c r="K53" s="2"/>
      <c r="N53" s="15"/>
      <c r="O53" s="15"/>
      <c r="P53" s="59"/>
      <c r="Q53" s="59"/>
      <c r="R53" s="59"/>
      <c r="S53" s="59"/>
      <c r="T53" s="59"/>
      <c r="W53" s="15"/>
      <c r="X53" s="15"/>
      <c r="Y53" s="15"/>
      <c r="Z53" s="15"/>
      <c r="AA53" s="15"/>
    </row>
    <row r="54" spans="1:27" s="16" customFormat="1" x14ac:dyDescent="0.2">
      <c r="A54" s="29" t="str">
        <f t="shared" ref="A54:J54" si="16">A8</f>
        <v>John</v>
      </c>
      <c r="B54" s="17">
        <f t="shared" si="16"/>
        <v>5</v>
      </c>
      <c r="C54" s="3">
        <f t="shared" si="16"/>
        <v>5</v>
      </c>
      <c r="D54" s="3">
        <f t="shared" si="16"/>
        <v>8</v>
      </c>
      <c r="E54" s="3">
        <f t="shared" si="16"/>
        <v>4</v>
      </c>
      <c r="F54" s="3">
        <f t="shared" si="16"/>
        <v>5</v>
      </c>
      <c r="G54" s="3">
        <f t="shared" si="16"/>
        <v>3</v>
      </c>
      <c r="H54" s="3">
        <f t="shared" si="16"/>
        <v>4</v>
      </c>
      <c r="I54" s="3">
        <f t="shared" si="16"/>
        <v>4</v>
      </c>
      <c r="J54" s="4">
        <f t="shared" si="16"/>
        <v>5</v>
      </c>
      <c r="K54" s="12">
        <f>SUM(B54:J54)</f>
        <v>43</v>
      </c>
      <c r="N54" s="15"/>
      <c r="O54" s="15"/>
      <c r="P54" s="59"/>
      <c r="Q54" s="59"/>
      <c r="R54" s="59"/>
      <c r="S54" s="59"/>
      <c r="T54" s="59"/>
      <c r="W54" s="15"/>
      <c r="X54" s="15"/>
      <c r="Y54" s="15"/>
      <c r="Z54" s="15"/>
      <c r="AA54" s="15"/>
    </row>
    <row r="55" spans="1:27" s="16" customFormat="1" x14ac:dyDescent="0.2">
      <c r="A55" s="30">
        <f>A9</f>
        <v>7</v>
      </c>
      <c r="B55" s="18">
        <f>IF(AND(ISNUMBER($A55),ISNUMBER($A61)),IF((RANK(B$4,$B$4:$J$4,1))&lt;=($A55-$A61),1,0),"")</f>
        <v>0</v>
      </c>
      <c r="C55" s="6">
        <f t="shared" ref="C55:J55" si="17">IF(AND(ISNUMBER($A55),ISNUMBER($A61)),IF((RANK(C$4,$B$4:$J$4,1))&lt;=($A55-$A61),1,0),"")</f>
        <v>0</v>
      </c>
      <c r="D55" s="6">
        <f t="shared" si="17"/>
        <v>0</v>
      </c>
      <c r="E55" s="6">
        <f t="shared" si="17"/>
        <v>0</v>
      </c>
      <c r="F55" s="6">
        <f t="shared" si="17"/>
        <v>1</v>
      </c>
      <c r="G55" s="6">
        <f t="shared" si="17"/>
        <v>0</v>
      </c>
      <c r="H55" s="6">
        <f t="shared" si="17"/>
        <v>0</v>
      </c>
      <c r="I55" s="6">
        <f t="shared" si="17"/>
        <v>0</v>
      </c>
      <c r="J55" s="7">
        <f t="shared" si="17"/>
        <v>0</v>
      </c>
      <c r="K55" s="13">
        <f>SUM(B55:J55)</f>
        <v>1</v>
      </c>
      <c r="N55" s="15"/>
      <c r="O55" s="15"/>
      <c r="P55" s="59"/>
      <c r="Q55" s="59"/>
      <c r="R55" s="59"/>
      <c r="S55" s="59"/>
      <c r="T55" s="59"/>
      <c r="W55" s="15"/>
      <c r="X55" s="15"/>
      <c r="Y55" s="15"/>
      <c r="Z55" s="15"/>
      <c r="AA55" s="15"/>
    </row>
    <row r="56" spans="1:27" s="16" customFormat="1" x14ac:dyDescent="0.2">
      <c r="A56" s="30">
        <f>IF((A55-A61)&gt;9,(A55-A61-9),0)</f>
        <v>0</v>
      </c>
      <c r="B56" s="18">
        <f>IF(AND(ISNUMBER($A56),ISNUMBER($A62)),IF((RANK(B$4,$B$4:$J$4,1))&lt;=($A56-$A62),1,0),"")</f>
        <v>0</v>
      </c>
      <c r="C56" s="6">
        <f t="shared" ref="C56:J56" si="18">IF(AND(ISNUMBER($A56),ISNUMBER($A62)),IF((RANK(C$4,$B$4:$J$4,1))&lt;=($A56-$A62),1,0),"")</f>
        <v>0</v>
      </c>
      <c r="D56" s="6">
        <f t="shared" si="18"/>
        <v>0</v>
      </c>
      <c r="E56" s="6">
        <f t="shared" si="18"/>
        <v>0</v>
      </c>
      <c r="F56" s="6">
        <f t="shared" si="18"/>
        <v>0</v>
      </c>
      <c r="G56" s="6">
        <f t="shared" si="18"/>
        <v>0</v>
      </c>
      <c r="H56" s="6">
        <f t="shared" si="18"/>
        <v>0</v>
      </c>
      <c r="I56" s="6">
        <f t="shared" si="18"/>
        <v>0</v>
      </c>
      <c r="J56" s="7">
        <f t="shared" si="18"/>
        <v>0</v>
      </c>
      <c r="K56" s="13">
        <f>SUM(B56:J56)</f>
        <v>0</v>
      </c>
      <c r="N56" s="15"/>
      <c r="O56" s="15"/>
      <c r="P56" s="59"/>
      <c r="Q56" s="59"/>
      <c r="R56" s="59"/>
      <c r="S56" s="59"/>
      <c r="T56" s="59"/>
      <c r="W56" s="15"/>
      <c r="X56" s="15"/>
      <c r="Y56" s="15"/>
      <c r="Z56" s="15"/>
      <c r="AA56" s="15"/>
    </row>
    <row r="57" spans="1:27" s="16" customFormat="1" x14ac:dyDescent="0.2">
      <c r="A57" s="30"/>
      <c r="B57" s="82">
        <f t="shared" ref="B57:J57" si="19">IF(AND(ISNUMBER(B54),ISNUMBER(B55)),B54-B55-B56," ")</f>
        <v>5</v>
      </c>
      <c r="C57" s="83">
        <f t="shared" si="19"/>
        <v>5</v>
      </c>
      <c r="D57" s="83">
        <f t="shared" si="19"/>
        <v>8</v>
      </c>
      <c r="E57" s="83">
        <f t="shared" si="19"/>
        <v>4</v>
      </c>
      <c r="F57" s="83">
        <f t="shared" si="19"/>
        <v>4</v>
      </c>
      <c r="G57" s="83">
        <f t="shared" si="19"/>
        <v>3</v>
      </c>
      <c r="H57" s="83">
        <f t="shared" si="19"/>
        <v>4</v>
      </c>
      <c r="I57" s="83">
        <f t="shared" si="19"/>
        <v>4</v>
      </c>
      <c r="J57" s="84">
        <f t="shared" si="19"/>
        <v>5</v>
      </c>
      <c r="K57" s="13">
        <f>IF(ISNUMBER(FIND("Wins",K58)), 2, IF(ISNUMBER(FIND("Tie",K58)), 1, 0))</f>
        <v>2</v>
      </c>
      <c r="N57" s="15"/>
      <c r="O57" s="15"/>
      <c r="P57" s="59"/>
      <c r="Q57" s="59"/>
      <c r="R57" s="59"/>
      <c r="S57" s="59"/>
      <c r="T57" s="59"/>
      <c r="W57" s="15"/>
      <c r="X57" s="15"/>
      <c r="Y57" s="15"/>
      <c r="Z57" s="15"/>
      <c r="AA57" s="15"/>
    </row>
    <row r="58" spans="1:27" s="16" customFormat="1" ht="13.5" thickBot="1" x14ac:dyDescent="0.25">
      <c r="A58" s="31"/>
      <c r="B58" s="19">
        <f>IF(AND(ISNUMBER(B57),ISNUMBER(B63)),IF(B57&lt;B63, 0+1, (IF(B57&gt;B63, 0-1, 0)))," ")</f>
        <v>1</v>
      </c>
      <c r="C58" s="9">
        <f t="shared" ref="C58:J58" si="20">IF(AND(ISNUMBER(C57),ISNUMBER(C63)),IF(C57&lt;C63, +B58+1, (IF(C57&gt;C63, +B58-1, +B58)))," ")</f>
        <v>2</v>
      </c>
      <c r="D58" s="9">
        <f t="shared" si="20"/>
        <v>1</v>
      </c>
      <c r="E58" s="9">
        <f t="shared" si="20"/>
        <v>1</v>
      </c>
      <c r="F58" s="9">
        <f t="shared" si="20"/>
        <v>1</v>
      </c>
      <c r="G58" s="9">
        <f t="shared" si="20"/>
        <v>2</v>
      </c>
      <c r="H58" s="9">
        <f t="shared" si="20"/>
        <v>2</v>
      </c>
      <c r="I58" s="9">
        <f t="shared" si="20"/>
        <v>3</v>
      </c>
      <c r="J58" s="10">
        <f t="shared" si="20"/>
        <v>2</v>
      </c>
      <c r="K58" s="14" t="str">
        <f>IF(ISNUMBER(J58),IF(F58&gt;4,"Wins " &amp; F58 &amp; " &amp; 4",IF(G58&gt;3,"Wins " &amp; G58 &amp; " &amp; 3",IF(H58&gt;2,"Wins " &amp; H58 &amp; " &amp; 2",IF(I58&gt;1,"Wins " &amp; I58 &amp; " &amp; 1",IF(J58&gt;J64,"Wins " &amp; J58 &amp; " Up",IF(J58&lt;J64,"Loss","Tie"))))))," ")</f>
        <v>Wins 3 &amp; 1</v>
      </c>
      <c r="N58" s="15"/>
      <c r="O58" s="15"/>
      <c r="P58" s="59"/>
      <c r="Q58" s="59"/>
      <c r="R58" s="59"/>
      <c r="S58" s="59"/>
      <c r="T58" s="59"/>
      <c r="W58" s="15"/>
      <c r="X58" s="15"/>
      <c r="Y58" s="15"/>
      <c r="Z58" s="15"/>
      <c r="AA58" s="15"/>
    </row>
    <row r="59" spans="1:27" s="16" customFormat="1" ht="13.5" thickBot="1" x14ac:dyDescent="0.25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N59" s="15"/>
      <c r="O59" s="15"/>
      <c r="P59" s="59"/>
      <c r="Q59" s="59"/>
      <c r="R59" s="59"/>
      <c r="S59" s="59"/>
      <c r="T59" s="59"/>
      <c r="W59" s="15"/>
      <c r="X59" s="15"/>
      <c r="Y59" s="15"/>
      <c r="Z59" s="15"/>
      <c r="AA59" s="15"/>
    </row>
    <row r="60" spans="1:27" s="16" customFormat="1" x14ac:dyDescent="0.2">
      <c r="A60" s="29" t="str">
        <f t="shared" ref="A60:J60" si="21">A12</f>
        <v xml:space="preserve">Pat </v>
      </c>
      <c r="B60" s="17">
        <f t="shared" si="21"/>
        <v>7</v>
      </c>
      <c r="C60" s="3">
        <f t="shared" si="21"/>
        <v>6</v>
      </c>
      <c r="D60" s="3">
        <f t="shared" si="21"/>
        <v>6</v>
      </c>
      <c r="E60" s="3">
        <f t="shared" si="21"/>
        <v>4</v>
      </c>
      <c r="F60" s="3">
        <f t="shared" si="21"/>
        <v>4</v>
      </c>
      <c r="G60" s="3">
        <f t="shared" si="21"/>
        <v>4</v>
      </c>
      <c r="H60" s="3">
        <f t="shared" si="21"/>
        <v>4</v>
      </c>
      <c r="I60" s="3">
        <f t="shared" si="21"/>
        <v>6</v>
      </c>
      <c r="J60" s="4">
        <f t="shared" si="21"/>
        <v>4</v>
      </c>
      <c r="K60" s="12">
        <f>SUM(B60:J60)</f>
        <v>45</v>
      </c>
      <c r="N60" s="15"/>
      <c r="O60" s="15"/>
      <c r="P60" s="59"/>
      <c r="Q60" s="59"/>
      <c r="R60" s="59"/>
      <c r="S60" s="59"/>
      <c r="T60" s="59"/>
      <c r="W60" s="15"/>
      <c r="X60" s="15"/>
      <c r="Y60" s="15"/>
      <c r="Z60" s="15"/>
      <c r="AA60" s="15"/>
    </row>
    <row r="61" spans="1:27" s="16" customFormat="1" x14ac:dyDescent="0.2">
      <c r="A61" s="30">
        <f>A13</f>
        <v>6</v>
      </c>
      <c r="B61" s="18">
        <f>IF(AND(ISNUMBER($A55),ISNUMBER($A61)),IF((RANK(B$4,$B$4:$J$4,1))&lt;=($A61-$A55),1,0),"")</f>
        <v>0</v>
      </c>
      <c r="C61" s="6">
        <f t="shared" ref="C61:J61" si="22">IF(AND(ISNUMBER($A55),ISNUMBER($A61)),IF((RANK(C$4,$B$4:$J$4,1))&lt;=($A61-$A55),1,0),"")</f>
        <v>0</v>
      </c>
      <c r="D61" s="6">
        <f t="shared" si="22"/>
        <v>0</v>
      </c>
      <c r="E61" s="6">
        <f t="shared" si="22"/>
        <v>0</v>
      </c>
      <c r="F61" s="6">
        <f t="shared" si="22"/>
        <v>0</v>
      </c>
      <c r="G61" s="6">
        <f t="shared" si="22"/>
        <v>0</v>
      </c>
      <c r="H61" s="6">
        <f t="shared" si="22"/>
        <v>0</v>
      </c>
      <c r="I61" s="6">
        <f t="shared" si="22"/>
        <v>0</v>
      </c>
      <c r="J61" s="7">
        <f t="shared" si="22"/>
        <v>0</v>
      </c>
      <c r="K61" s="13">
        <f>SUM(B61:J61)</f>
        <v>0</v>
      </c>
      <c r="N61" s="15"/>
      <c r="O61" s="15"/>
      <c r="P61" s="59"/>
      <c r="Q61" s="59"/>
      <c r="R61" s="59"/>
      <c r="S61" s="59"/>
      <c r="T61" s="59"/>
      <c r="W61" s="15"/>
      <c r="X61" s="15"/>
      <c r="Y61" s="15"/>
      <c r="Z61" s="15"/>
      <c r="AA61" s="15"/>
    </row>
    <row r="62" spans="1:27" s="16" customFormat="1" x14ac:dyDescent="0.2">
      <c r="A62" s="30">
        <f>IF((A61-A55)&gt;9,(A61-A55-9),0)</f>
        <v>0</v>
      </c>
      <c r="B62" s="18">
        <f>IF(AND(ISNUMBER($A56),ISNUMBER($A62)),IF((RANK(B$4,$B$4:$J$4,1))&lt;=($A62-$A56),1,0),"")</f>
        <v>0</v>
      </c>
      <c r="C62" s="6">
        <f t="shared" ref="C62:J62" si="23">IF(AND(ISNUMBER($A56),ISNUMBER($A62)),IF((RANK(C$4,$B$4:$J$4,1))&lt;=($A62-$A56),1,0),"")</f>
        <v>0</v>
      </c>
      <c r="D62" s="6">
        <f t="shared" si="23"/>
        <v>0</v>
      </c>
      <c r="E62" s="6">
        <f t="shared" si="23"/>
        <v>0</v>
      </c>
      <c r="F62" s="6">
        <f t="shared" si="23"/>
        <v>0</v>
      </c>
      <c r="G62" s="6">
        <f t="shared" si="23"/>
        <v>0</v>
      </c>
      <c r="H62" s="6">
        <f t="shared" si="23"/>
        <v>0</v>
      </c>
      <c r="I62" s="6">
        <f t="shared" si="23"/>
        <v>0</v>
      </c>
      <c r="J62" s="7">
        <f t="shared" si="23"/>
        <v>0</v>
      </c>
      <c r="K62" s="13">
        <f>SUM(B62:J62)</f>
        <v>0</v>
      </c>
      <c r="N62" s="15"/>
      <c r="O62" s="15"/>
      <c r="P62" s="59"/>
      <c r="Q62" s="59"/>
      <c r="R62" s="59"/>
      <c r="S62" s="59"/>
      <c r="T62" s="59"/>
      <c r="W62" s="15"/>
      <c r="X62" s="15"/>
      <c r="Y62" s="15"/>
      <c r="Z62" s="15"/>
      <c r="AA62" s="15"/>
    </row>
    <row r="63" spans="1:27" s="16" customFormat="1" x14ac:dyDescent="0.2">
      <c r="A63" s="30"/>
      <c r="B63" s="82">
        <f t="shared" ref="B63:J63" si="24">IF(AND(ISNUMBER(B60),ISNUMBER(B61)),B60-B61-B62," ")</f>
        <v>7</v>
      </c>
      <c r="C63" s="83">
        <f t="shared" si="24"/>
        <v>6</v>
      </c>
      <c r="D63" s="83">
        <f t="shared" si="24"/>
        <v>6</v>
      </c>
      <c r="E63" s="83">
        <f t="shared" si="24"/>
        <v>4</v>
      </c>
      <c r="F63" s="83">
        <f t="shared" si="24"/>
        <v>4</v>
      </c>
      <c r="G63" s="83">
        <f t="shared" si="24"/>
        <v>4</v>
      </c>
      <c r="H63" s="83">
        <f t="shared" si="24"/>
        <v>4</v>
      </c>
      <c r="I63" s="83">
        <f t="shared" si="24"/>
        <v>6</v>
      </c>
      <c r="J63" s="84">
        <f t="shared" si="24"/>
        <v>4</v>
      </c>
      <c r="K63" s="13">
        <f>IF(ISNUMBER(FIND("Wins",K64)), 2, IF(ISNUMBER(FIND("Tie",K64)), 1, 0))</f>
        <v>0</v>
      </c>
      <c r="N63" s="15"/>
      <c r="O63" s="15"/>
      <c r="P63" s="59"/>
      <c r="Q63" s="59"/>
      <c r="R63" s="59"/>
      <c r="S63" s="59"/>
      <c r="T63" s="59"/>
      <c r="W63" s="15"/>
      <c r="X63" s="15"/>
      <c r="Y63" s="15"/>
      <c r="Z63" s="15"/>
      <c r="AA63" s="15"/>
    </row>
    <row r="64" spans="1:27" s="16" customFormat="1" ht="13.5" thickBot="1" x14ac:dyDescent="0.25">
      <c r="A64" s="31"/>
      <c r="B64" s="19">
        <f>IF(AND(ISNUMBER(B57),ISNUMBER(B63)),IF(B63&lt;B57, 0+1, (IF(B63&gt;B57, 0-1, 0)))," ")</f>
        <v>-1</v>
      </c>
      <c r="C64" s="9">
        <f t="shared" ref="C64:J64" si="25">IF(AND(ISNUMBER(C57),ISNUMBER(C63)),IF(C63&lt;C57, +B64+1, (IF(C63&gt;C57, +B64-1, +B64)))," ")</f>
        <v>-2</v>
      </c>
      <c r="D64" s="9">
        <f t="shared" si="25"/>
        <v>-1</v>
      </c>
      <c r="E64" s="9">
        <f t="shared" si="25"/>
        <v>-1</v>
      </c>
      <c r="F64" s="9">
        <f t="shared" si="25"/>
        <v>-1</v>
      </c>
      <c r="G64" s="9">
        <f t="shared" si="25"/>
        <v>-2</v>
      </c>
      <c r="H64" s="9">
        <f t="shared" si="25"/>
        <v>-2</v>
      </c>
      <c r="I64" s="9">
        <f t="shared" si="25"/>
        <v>-3</v>
      </c>
      <c r="J64" s="10">
        <f t="shared" si="25"/>
        <v>-2</v>
      </c>
      <c r="K64" s="14" t="str">
        <f>IF(ISNUMBER(J64),IF(F64&gt;4,"Wins " &amp; F64 &amp; " &amp; 4",IF(G64&gt;3,"Wins " &amp; G64 &amp; " &amp; 3",IF(H64&gt;2,"Wins " &amp; H64 &amp; " &amp; 2",IF(I64&gt;1,"Wins " &amp; I64 &amp; " &amp; 1",IF(J64&gt;J58,"Wins " &amp; J64 &amp; " Up",IF(J64&lt;J58,"Loss","Tie"))))))," ")</f>
        <v>Loss</v>
      </c>
      <c r="N64" s="15"/>
      <c r="O64" s="15"/>
      <c r="P64" s="59"/>
      <c r="Q64" s="59"/>
      <c r="R64" s="59"/>
      <c r="S64" s="59"/>
      <c r="T64" s="59"/>
      <c r="W64" s="15"/>
      <c r="X64" s="15"/>
      <c r="Y64" s="15"/>
      <c r="Z64" s="15"/>
      <c r="AA64" s="15"/>
    </row>
    <row r="65" spans="1:27" s="16" customFormat="1" x14ac:dyDescent="0.2">
      <c r="A65" s="25"/>
      <c r="B65" s="15"/>
      <c r="C65" s="15"/>
      <c r="D65" s="15"/>
      <c r="E65" s="15"/>
      <c r="F65" s="15"/>
      <c r="G65" s="15"/>
      <c r="H65" s="15"/>
      <c r="I65" s="15"/>
      <c r="J65" s="15"/>
      <c r="K65" s="15"/>
      <c r="N65" s="15"/>
      <c r="O65" s="15"/>
      <c r="P65" s="59"/>
      <c r="Q65" s="59"/>
      <c r="R65" s="59"/>
      <c r="S65" s="59"/>
      <c r="T65" s="59"/>
      <c r="W65" s="15"/>
      <c r="X65" s="15"/>
      <c r="Y65" s="15"/>
      <c r="Z65" s="15"/>
      <c r="AA65" s="15"/>
    </row>
    <row r="66" spans="1:27" s="16" customFormat="1" ht="13.5" thickBot="1" x14ac:dyDescent="0.25">
      <c r="A66" s="24" t="s">
        <v>10</v>
      </c>
      <c r="B66" s="2"/>
      <c r="C66" s="2"/>
      <c r="D66" s="2"/>
      <c r="E66" s="2"/>
      <c r="F66" s="2"/>
      <c r="G66" s="2"/>
      <c r="H66" s="2"/>
      <c r="I66" s="2"/>
      <c r="J66" s="2"/>
      <c r="K66" s="2"/>
      <c r="N66" s="15"/>
      <c r="O66" s="15"/>
      <c r="P66" s="59"/>
      <c r="Q66" s="59"/>
      <c r="R66" s="59"/>
      <c r="S66" s="59"/>
      <c r="T66" s="59"/>
      <c r="W66" s="15"/>
      <c r="X66" s="15"/>
      <c r="Y66" s="15"/>
      <c r="Z66" s="15"/>
      <c r="AA66" s="15"/>
    </row>
    <row r="67" spans="1:27" s="16" customFormat="1" x14ac:dyDescent="0.2">
      <c r="A67" s="79" t="str">
        <f t="shared" ref="A67:J67" si="26">A14</f>
        <v>Rick</v>
      </c>
      <c r="B67" s="17">
        <f t="shared" si="26"/>
        <v>6</v>
      </c>
      <c r="C67" s="3">
        <f t="shared" si="26"/>
        <v>7</v>
      </c>
      <c r="D67" s="3">
        <f t="shared" si="26"/>
        <v>6</v>
      </c>
      <c r="E67" s="3">
        <f t="shared" si="26"/>
        <v>3</v>
      </c>
      <c r="F67" s="3">
        <f t="shared" si="26"/>
        <v>6</v>
      </c>
      <c r="G67" s="3">
        <f t="shared" si="26"/>
        <v>3</v>
      </c>
      <c r="H67" s="3">
        <f t="shared" si="26"/>
        <v>4</v>
      </c>
      <c r="I67" s="3">
        <f t="shared" si="26"/>
        <v>5</v>
      </c>
      <c r="J67" s="4">
        <f t="shared" si="26"/>
        <v>4</v>
      </c>
      <c r="K67" s="12">
        <f>SUM(B67:J67)</f>
        <v>44</v>
      </c>
      <c r="N67" s="15"/>
      <c r="O67" s="15"/>
      <c r="P67" s="59"/>
      <c r="Q67" s="59"/>
      <c r="R67" s="59"/>
      <c r="S67" s="59"/>
      <c r="T67" s="59"/>
      <c r="W67" s="15"/>
      <c r="X67" s="15"/>
      <c r="Y67" s="15"/>
      <c r="Z67" s="15"/>
      <c r="AA67" s="15"/>
    </row>
    <row r="68" spans="1:27" s="16" customFormat="1" x14ac:dyDescent="0.2">
      <c r="A68" s="80">
        <f>A15</f>
        <v>7</v>
      </c>
      <c r="B68" s="18">
        <f>IF(AND(ISNUMBER($A68),ISNUMBER($A74)),IF((RANK(B$4,$B$4:$J$4,1))&lt;=($A68-$A74),1,0),"")</f>
        <v>0</v>
      </c>
      <c r="C68" s="6">
        <f t="shared" ref="C68:J68" si="27">IF(AND(ISNUMBER($A68),ISNUMBER($A74)),IF((RANK(C$4,$B$4:$J$4,1))&lt;=($A68-$A74),1,0),"")</f>
        <v>0</v>
      </c>
      <c r="D68" s="6">
        <f t="shared" si="27"/>
        <v>0</v>
      </c>
      <c r="E68" s="6">
        <f t="shared" si="27"/>
        <v>0</v>
      </c>
      <c r="F68" s="6">
        <f t="shared" si="27"/>
        <v>0</v>
      </c>
      <c r="G68" s="6">
        <f t="shared" si="27"/>
        <v>0</v>
      </c>
      <c r="H68" s="6">
        <f t="shared" si="27"/>
        <v>0</v>
      </c>
      <c r="I68" s="6">
        <f t="shared" si="27"/>
        <v>0</v>
      </c>
      <c r="J68" s="7">
        <f t="shared" si="27"/>
        <v>0</v>
      </c>
      <c r="K68" s="13">
        <f>SUM(B68:J68)</f>
        <v>0</v>
      </c>
      <c r="N68" s="15"/>
      <c r="O68" s="15"/>
      <c r="P68" s="59"/>
      <c r="Q68" s="59"/>
      <c r="R68" s="59"/>
      <c r="S68" s="59"/>
      <c r="T68" s="59"/>
      <c r="W68" s="15"/>
      <c r="X68" s="15"/>
      <c r="Y68" s="15"/>
      <c r="Z68" s="15"/>
      <c r="AA68" s="15"/>
    </row>
    <row r="69" spans="1:27" s="16" customFormat="1" x14ac:dyDescent="0.2">
      <c r="A69" s="80">
        <f>IF((A68-A74)&gt;9,(A68-A74-9),0)</f>
        <v>0</v>
      </c>
      <c r="B69" s="18">
        <f>IF(AND(ISNUMBER($A69),ISNUMBER($A75)),IF((RANK(B$4,$B$4:$J$4,1))&lt;=($A69-$A75),1,0),"")</f>
        <v>0</v>
      </c>
      <c r="C69" s="6">
        <f t="shared" ref="C69:J69" si="28">IF(AND(ISNUMBER($A69),ISNUMBER($A75)),IF((RANK(C$4,$B$4:$J$4,1))&lt;=($A69-$A75),1,0),"")</f>
        <v>0</v>
      </c>
      <c r="D69" s="6">
        <f t="shared" si="28"/>
        <v>0</v>
      </c>
      <c r="E69" s="6">
        <f t="shared" si="28"/>
        <v>0</v>
      </c>
      <c r="F69" s="6">
        <f t="shared" si="28"/>
        <v>0</v>
      </c>
      <c r="G69" s="6">
        <f t="shared" si="28"/>
        <v>0</v>
      </c>
      <c r="H69" s="6">
        <f t="shared" si="28"/>
        <v>0</v>
      </c>
      <c r="I69" s="6">
        <f t="shared" si="28"/>
        <v>0</v>
      </c>
      <c r="J69" s="7">
        <f t="shared" si="28"/>
        <v>0</v>
      </c>
      <c r="K69" s="13">
        <f>SUM(B69:J69)</f>
        <v>0</v>
      </c>
      <c r="N69" s="15"/>
      <c r="O69" s="15"/>
      <c r="P69" s="59"/>
      <c r="Q69" s="59"/>
      <c r="R69" s="59"/>
      <c r="S69" s="59"/>
      <c r="T69" s="59"/>
      <c r="W69" s="15"/>
      <c r="X69" s="15"/>
      <c r="Y69" s="15"/>
      <c r="Z69" s="15"/>
      <c r="AA69" s="15"/>
    </row>
    <row r="70" spans="1:27" s="16" customFormat="1" x14ac:dyDescent="0.2">
      <c r="A70" s="80"/>
      <c r="B70" s="82">
        <f t="shared" ref="B70:J70" si="29">IF(AND(ISNUMBER(B67),ISNUMBER(B68)),B67-B68-B69," ")</f>
        <v>6</v>
      </c>
      <c r="C70" s="83">
        <f t="shared" si="29"/>
        <v>7</v>
      </c>
      <c r="D70" s="83">
        <f t="shared" si="29"/>
        <v>6</v>
      </c>
      <c r="E70" s="83">
        <f t="shared" si="29"/>
        <v>3</v>
      </c>
      <c r="F70" s="83">
        <f t="shared" si="29"/>
        <v>6</v>
      </c>
      <c r="G70" s="83">
        <f t="shared" si="29"/>
        <v>3</v>
      </c>
      <c r="H70" s="83">
        <f t="shared" si="29"/>
        <v>4</v>
      </c>
      <c r="I70" s="83">
        <f t="shared" si="29"/>
        <v>5</v>
      </c>
      <c r="J70" s="84">
        <f t="shared" si="29"/>
        <v>4</v>
      </c>
      <c r="K70" s="13">
        <f>IF(ISNUMBER(FIND("Wins",K71)), 2, IF(ISNUMBER(FIND("Tie",K71)), 1, 0))</f>
        <v>2</v>
      </c>
      <c r="N70" s="15"/>
      <c r="O70" s="15"/>
      <c r="P70" s="59"/>
      <c r="Q70" s="59"/>
      <c r="R70" s="59"/>
      <c r="S70" s="59"/>
      <c r="T70" s="59"/>
      <c r="W70" s="15"/>
      <c r="X70" s="15"/>
      <c r="Y70" s="15"/>
      <c r="Z70" s="15"/>
      <c r="AA70" s="15"/>
    </row>
    <row r="71" spans="1:27" s="16" customFormat="1" ht="13.5" thickBot="1" x14ac:dyDescent="0.25">
      <c r="A71" s="81"/>
      <c r="B71" s="19">
        <f>IF(AND(ISNUMBER(B70),ISNUMBER(B76)),IF(B70&lt;B76, 0+1, (IF(B70&gt;B76, 0-1, 0)))," ")</f>
        <v>1</v>
      </c>
      <c r="C71" s="9">
        <f t="shared" ref="C71:J71" si="30">IF(AND(ISNUMBER(C70),ISNUMBER(C76)),IF(C70&lt;C76, +B71+1, (IF(C70&gt;C76, +B71-1, +B71)))," ")</f>
        <v>0</v>
      </c>
      <c r="D71" s="9">
        <f t="shared" si="30"/>
        <v>0</v>
      </c>
      <c r="E71" s="9">
        <f t="shared" si="30"/>
        <v>0</v>
      </c>
      <c r="F71" s="9">
        <f t="shared" si="30"/>
        <v>-1</v>
      </c>
      <c r="G71" s="9">
        <f t="shared" si="30"/>
        <v>-1</v>
      </c>
      <c r="H71" s="9">
        <f t="shared" si="30"/>
        <v>0</v>
      </c>
      <c r="I71" s="9">
        <f t="shared" si="30"/>
        <v>1</v>
      </c>
      <c r="J71" s="10">
        <f t="shared" si="30"/>
        <v>2</v>
      </c>
      <c r="K71" s="14" t="str">
        <f>IF(ISNUMBER(J71),IF(F71&gt;4,"Wins " &amp; F71 &amp; " &amp; 4",IF(G71&gt;3,"Wins " &amp; G71 &amp; " &amp; 3",IF(H71&gt;2,"Wins " &amp; H71 &amp; " &amp; 2",IF(I71&gt;1,"Wins " &amp; I71 &amp; " &amp; 1",IF(J71&gt;J77,"Wins " &amp; J71 &amp; " Up",IF(J71&lt;J77,"Loss","Tie"))))))," ")</f>
        <v>Wins 2 Up</v>
      </c>
      <c r="N71" s="15"/>
      <c r="O71" s="15"/>
      <c r="P71" s="59"/>
      <c r="Q71" s="59"/>
      <c r="R71" s="59"/>
      <c r="S71" s="59"/>
      <c r="T71" s="59"/>
      <c r="W71" s="15"/>
      <c r="X71" s="15"/>
      <c r="Y71" s="15"/>
      <c r="Z71" s="15"/>
      <c r="AA71" s="15"/>
    </row>
    <row r="72" spans="1:27" s="16" customFormat="1" ht="13.5" thickBot="1" x14ac:dyDescent="0.25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N72" s="15"/>
      <c r="O72" s="15"/>
      <c r="P72" s="59"/>
      <c r="Q72" s="59"/>
      <c r="R72" s="59"/>
      <c r="S72" s="59"/>
      <c r="T72" s="59"/>
      <c r="W72" s="15"/>
      <c r="X72" s="15"/>
      <c r="Y72" s="15"/>
      <c r="Z72" s="15"/>
      <c r="AA72" s="15"/>
    </row>
    <row r="73" spans="1:27" s="16" customFormat="1" x14ac:dyDescent="0.2">
      <c r="A73" s="29" t="str">
        <f t="shared" ref="A73:J73" si="31">A18</f>
        <v>Tony W</v>
      </c>
      <c r="B73" s="17">
        <f t="shared" si="31"/>
        <v>8</v>
      </c>
      <c r="C73" s="3">
        <f t="shared" si="31"/>
        <v>6</v>
      </c>
      <c r="D73" s="3">
        <f t="shared" si="31"/>
        <v>6</v>
      </c>
      <c r="E73" s="3">
        <f t="shared" si="31"/>
        <v>3</v>
      </c>
      <c r="F73" s="3">
        <f t="shared" si="31"/>
        <v>6</v>
      </c>
      <c r="G73" s="3">
        <f t="shared" si="31"/>
        <v>3</v>
      </c>
      <c r="H73" s="3">
        <f t="shared" si="31"/>
        <v>5</v>
      </c>
      <c r="I73" s="3">
        <f t="shared" si="31"/>
        <v>7</v>
      </c>
      <c r="J73" s="4">
        <f t="shared" si="31"/>
        <v>8</v>
      </c>
      <c r="K73" s="12">
        <f>SUM(B73:J73)</f>
        <v>52</v>
      </c>
      <c r="N73" s="15"/>
      <c r="O73" s="15"/>
      <c r="P73" s="59"/>
      <c r="Q73" s="59"/>
      <c r="R73" s="59"/>
      <c r="S73" s="59"/>
      <c r="T73" s="59"/>
      <c r="W73" s="15"/>
      <c r="X73" s="15"/>
      <c r="Y73" s="15"/>
      <c r="Z73" s="15"/>
      <c r="AA73" s="15"/>
    </row>
    <row r="74" spans="1:27" s="16" customFormat="1" x14ac:dyDescent="0.2">
      <c r="A74" s="30">
        <f>A19</f>
        <v>10</v>
      </c>
      <c r="B74" s="18">
        <f>IF(AND(ISNUMBER($A68),ISNUMBER($A74)),IF((RANK(B$4,$B$4:$J$4,1))&lt;=($A74-$A68),1,0),"")</f>
        <v>0</v>
      </c>
      <c r="C74" s="6">
        <f t="shared" ref="C74:J74" si="32">IF(AND(ISNUMBER($A68),ISNUMBER($A74)),IF((RANK(C$4,$B$4:$J$4,1))&lt;=($A74-$A68),1,0),"")</f>
        <v>1</v>
      </c>
      <c r="D74" s="6">
        <f t="shared" si="32"/>
        <v>0</v>
      </c>
      <c r="E74" s="6">
        <f t="shared" si="32"/>
        <v>0</v>
      </c>
      <c r="F74" s="6">
        <f t="shared" si="32"/>
        <v>1</v>
      </c>
      <c r="G74" s="6">
        <f t="shared" si="32"/>
        <v>0</v>
      </c>
      <c r="H74" s="6">
        <f t="shared" si="32"/>
        <v>0</v>
      </c>
      <c r="I74" s="6">
        <f t="shared" si="32"/>
        <v>1</v>
      </c>
      <c r="J74" s="7">
        <f t="shared" si="32"/>
        <v>0</v>
      </c>
      <c r="K74" s="13">
        <f>SUM(B74:J74)</f>
        <v>3</v>
      </c>
      <c r="N74" s="15"/>
      <c r="O74" s="15"/>
      <c r="P74" s="59"/>
      <c r="Q74" s="59"/>
      <c r="R74" s="59"/>
      <c r="S74" s="59"/>
      <c r="T74" s="59"/>
      <c r="W74" s="15"/>
      <c r="X74" s="15"/>
      <c r="Y74" s="15"/>
      <c r="Z74" s="15"/>
      <c r="AA74" s="15"/>
    </row>
    <row r="75" spans="1:27" s="16" customFormat="1" x14ac:dyDescent="0.2">
      <c r="A75" s="30">
        <f>IF((A74-A68)&gt;9,(A74-A68-9),0)</f>
        <v>0</v>
      </c>
      <c r="B75" s="18">
        <f>IF(AND(ISNUMBER($A69),ISNUMBER($A75)),IF((RANK(B$4,$B$4:$J$4,1))&lt;=($A75-$A69),1,0),"")</f>
        <v>0</v>
      </c>
      <c r="C75" s="6">
        <f t="shared" ref="C75:J75" si="33">IF(AND(ISNUMBER($A69),ISNUMBER($A75)),IF((RANK(C$4,$B$4:$J$4,1))&lt;=($A75-$A69),1,0),"")</f>
        <v>0</v>
      </c>
      <c r="D75" s="6">
        <f t="shared" si="33"/>
        <v>0</v>
      </c>
      <c r="E75" s="6">
        <f t="shared" si="33"/>
        <v>0</v>
      </c>
      <c r="F75" s="6">
        <f t="shared" si="33"/>
        <v>0</v>
      </c>
      <c r="G75" s="6">
        <f t="shared" si="33"/>
        <v>0</v>
      </c>
      <c r="H75" s="6">
        <f t="shared" si="33"/>
        <v>0</v>
      </c>
      <c r="I75" s="6">
        <f t="shared" si="33"/>
        <v>0</v>
      </c>
      <c r="J75" s="7">
        <f t="shared" si="33"/>
        <v>0</v>
      </c>
      <c r="K75" s="13">
        <f>SUM(B75:J75)</f>
        <v>0</v>
      </c>
      <c r="N75" s="15"/>
      <c r="O75" s="15"/>
      <c r="P75" s="59"/>
      <c r="Q75" s="59"/>
      <c r="R75" s="59"/>
      <c r="S75" s="59"/>
      <c r="T75" s="59"/>
      <c r="W75" s="15"/>
      <c r="X75" s="15"/>
      <c r="Y75" s="15"/>
      <c r="Z75" s="15"/>
      <c r="AA75" s="15"/>
    </row>
    <row r="76" spans="1:27" s="16" customFormat="1" x14ac:dyDescent="0.2">
      <c r="A76" s="30"/>
      <c r="B76" s="82">
        <f t="shared" ref="B76:J76" si="34">IF(AND(ISNUMBER(B73),ISNUMBER(B74)),B73-B74-B75," ")</f>
        <v>8</v>
      </c>
      <c r="C76" s="83">
        <f t="shared" si="34"/>
        <v>5</v>
      </c>
      <c r="D76" s="83">
        <f t="shared" si="34"/>
        <v>6</v>
      </c>
      <c r="E76" s="83">
        <f t="shared" si="34"/>
        <v>3</v>
      </c>
      <c r="F76" s="83">
        <f t="shared" si="34"/>
        <v>5</v>
      </c>
      <c r="G76" s="83">
        <f t="shared" si="34"/>
        <v>3</v>
      </c>
      <c r="H76" s="83">
        <f t="shared" si="34"/>
        <v>5</v>
      </c>
      <c r="I76" s="83">
        <f t="shared" si="34"/>
        <v>6</v>
      </c>
      <c r="J76" s="84">
        <f t="shared" si="34"/>
        <v>8</v>
      </c>
      <c r="K76" s="13">
        <f>IF(ISNUMBER(FIND("Wins",K77)), 2, IF(ISNUMBER(FIND("Tie",K77)), 1, 0))</f>
        <v>0</v>
      </c>
      <c r="N76" s="15"/>
      <c r="O76" s="15"/>
      <c r="P76" s="59"/>
      <c r="Q76" s="59"/>
      <c r="R76" s="59"/>
      <c r="S76" s="59"/>
      <c r="T76" s="59"/>
      <c r="W76" s="15"/>
      <c r="X76" s="15"/>
      <c r="Y76" s="15"/>
      <c r="Z76" s="15"/>
      <c r="AA76" s="15"/>
    </row>
    <row r="77" spans="1:27" s="16" customFormat="1" ht="13.5" thickBot="1" x14ac:dyDescent="0.25">
      <c r="A77" s="31"/>
      <c r="B77" s="19">
        <f>IF(AND(ISNUMBER(B70),ISNUMBER(B76)),IF(B76&lt;B70, 0+1, (IF(B76&gt;B70, 0-1, 0)))," ")</f>
        <v>-1</v>
      </c>
      <c r="C77" s="9">
        <f t="shared" ref="C77:J77" si="35">IF(AND(ISNUMBER(C70),ISNUMBER(C76)),IF(C76&lt;C70, +B77+1, (IF(C76&gt;C70, +B77-1, +B77)))," ")</f>
        <v>0</v>
      </c>
      <c r="D77" s="9">
        <f t="shared" si="35"/>
        <v>0</v>
      </c>
      <c r="E77" s="9">
        <f t="shared" si="35"/>
        <v>0</v>
      </c>
      <c r="F77" s="9">
        <f t="shared" si="35"/>
        <v>1</v>
      </c>
      <c r="G77" s="9">
        <f t="shared" si="35"/>
        <v>1</v>
      </c>
      <c r="H77" s="9">
        <f t="shared" si="35"/>
        <v>0</v>
      </c>
      <c r="I77" s="9">
        <f t="shared" si="35"/>
        <v>-1</v>
      </c>
      <c r="J77" s="10">
        <f t="shared" si="35"/>
        <v>-2</v>
      </c>
      <c r="K77" s="14" t="str">
        <f>IF(ISNUMBER(J77),IF(F77&gt;4,"Wins " &amp; F77 &amp; " &amp; 4",IF(G77&gt;3,"Wins " &amp; G77 &amp; " &amp; 3",IF(H77&gt;2,"Wins " &amp; H77 &amp; " &amp; 2",IF(I77&gt;1,"Wins " &amp; I77 &amp; " &amp; 1",IF(J77&gt;J71,"Wins " &amp; J77 &amp; " Up",IF(J77&lt;J71,"Loss","Tie"))))))," ")</f>
        <v>Loss</v>
      </c>
      <c r="N77" s="15"/>
      <c r="O77" s="15"/>
      <c r="P77" s="59"/>
      <c r="Q77" s="59"/>
      <c r="R77" s="59"/>
      <c r="S77" s="59"/>
      <c r="T77" s="59"/>
      <c r="W77" s="15"/>
      <c r="X77" s="15"/>
      <c r="Y77" s="15"/>
      <c r="Z77" s="15"/>
      <c r="AA77" s="15"/>
    </row>
    <row r="78" spans="1:27" s="16" customFormat="1" x14ac:dyDescent="0.2">
      <c r="A78" s="26"/>
      <c r="B78" s="15"/>
      <c r="C78" s="15"/>
      <c r="D78" s="15"/>
      <c r="E78" s="15"/>
      <c r="F78" s="15"/>
      <c r="G78" s="15"/>
      <c r="H78" s="15"/>
      <c r="I78" s="15"/>
      <c r="J78" s="15"/>
      <c r="K78" s="15"/>
      <c r="N78" s="15"/>
      <c r="O78" s="15"/>
      <c r="P78" s="59"/>
      <c r="Q78" s="59"/>
      <c r="R78" s="59"/>
      <c r="S78" s="59"/>
      <c r="T78" s="59"/>
      <c r="W78" s="15"/>
      <c r="X78" s="15"/>
      <c r="Y78" s="15"/>
      <c r="Z78" s="15"/>
      <c r="AA78" s="15"/>
    </row>
    <row r="79" spans="1:27" s="16" customFormat="1" ht="13.5" thickBot="1" x14ac:dyDescent="0.25">
      <c r="A79" s="24" t="s">
        <v>11</v>
      </c>
      <c r="B79" s="2"/>
      <c r="C79" s="2"/>
      <c r="D79" s="2"/>
      <c r="E79" s="2"/>
      <c r="F79" s="2"/>
      <c r="G79" s="2"/>
      <c r="H79" s="2"/>
      <c r="I79" s="2"/>
      <c r="J79" s="2"/>
      <c r="K79" s="2"/>
      <c r="N79" s="15"/>
      <c r="O79" s="15"/>
      <c r="P79" s="59"/>
      <c r="Q79" s="59"/>
      <c r="R79" s="59"/>
      <c r="S79" s="59"/>
      <c r="T79" s="59"/>
      <c r="W79" s="15"/>
      <c r="X79" s="15"/>
      <c r="Y79" s="15"/>
      <c r="Z79" s="15"/>
      <c r="AA79" s="15"/>
    </row>
    <row r="80" spans="1:27" s="16" customFormat="1" x14ac:dyDescent="0.2">
      <c r="A80" s="29" t="str">
        <f t="shared" ref="A80:J80" si="36">A16</f>
        <v>Keith</v>
      </c>
      <c r="B80" s="17">
        <f t="shared" si="36"/>
        <v>7</v>
      </c>
      <c r="C80" s="3">
        <f t="shared" si="36"/>
        <v>7</v>
      </c>
      <c r="D80" s="3">
        <f t="shared" si="36"/>
        <v>8</v>
      </c>
      <c r="E80" s="3">
        <f t="shared" si="36"/>
        <v>5</v>
      </c>
      <c r="F80" s="3">
        <f t="shared" si="36"/>
        <v>7</v>
      </c>
      <c r="G80" s="3">
        <f t="shared" si="36"/>
        <v>3</v>
      </c>
      <c r="H80" s="3">
        <f t="shared" si="36"/>
        <v>5</v>
      </c>
      <c r="I80" s="3">
        <f t="shared" si="36"/>
        <v>6</v>
      </c>
      <c r="J80" s="4">
        <f t="shared" si="36"/>
        <v>7</v>
      </c>
      <c r="K80" s="12">
        <f>SUM(B80:J80)</f>
        <v>55</v>
      </c>
      <c r="N80" s="15"/>
      <c r="O80" s="15"/>
      <c r="P80" s="59"/>
      <c r="Q80" s="59"/>
      <c r="R80" s="59"/>
      <c r="S80" s="59"/>
      <c r="T80" s="59"/>
      <c r="W80" s="15"/>
      <c r="X80" s="15"/>
      <c r="Y80" s="15"/>
      <c r="Z80" s="15"/>
      <c r="AA80" s="15"/>
    </row>
    <row r="81" spans="1:27" s="16" customFormat="1" x14ac:dyDescent="0.2">
      <c r="A81" s="30">
        <f>A17</f>
        <v>16</v>
      </c>
      <c r="B81" s="18">
        <f>IF(AND(ISNUMBER($A81),ISNUMBER($A87)),IF((RANK(B$4,$B$4:$J$4,1))&lt;=($A81-$A87),1,0),"")</f>
        <v>0</v>
      </c>
      <c r="C81" s="6">
        <f t="shared" ref="C81:J81" si="37">IF(AND(ISNUMBER($A81),ISNUMBER($A87)),IF((RANK(C$4,$B$4:$J$4,1))&lt;=($A81-$A87),1,0),"")</f>
        <v>1</v>
      </c>
      <c r="D81" s="6">
        <f t="shared" si="37"/>
        <v>0</v>
      </c>
      <c r="E81" s="6">
        <f t="shared" si="37"/>
        <v>0</v>
      </c>
      <c r="F81" s="6">
        <f t="shared" si="37"/>
        <v>1</v>
      </c>
      <c r="G81" s="6">
        <f t="shared" si="37"/>
        <v>0</v>
      </c>
      <c r="H81" s="6">
        <f t="shared" si="37"/>
        <v>0</v>
      </c>
      <c r="I81" s="6">
        <f t="shared" si="37"/>
        <v>0</v>
      </c>
      <c r="J81" s="7">
        <f t="shared" si="37"/>
        <v>0</v>
      </c>
      <c r="K81" s="13">
        <f>SUM(B81:J81)</f>
        <v>2</v>
      </c>
      <c r="N81" s="15"/>
      <c r="O81" s="15"/>
      <c r="P81" s="59"/>
      <c r="Q81" s="59"/>
      <c r="R81" s="59"/>
      <c r="S81" s="59"/>
      <c r="T81" s="59"/>
      <c r="W81" s="15"/>
      <c r="X81" s="15"/>
      <c r="Y81" s="15"/>
      <c r="Z81" s="15"/>
      <c r="AA81" s="15"/>
    </row>
    <row r="82" spans="1:27" s="16" customFormat="1" x14ac:dyDescent="0.2">
      <c r="A82" s="30">
        <f>IF((A81-A87)&gt;9,(A81-A87-9),0)</f>
        <v>0</v>
      </c>
      <c r="B82" s="18">
        <f>IF(AND(ISNUMBER($A82),ISNUMBER($A88)),IF((RANK(B$4,$B$4:$J$4,1))&lt;=($A82-$A88),1,0),"")</f>
        <v>0</v>
      </c>
      <c r="C82" s="6">
        <f t="shared" ref="C82:J82" si="38">IF(AND(ISNUMBER($A82),ISNUMBER($A88)),IF((RANK(C$4,$B$4:$J$4,1))&lt;=($A82-$A88),1,0),"")</f>
        <v>0</v>
      </c>
      <c r="D82" s="6">
        <f t="shared" si="38"/>
        <v>0</v>
      </c>
      <c r="E82" s="6">
        <f t="shared" si="38"/>
        <v>0</v>
      </c>
      <c r="F82" s="6">
        <f t="shared" si="38"/>
        <v>0</v>
      </c>
      <c r="G82" s="6">
        <f t="shared" si="38"/>
        <v>0</v>
      </c>
      <c r="H82" s="6">
        <f t="shared" si="38"/>
        <v>0</v>
      </c>
      <c r="I82" s="6">
        <f t="shared" si="38"/>
        <v>0</v>
      </c>
      <c r="J82" s="7">
        <f t="shared" si="38"/>
        <v>0</v>
      </c>
      <c r="K82" s="13">
        <f>SUM(B82:J82)</f>
        <v>0</v>
      </c>
      <c r="N82" s="15"/>
      <c r="O82" s="15"/>
      <c r="P82" s="59"/>
      <c r="Q82" s="59"/>
      <c r="R82" s="59"/>
      <c r="S82" s="59"/>
      <c r="T82" s="59"/>
      <c r="W82" s="15"/>
      <c r="X82" s="15"/>
      <c r="Y82" s="15"/>
      <c r="Z82" s="15"/>
      <c r="AA82" s="15"/>
    </row>
    <row r="83" spans="1:27" s="16" customFormat="1" x14ac:dyDescent="0.2">
      <c r="A83" s="30"/>
      <c r="B83" s="82">
        <f t="shared" ref="B83:J83" si="39">IF(AND(ISNUMBER(B80),ISNUMBER(B81)),B80-B81-B82," ")</f>
        <v>7</v>
      </c>
      <c r="C83" s="83">
        <f t="shared" si="39"/>
        <v>6</v>
      </c>
      <c r="D83" s="83">
        <f t="shared" si="39"/>
        <v>8</v>
      </c>
      <c r="E83" s="83">
        <f t="shared" si="39"/>
        <v>5</v>
      </c>
      <c r="F83" s="83">
        <f t="shared" si="39"/>
        <v>6</v>
      </c>
      <c r="G83" s="83">
        <f t="shared" si="39"/>
        <v>3</v>
      </c>
      <c r="H83" s="83">
        <f t="shared" si="39"/>
        <v>5</v>
      </c>
      <c r="I83" s="83">
        <f t="shared" si="39"/>
        <v>6</v>
      </c>
      <c r="J83" s="84">
        <f t="shared" si="39"/>
        <v>7</v>
      </c>
      <c r="K83" s="13">
        <f>IF(ISNUMBER(FIND("Wins",K84)), 2, IF(ISNUMBER(FIND("Tie",K84)), 1, 0))</f>
        <v>2</v>
      </c>
      <c r="N83" s="15"/>
      <c r="O83" s="15"/>
      <c r="P83" s="59"/>
      <c r="Q83" s="59"/>
      <c r="R83" s="59"/>
      <c r="S83" s="59"/>
      <c r="T83" s="59"/>
      <c r="W83" s="15"/>
      <c r="X83" s="15"/>
      <c r="Y83" s="15"/>
      <c r="Z83" s="15"/>
      <c r="AA83" s="15"/>
    </row>
    <row r="84" spans="1:27" s="16" customFormat="1" ht="13.5" thickBot="1" x14ac:dyDescent="0.25">
      <c r="A84" s="31"/>
      <c r="B84" s="19">
        <f>IF(AND(ISNUMBER(B83),ISNUMBER(B89)),IF(B83&lt;B89, 0+1, (IF(B83&gt;B89, 0-1, 0)))," ")</f>
        <v>1</v>
      </c>
      <c r="C84" s="9">
        <f t="shared" ref="C84:J84" si="40">IF(AND(ISNUMBER(C83),ISNUMBER(C89)),IF(C83&lt;C89, +B84+1, (IF(C83&gt;C89, +B84-1, +B84)))," ")</f>
        <v>2</v>
      </c>
      <c r="D84" s="9">
        <f t="shared" si="40"/>
        <v>3</v>
      </c>
      <c r="E84" s="9">
        <f t="shared" si="40"/>
        <v>2</v>
      </c>
      <c r="F84" s="9">
        <f t="shared" si="40"/>
        <v>1</v>
      </c>
      <c r="G84" s="9">
        <f t="shared" si="40"/>
        <v>2</v>
      </c>
      <c r="H84" s="9">
        <f t="shared" si="40"/>
        <v>1</v>
      </c>
      <c r="I84" s="9">
        <f t="shared" si="40"/>
        <v>2</v>
      </c>
      <c r="J84" s="10">
        <f t="shared" si="40"/>
        <v>3</v>
      </c>
      <c r="K84" s="14" t="str">
        <f>IF(ISNUMBER(J84),IF(F84&gt;4,"Wins " &amp; F84 &amp; " &amp; 4",IF(G84&gt;3,"Wins " &amp; G84 &amp; " &amp; 3",IF(H84&gt;2,"Wins " &amp; H84 &amp; " &amp; 2",IF(I84&gt;1,"Wins " &amp; I84 &amp; " &amp; 1",IF(J84&gt;J90,"Wins " &amp; J84 &amp; " Up",IF(J84&lt;J90,"Loss","Tie"))))))," ")</f>
        <v>Wins 2 &amp; 1</v>
      </c>
      <c r="N84" s="15"/>
      <c r="O84" s="15"/>
      <c r="P84" s="59"/>
      <c r="Q84" s="59"/>
      <c r="R84" s="59"/>
      <c r="S84" s="59"/>
      <c r="T84" s="59"/>
      <c r="W84" s="15"/>
      <c r="X84" s="15"/>
      <c r="Y84" s="15"/>
      <c r="Z84" s="15"/>
      <c r="AA84" s="15"/>
    </row>
    <row r="85" spans="1:27" s="16" customFormat="1" ht="13.5" thickBot="1" x14ac:dyDescent="0.2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N85" s="15"/>
      <c r="O85" s="15"/>
      <c r="P85" s="59"/>
      <c r="Q85" s="59"/>
      <c r="R85" s="59"/>
      <c r="S85" s="59"/>
      <c r="T85" s="59"/>
      <c r="W85" s="15"/>
      <c r="X85" s="15"/>
      <c r="Y85" s="15"/>
      <c r="Z85" s="15"/>
      <c r="AA85" s="15"/>
    </row>
    <row r="86" spans="1:27" s="16" customFormat="1" x14ac:dyDescent="0.2">
      <c r="A86" s="29" t="str">
        <f t="shared" ref="A86:J86" si="41">A20</f>
        <v>Manny</v>
      </c>
      <c r="B86" s="17">
        <f t="shared" si="41"/>
        <v>10</v>
      </c>
      <c r="C86" s="3">
        <f t="shared" si="41"/>
        <v>9</v>
      </c>
      <c r="D86" s="3">
        <f t="shared" si="41"/>
        <v>9</v>
      </c>
      <c r="E86" s="3">
        <f t="shared" si="41"/>
        <v>4</v>
      </c>
      <c r="F86" s="3">
        <f t="shared" si="41"/>
        <v>5</v>
      </c>
      <c r="G86" s="3">
        <f t="shared" si="41"/>
        <v>8</v>
      </c>
      <c r="H86" s="3">
        <f t="shared" si="41"/>
        <v>4</v>
      </c>
      <c r="I86" s="3">
        <f t="shared" si="41"/>
        <v>9</v>
      </c>
      <c r="J86" s="4">
        <f t="shared" si="41"/>
        <v>9</v>
      </c>
      <c r="K86" s="12">
        <f>SUM(B86:J86)</f>
        <v>67</v>
      </c>
      <c r="N86" s="15"/>
      <c r="O86" s="15"/>
      <c r="P86" s="59"/>
      <c r="Q86" s="59"/>
      <c r="R86" s="59"/>
      <c r="S86" s="59"/>
      <c r="T86" s="59"/>
      <c r="W86" s="15"/>
      <c r="X86" s="15"/>
      <c r="Y86" s="15"/>
      <c r="Z86" s="15"/>
      <c r="AA86" s="15"/>
    </row>
    <row r="87" spans="1:27" s="16" customFormat="1" x14ac:dyDescent="0.2">
      <c r="A87" s="30">
        <f>A21</f>
        <v>14</v>
      </c>
      <c r="B87" s="18">
        <f>IF(AND(ISNUMBER($A81),ISNUMBER($A87)),IF((RANK(B$4,$B$4:$J$4,1))&lt;=($A87-$A81),1,0),"")</f>
        <v>0</v>
      </c>
      <c r="C87" s="6">
        <f t="shared" ref="C87:J87" si="42">IF(AND(ISNUMBER($A81),ISNUMBER($A87)),IF((RANK(C$4,$B$4:$J$4,1))&lt;=($A87-$A81),1,0),"")</f>
        <v>0</v>
      </c>
      <c r="D87" s="6">
        <f t="shared" si="42"/>
        <v>0</v>
      </c>
      <c r="E87" s="6">
        <f t="shared" si="42"/>
        <v>0</v>
      </c>
      <c r="F87" s="6">
        <f t="shared" si="42"/>
        <v>0</v>
      </c>
      <c r="G87" s="6">
        <f t="shared" si="42"/>
        <v>0</v>
      </c>
      <c r="H87" s="6">
        <f t="shared" si="42"/>
        <v>0</v>
      </c>
      <c r="I87" s="6">
        <f t="shared" si="42"/>
        <v>0</v>
      </c>
      <c r="J87" s="7">
        <f t="shared" si="42"/>
        <v>0</v>
      </c>
      <c r="K87" s="13">
        <f>SUM(B87:J87)</f>
        <v>0</v>
      </c>
      <c r="N87" s="15"/>
      <c r="O87" s="15"/>
      <c r="P87" s="59"/>
      <c r="Q87" s="59"/>
      <c r="R87" s="59"/>
      <c r="S87" s="59"/>
      <c r="T87" s="59"/>
      <c r="W87" s="15"/>
      <c r="X87" s="15"/>
      <c r="Y87" s="15"/>
      <c r="Z87" s="15"/>
      <c r="AA87" s="15"/>
    </row>
    <row r="88" spans="1:27" s="16" customFormat="1" x14ac:dyDescent="0.2">
      <c r="A88" s="30">
        <f>IF((A87-A81)&gt;9,(A87-A81-9),0)</f>
        <v>0</v>
      </c>
      <c r="B88" s="18">
        <f>IF(AND(ISNUMBER($A82),ISNUMBER($A88)),IF((RANK(B$4,$B$4:$J$4,1))&lt;=($A88-$A82),1,0),"")</f>
        <v>0</v>
      </c>
      <c r="C88" s="6">
        <f t="shared" ref="C88:J88" si="43">IF(AND(ISNUMBER($A82),ISNUMBER($A88)),IF((RANK(C$4,$B$4:$J$4,1))&lt;=($A88-$A82),1,0),"")</f>
        <v>0</v>
      </c>
      <c r="D88" s="6">
        <f t="shared" si="43"/>
        <v>0</v>
      </c>
      <c r="E88" s="6">
        <f t="shared" si="43"/>
        <v>0</v>
      </c>
      <c r="F88" s="6">
        <f t="shared" si="43"/>
        <v>0</v>
      </c>
      <c r="G88" s="6">
        <f t="shared" si="43"/>
        <v>0</v>
      </c>
      <c r="H88" s="6">
        <f t="shared" si="43"/>
        <v>0</v>
      </c>
      <c r="I88" s="6">
        <f t="shared" si="43"/>
        <v>0</v>
      </c>
      <c r="J88" s="7">
        <f t="shared" si="43"/>
        <v>0</v>
      </c>
      <c r="K88" s="13">
        <f>SUM(B88:J88)</f>
        <v>0</v>
      </c>
      <c r="N88" s="15"/>
      <c r="O88" s="15"/>
      <c r="P88" s="59"/>
      <c r="Q88" s="59"/>
      <c r="R88" s="59"/>
      <c r="S88" s="59"/>
      <c r="T88" s="59"/>
      <c r="W88" s="15"/>
      <c r="X88" s="15"/>
      <c r="Y88" s="15"/>
      <c r="Z88" s="15"/>
      <c r="AA88" s="15"/>
    </row>
    <row r="89" spans="1:27" s="16" customFormat="1" x14ac:dyDescent="0.2">
      <c r="A89" s="30"/>
      <c r="B89" s="82">
        <f t="shared" ref="B89:J89" si="44">IF(AND(ISNUMBER(B86),ISNUMBER(B87)),B86-B87-B88," ")</f>
        <v>10</v>
      </c>
      <c r="C89" s="83">
        <f t="shared" si="44"/>
        <v>9</v>
      </c>
      <c r="D89" s="83">
        <f t="shared" si="44"/>
        <v>9</v>
      </c>
      <c r="E89" s="83">
        <f t="shared" si="44"/>
        <v>4</v>
      </c>
      <c r="F89" s="83">
        <f t="shared" si="44"/>
        <v>5</v>
      </c>
      <c r="G89" s="83">
        <f t="shared" si="44"/>
        <v>8</v>
      </c>
      <c r="H89" s="83">
        <f t="shared" si="44"/>
        <v>4</v>
      </c>
      <c r="I89" s="83">
        <f t="shared" si="44"/>
        <v>9</v>
      </c>
      <c r="J89" s="84">
        <f t="shared" si="44"/>
        <v>9</v>
      </c>
      <c r="K89" s="13">
        <f>IF(ISNUMBER(FIND("Wins",K90)), 2, IF(ISNUMBER(FIND("Tie",K90)), 1, 0))</f>
        <v>0</v>
      </c>
      <c r="N89" s="15"/>
      <c r="O89" s="15"/>
      <c r="P89" s="59"/>
      <c r="Q89" s="59"/>
      <c r="R89" s="59"/>
      <c r="S89" s="59"/>
      <c r="T89" s="59"/>
      <c r="W89" s="15"/>
      <c r="X89" s="15"/>
      <c r="Y89" s="15"/>
      <c r="Z89" s="15"/>
      <c r="AA89" s="15"/>
    </row>
    <row r="90" spans="1:27" s="16" customFormat="1" ht="13.5" thickBot="1" x14ac:dyDescent="0.25">
      <c r="A90" s="31"/>
      <c r="B90" s="19">
        <f>IF(AND(ISNUMBER(B83),ISNUMBER(B89)),IF(B89&lt;B83, 0+1, (IF(B89&gt;B83, 0-1, 0)))," ")</f>
        <v>-1</v>
      </c>
      <c r="C90" s="9">
        <f t="shared" ref="C90:J90" si="45">IF(AND(ISNUMBER(C83),ISNUMBER(C89)),IF(C89&lt;C83, +B90+1, (IF(C89&gt;C83, +B90-1, +B90)))," ")</f>
        <v>-2</v>
      </c>
      <c r="D90" s="9">
        <f t="shared" si="45"/>
        <v>-3</v>
      </c>
      <c r="E90" s="9">
        <f t="shared" si="45"/>
        <v>-2</v>
      </c>
      <c r="F90" s="9">
        <f t="shared" si="45"/>
        <v>-1</v>
      </c>
      <c r="G90" s="9">
        <f t="shared" si="45"/>
        <v>-2</v>
      </c>
      <c r="H90" s="9">
        <f t="shared" si="45"/>
        <v>-1</v>
      </c>
      <c r="I90" s="9">
        <f t="shared" si="45"/>
        <v>-2</v>
      </c>
      <c r="J90" s="10">
        <f t="shared" si="45"/>
        <v>-3</v>
      </c>
      <c r="K90" s="14" t="str">
        <f>IF(ISNUMBER(J90),IF(F90&gt;4,"Wins " &amp; F90 &amp; " &amp; 4",IF(G90&gt;3,"Wins " &amp; G90 &amp; " &amp; 3",IF(H90&gt;2,"Wins " &amp; H90 &amp; " &amp; 2",IF(I90&gt;1,"Wins " &amp; I90 &amp; " &amp; 1",IF(J90&gt;J84,"Wins " &amp; J90 &amp; " Up",IF(J90&lt;J84,"Loss","Tie"))))))," ")</f>
        <v>Loss</v>
      </c>
      <c r="N90" s="15"/>
      <c r="O90" s="15"/>
      <c r="P90" s="59"/>
      <c r="Q90" s="59"/>
      <c r="R90" s="59"/>
      <c r="S90" s="59"/>
      <c r="T90" s="59"/>
      <c r="W90" s="15"/>
      <c r="X90" s="15"/>
      <c r="Y90" s="15"/>
      <c r="Z90" s="15"/>
      <c r="AA90" s="15"/>
    </row>
    <row r="91" spans="1:27" s="16" customFormat="1" x14ac:dyDescent="0.2">
      <c r="A91" s="26"/>
      <c r="B91" s="15"/>
      <c r="C91" s="15"/>
      <c r="D91" s="15"/>
      <c r="E91" s="15"/>
      <c r="F91" s="15"/>
      <c r="G91" s="15"/>
      <c r="H91" s="15"/>
      <c r="I91" s="15"/>
      <c r="J91" s="15"/>
      <c r="K91" s="15"/>
      <c r="N91" s="15"/>
      <c r="O91" s="15"/>
      <c r="P91" s="59"/>
      <c r="Q91" s="59"/>
      <c r="R91" s="59"/>
      <c r="S91" s="59"/>
      <c r="T91" s="59"/>
      <c r="W91" s="15"/>
      <c r="X91" s="15"/>
      <c r="Y91" s="15"/>
      <c r="Z91" s="15"/>
      <c r="AA91" s="15"/>
    </row>
    <row r="92" spans="1:27" s="16" customFormat="1" ht="13.5" thickBot="1" x14ac:dyDescent="0.25">
      <c r="A92" s="24" t="s">
        <v>12</v>
      </c>
      <c r="B92" s="2"/>
      <c r="C92" s="2"/>
      <c r="D92" s="2"/>
      <c r="E92" s="2"/>
      <c r="F92" s="2"/>
      <c r="G92" s="2"/>
      <c r="H92" s="2"/>
      <c r="I92" s="2"/>
      <c r="J92" s="2"/>
      <c r="K92" s="2"/>
      <c r="N92" s="15"/>
      <c r="O92" s="15"/>
      <c r="P92" s="59"/>
      <c r="Q92" s="59"/>
      <c r="R92" s="59"/>
      <c r="S92" s="59"/>
      <c r="T92" s="59"/>
      <c r="W92" s="15"/>
      <c r="X92" s="15"/>
      <c r="Y92" s="15"/>
      <c r="Z92" s="15"/>
      <c r="AA92" s="15"/>
    </row>
    <row r="93" spans="1:27" s="16" customFormat="1" x14ac:dyDescent="0.2">
      <c r="A93" s="29" t="str">
        <f t="shared" ref="A93:J93" si="46">A22</f>
        <v>Tommy</v>
      </c>
      <c r="B93" s="17">
        <f t="shared" si="46"/>
        <v>7</v>
      </c>
      <c r="C93" s="3">
        <f t="shared" si="46"/>
        <v>6</v>
      </c>
      <c r="D93" s="3">
        <f t="shared" si="46"/>
        <v>7</v>
      </c>
      <c r="E93" s="3">
        <f t="shared" si="46"/>
        <v>4</v>
      </c>
      <c r="F93" s="3">
        <f t="shared" si="46"/>
        <v>5</v>
      </c>
      <c r="G93" s="3">
        <f t="shared" si="46"/>
        <v>3</v>
      </c>
      <c r="H93" s="3">
        <f t="shared" si="46"/>
        <v>4</v>
      </c>
      <c r="I93" s="3">
        <f t="shared" si="46"/>
        <v>4</v>
      </c>
      <c r="J93" s="4">
        <f t="shared" si="46"/>
        <v>4</v>
      </c>
      <c r="K93" s="12">
        <f>SUM(B93:J93)</f>
        <v>44</v>
      </c>
      <c r="N93" s="15"/>
      <c r="O93" s="15"/>
      <c r="P93" s="59"/>
      <c r="Q93" s="59"/>
      <c r="R93" s="59"/>
      <c r="S93" s="59"/>
      <c r="T93" s="59"/>
      <c r="W93" s="15"/>
      <c r="X93" s="15"/>
      <c r="Y93" s="15"/>
      <c r="Z93" s="15"/>
      <c r="AA93" s="15"/>
    </row>
    <row r="94" spans="1:27" s="16" customFormat="1" x14ac:dyDescent="0.2">
      <c r="A94" s="30">
        <f>A23</f>
        <v>5</v>
      </c>
      <c r="B94" s="18">
        <f>IF(AND(ISNUMBER($A94),ISNUMBER($A100)),IF((RANK(B$4,$B$4:$J$4,1))&lt;=($A94-$A100),1,0),"")</f>
        <v>0</v>
      </c>
      <c r="C94" s="6">
        <f t="shared" ref="C94:J94" si="47">IF(AND(ISNUMBER($A94),ISNUMBER($A100)),IF((RANK(C$4,$B$4:$J$4,1))&lt;=($A94-$A100),1,0),"")</f>
        <v>0</v>
      </c>
      <c r="D94" s="6">
        <f t="shared" si="47"/>
        <v>0</v>
      </c>
      <c r="E94" s="6">
        <f t="shared" si="47"/>
        <v>0</v>
      </c>
      <c r="F94" s="6">
        <f t="shared" si="47"/>
        <v>0</v>
      </c>
      <c r="G94" s="6">
        <f t="shared" si="47"/>
        <v>0</v>
      </c>
      <c r="H94" s="6">
        <f t="shared" si="47"/>
        <v>0</v>
      </c>
      <c r="I94" s="6">
        <f t="shared" si="47"/>
        <v>0</v>
      </c>
      <c r="J94" s="7">
        <f t="shared" si="47"/>
        <v>0</v>
      </c>
      <c r="K94" s="13">
        <f>SUM(B94:J94)</f>
        <v>0</v>
      </c>
      <c r="N94" s="15"/>
      <c r="O94" s="15"/>
      <c r="P94" s="59"/>
      <c r="Q94" s="59"/>
      <c r="R94" s="59"/>
      <c r="S94" s="59"/>
      <c r="T94" s="59"/>
      <c r="W94" s="15"/>
      <c r="X94" s="15"/>
      <c r="Y94" s="15"/>
      <c r="Z94" s="15"/>
      <c r="AA94" s="15"/>
    </row>
    <row r="95" spans="1:27" s="16" customFormat="1" x14ac:dyDescent="0.2">
      <c r="A95" s="30">
        <f>IF((A94-A100)&gt;9,(A94-A100-9),0)</f>
        <v>0</v>
      </c>
      <c r="B95" s="18">
        <f>IF(AND(ISNUMBER($A95),ISNUMBER($A101)),IF((RANK(B$4,$B$4:$J$4,1))&lt;=($A95-$A101),1,0),"")</f>
        <v>0</v>
      </c>
      <c r="C95" s="6">
        <f t="shared" ref="C95:J95" si="48">IF(AND(ISNUMBER($A95),ISNUMBER($A101)),IF((RANK(C$4,$B$4:$J$4,1))&lt;=($A95-$A101),1,0),"")</f>
        <v>0</v>
      </c>
      <c r="D95" s="6">
        <f t="shared" si="48"/>
        <v>0</v>
      </c>
      <c r="E95" s="6">
        <f t="shared" si="48"/>
        <v>0</v>
      </c>
      <c r="F95" s="6">
        <f t="shared" si="48"/>
        <v>0</v>
      </c>
      <c r="G95" s="6">
        <f t="shared" si="48"/>
        <v>0</v>
      </c>
      <c r="H95" s="6">
        <f t="shared" si="48"/>
        <v>0</v>
      </c>
      <c r="I95" s="6">
        <f t="shared" si="48"/>
        <v>0</v>
      </c>
      <c r="J95" s="7">
        <f t="shared" si="48"/>
        <v>0</v>
      </c>
      <c r="K95" s="13">
        <f>SUM(B95:J95)</f>
        <v>0</v>
      </c>
      <c r="N95" s="15"/>
      <c r="O95" s="15"/>
      <c r="P95" s="59"/>
      <c r="Q95" s="59"/>
      <c r="R95" s="59"/>
      <c r="S95" s="59"/>
      <c r="T95" s="59"/>
      <c r="W95" s="15"/>
      <c r="X95" s="15"/>
      <c r="Y95" s="15"/>
      <c r="Z95" s="15"/>
      <c r="AA95" s="15"/>
    </row>
    <row r="96" spans="1:27" s="16" customFormat="1" x14ac:dyDescent="0.2">
      <c r="A96" s="30"/>
      <c r="B96" s="82">
        <f t="shared" ref="B96:J96" si="49">IF(AND(ISNUMBER(B93),ISNUMBER(B94)),B93-B94-B95," ")</f>
        <v>7</v>
      </c>
      <c r="C96" s="83">
        <f t="shared" si="49"/>
        <v>6</v>
      </c>
      <c r="D96" s="83">
        <f t="shared" si="49"/>
        <v>7</v>
      </c>
      <c r="E96" s="83">
        <f t="shared" si="49"/>
        <v>4</v>
      </c>
      <c r="F96" s="83">
        <f t="shared" si="49"/>
        <v>5</v>
      </c>
      <c r="G96" s="83">
        <f t="shared" si="49"/>
        <v>3</v>
      </c>
      <c r="H96" s="83">
        <f t="shared" si="49"/>
        <v>4</v>
      </c>
      <c r="I96" s="83">
        <f t="shared" si="49"/>
        <v>4</v>
      </c>
      <c r="J96" s="84">
        <f t="shared" si="49"/>
        <v>4</v>
      </c>
      <c r="K96" s="13">
        <f>IF(ISNUMBER(FIND("Wins",K97)), 2, IF(ISNUMBER(FIND("Tie",K97)), 1, 0))</f>
        <v>2</v>
      </c>
      <c r="N96" s="15"/>
      <c r="O96" s="15"/>
      <c r="P96" s="59"/>
      <c r="Q96" s="59"/>
      <c r="R96" s="59"/>
      <c r="S96" s="59"/>
      <c r="T96" s="59"/>
      <c r="W96" s="15"/>
      <c r="X96" s="15"/>
      <c r="Y96" s="15"/>
      <c r="Z96" s="15"/>
      <c r="AA96" s="15"/>
    </row>
    <row r="97" spans="1:27" s="16" customFormat="1" ht="13.5" thickBot="1" x14ac:dyDescent="0.25">
      <c r="A97" s="31"/>
      <c r="B97" s="19">
        <f>IF(AND(ISNUMBER(B96),ISNUMBER(B102)),IF(B96&lt;B102, 0+1, (IF(B96&gt;B102, 0-1, 0)))," ")</f>
        <v>-1</v>
      </c>
      <c r="C97" s="9">
        <f t="shared" ref="C97:J97" si="50">IF(AND(ISNUMBER(C96),ISNUMBER(C102)),IF(C96&lt;C102, +B97+1, (IF(C96&gt;C102, +B97-1, +B97)))," ")</f>
        <v>-2</v>
      </c>
      <c r="D97" s="9">
        <f t="shared" si="50"/>
        <v>-2</v>
      </c>
      <c r="E97" s="9">
        <f t="shared" si="50"/>
        <v>-1</v>
      </c>
      <c r="F97" s="9">
        <f t="shared" si="50"/>
        <v>0</v>
      </c>
      <c r="G97" s="9">
        <f t="shared" si="50"/>
        <v>1</v>
      </c>
      <c r="H97" s="9">
        <f t="shared" si="50"/>
        <v>2</v>
      </c>
      <c r="I97" s="9">
        <f t="shared" si="50"/>
        <v>3</v>
      </c>
      <c r="J97" s="10">
        <f t="shared" si="50"/>
        <v>4</v>
      </c>
      <c r="K97" s="14" t="str">
        <f>IF(ISNUMBER(J97),IF(F97&gt;4,"Wins " &amp; F97 &amp; " &amp; 4",IF(G97&gt;3,"Wins " &amp; G97 &amp; " &amp; 3",IF(H97&gt;2,"Wins " &amp; H97 &amp; " &amp; 2",IF(I97&gt;1,"Wins " &amp; I97 &amp; " &amp; 1",IF(J97&gt;J103,"Wins " &amp; J97 &amp; " Up",IF(J97&lt;J103,"Loss","Tie"))))))," ")</f>
        <v>Wins 3 &amp; 1</v>
      </c>
      <c r="N97" s="15"/>
      <c r="O97" s="15"/>
      <c r="P97" s="59"/>
      <c r="Q97" s="59"/>
      <c r="R97" s="59"/>
      <c r="S97" s="59"/>
      <c r="T97" s="59"/>
      <c r="W97" s="15"/>
      <c r="X97" s="15"/>
      <c r="Y97" s="15"/>
      <c r="Z97" s="15"/>
      <c r="AA97" s="15"/>
    </row>
    <row r="98" spans="1:27" s="16" customFormat="1" ht="13.5" thickBot="1" x14ac:dyDescent="0.25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N98" s="15"/>
      <c r="O98" s="15"/>
      <c r="P98" s="59"/>
      <c r="Q98" s="59"/>
      <c r="R98" s="59"/>
      <c r="S98" s="59"/>
      <c r="T98" s="59"/>
      <c r="W98" s="15"/>
      <c r="X98" s="15"/>
      <c r="Y98" s="15"/>
      <c r="Z98" s="15"/>
      <c r="AA98" s="15"/>
    </row>
    <row r="99" spans="1:27" s="16" customFormat="1" x14ac:dyDescent="0.2">
      <c r="A99" s="79" t="str">
        <f t="shared" ref="A99:J99" si="51">A26</f>
        <v>Hunter</v>
      </c>
      <c r="B99" s="17">
        <f t="shared" si="51"/>
        <v>5</v>
      </c>
      <c r="C99" s="3">
        <f t="shared" si="51"/>
        <v>6</v>
      </c>
      <c r="D99" s="3">
        <f t="shared" si="51"/>
        <v>7</v>
      </c>
      <c r="E99" s="3">
        <f t="shared" si="51"/>
        <v>6</v>
      </c>
      <c r="F99" s="3">
        <f t="shared" si="51"/>
        <v>7</v>
      </c>
      <c r="G99" s="3">
        <f t="shared" si="51"/>
        <v>4</v>
      </c>
      <c r="H99" s="3">
        <f t="shared" si="51"/>
        <v>5</v>
      </c>
      <c r="I99" s="3">
        <f t="shared" si="51"/>
        <v>9</v>
      </c>
      <c r="J99" s="4">
        <f t="shared" si="51"/>
        <v>9</v>
      </c>
      <c r="K99" s="12">
        <f>SUM(B99:J99)</f>
        <v>58</v>
      </c>
      <c r="N99" s="15"/>
      <c r="O99" s="15"/>
      <c r="P99" s="59"/>
      <c r="Q99" s="59"/>
      <c r="R99" s="59"/>
      <c r="S99" s="59"/>
      <c r="T99" s="59"/>
      <c r="W99" s="15"/>
      <c r="X99" s="15"/>
      <c r="Y99" s="15"/>
      <c r="Z99" s="15"/>
      <c r="AA99" s="15"/>
    </row>
    <row r="100" spans="1:27" s="16" customFormat="1" x14ac:dyDescent="0.2">
      <c r="A100" s="80">
        <f>A27</f>
        <v>7</v>
      </c>
      <c r="B100" s="18">
        <f>IF(AND(ISNUMBER($A94),ISNUMBER($A100)),IF((RANK(B$4,$B$4:$J$4,1))&lt;=($A100-$A94),1,0),"")</f>
        <v>0</v>
      </c>
      <c r="C100" s="6">
        <f t="shared" ref="C100:J100" si="52">IF(AND(ISNUMBER($A94),ISNUMBER($A100)),IF((RANK(C$4,$B$4:$J$4,1))&lt;=($A100-$A94),1,0),"")</f>
        <v>1</v>
      </c>
      <c r="D100" s="6">
        <f t="shared" si="52"/>
        <v>0</v>
      </c>
      <c r="E100" s="6">
        <f t="shared" si="52"/>
        <v>0</v>
      </c>
      <c r="F100" s="6">
        <f t="shared" si="52"/>
        <v>1</v>
      </c>
      <c r="G100" s="6">
        <f t="shared" si="52"/>
        <v>0</v>
      </c>
      <c r="H100" s="6">
        <f t="shared" si="52"/>
        <v>0</v>
      </c>
      <c r="I100" s="6">
        <f t="shared" si="52"/>
        <v>0</v>
      </c>
      <c r="J100" s="7">
        <f t="shared" si="52"/>
        <v>0</v>
      </c>
      <c r="K100" s="13">
        <f>SUM(B100:J100)</f>
        <v>2</v>
      </c>
      <c r="N100" s="15"/>
      <c r="O100" s="15"/>
      <c r="P100" s="59"/>
      <c r="Q100" s="59"/>
      <c r="R100" s="59"/>
      <c r="S100" s="59"/>
      <c r="T100" s="59"/>
      <c r="W100" s="15"/>
      <c r="X100" s="15"/>
      <c r="Y100" s="15"/>
      <c r="Z100" s="15"/>
      <c r="AA100" s="15"/>
    </row>
    <row r="101" spans="1:27" s="16" customFormat="1" x14ac:dyDescent="0.2">
      <c r="A101" s="80">
        <f>IF((A100-A94)&gt;9,(A100-A94-9),0)</f>
        <v>0</v>
      </c>
      <c r="B101" s="18">
        <f>IF(AND(ISNUMBER($A95),ISNUMBER($A101)),IF((RANK(B$4,$B$4:$J$4,1))&lt;=($A101-$A95),1,0),"")</f>
        <v>0</v>
      </c>
      <c r="C101" s="6">
        <f t="shared" ref="C101:J101" si="53">IF(AND(ISNUMBER($A95),ISNUMBER($A101)),IF((RANK(C$4,$B$4:$J$4,1))&lt;=($A101-$A95),1,0),"")</f>
        <v>0</v>
      </c>
      <c r="D101" s="6">
        <f t="shared" si="53"/>
        <v>0</v>
      </c>
      <c r="E101" s="6">
        <f t="shared" si="53"/>
        <v>0</v>
      </c>
      <c r="F101" s="6">
        <f t="shared" si="53"/>
        <v>0</v>
      </c>
      <c r="G101" s="6">
        <f t="shared" si="53"/>
        <v>0</v>
      </c>
      <c r="H101" s="6">
        <f t="shared" si="53"/>
        <v>0</v>
      </c>
      <c r="I101" s="6">
        <f t="shared" si="53"/>
        <v>0</v>
      </c>
      <c r="J101" s="7">
        <f t="shared" si="53"/>
        <v>0</v>
      </c>
      <c r="K101" s="13">
        <f>SUM(B101:J101)</f>
        <v>0</v>
      </c>
      <c r="N101" s="15"/>
      <c r="O101" s="15"/>
      <c r="P101" s="59"/>
      <c r="Q101" s="59"/>
      <c r="R101" s="59"/>
      <c r="S101" s="59"/>
      <c r="T101" s="59"/>
      <c r="W101" s="15"/>
      <c r="X101" s="15"/>
      <c r="Y101" s="15"/>
      <c r="Z101" s="15"/>
      <c r="AA101" s="15"/>
    </row>
    <row r="102" spans="1:27" s="16" customFormat="1" x14ac:dyDescent="0.2">
      <c r="A102" s="80"/>
      <c r="B102" s="82">
        <f t="shared" ref="B102:J102" si="54">IF(AND(ISNUMBER(B99),ISNUMBER(B100)),B99-B100-B101," ")</f>
        <v>5</v>
      </c>
      <c r="C102" s="83">
        <f t="shared" si="54"/>
        <v>5</v>
      </c>
      <c r="D102" s="83">
        <f t="shared" si="54"/>
        <v>7</v>
      </c>
      <c r="E102" s="83">
        <f t="shared" si="54"/>
        <v>6</v>
      </c>
      <c r="F102" s="83">
        <f t="shared" si="54"/>
        <v>6</v>
      </c>
      <c r="G102" s="83">
        <f t="shared" si="54"/>
        <v>4</v>
      </c>
      <c r="H102" s="83">
        <f t="shared" si="54"/>
        <v>5</v>
      </c>
      <c r="I102" s="83">
        <f t="shared" si="54"/>
        <v>9</v>
      </c>
      <c r="J102" s="84">
        <f t="shared" si="54"/>
        <v>9</v>
      </c>
      <c r="K102" s="13">
        <f>IF(ISNUMBER(FIND("Wins",K103)), 2, IF(ISNUMBER(FIND("Tie",K103)), 1, 0))</f>
        <v>0</v>
      </c>
      <c r="N102" s="15"/>
      <c r="O102" s="15"/>
      <c r="P102" s="59"/>
      <c r="Q102" s="59"/>
      <c r="R102" s="59"/>
      <c r="S102" s="59"/>
      <c r="T102" s="59"/>
      <c r="W102" s="15"/>
      <c r="X102" s="15"/>
      <c r="Y102" s="15"/>
      <c r="Z102" s="15"/>
      <c r="AA102" s="15"/>
    </row>
    <row r="103" spans="1:27" s="16" customFormat="1" ht="13.5" thickBot="1" x14ac:dyDescent="0.25">
      <c r="A103" s="81"/>
      <c r="B103" s="19">
        <f>IF(AND(ISNUMBER(B96),ISNUMBER(B102)),IF(B102&lt;B96, 0+1, (IF(B102&gt;B96, 0-1, 0)))," ")</f>
        <v>1</v>
      </c>
      <c r="C103" s="9">
        <f t="shared" ref="C103:J103" si="55">IF(AND(ISNUMBER(C96),ISNUMBER(C102)),IF(C102&lt;C96, +B103+1, (IF(C102&gt;C96, +B103-1, +B103)))," ")</f>
        <v>2</v>
      </c>
      <c r="D103" s="9">
        <f t="shared" si="55"/>
        <v>2</v>
      </c>
      <c r="E103" s="9">
        <f t="shared" si="55"/>
        <v>1</v>
      </c>
      <c r="F103" s="9">
        <f t="shared" si="55"/>
        <v>0</v>
      </c>
      <c r="G103" s="9">
        <f t="shared" si="55"/>
        <v>-1</v>
      </c>
      <c r="H103" s="9">
        <f t="shared" si="55"/>
        <v>-2</v>
      </c>
      <c r="I103" s="9">
        <f t="shared" si="55"/>
        <v>-3</v>
      </c>
      <c r="J103" s="10">
        <f t="shared" si="55"/>
        <v>-4</v>
      </c>
      <c r="K103" s="14" t="str">
        <f>IF(ISNUMBER(J103),IF(F103&gt;4,"Wins " &amp; F103 &amp; " &amp; 4",IF(G103&gt;3,"Wins " &amp; G103 &amp; " &amp; 3",IF(H103&gt;2,"Wins " &amp; H103 &amp; " &amp; 2",IF(I103&gt;1,"Wins " &amp; I103 &amp; " &amp; 1",IF(J103&gt;J97,"Wins " &amp; J103 &amp; " Up",IF(J103&lt;J97,"Loss","Tie"))))))," ")</f>
        <v>Loss</v>
      </c>
      <c r="N103" s="15"/>
      <c r="O103" s="15"/>
      <c r="P103" s="59"/>
      <c r="Q103" s="59"/>
      <c r="R103" s="59"/>
      <c r="S103" s="59"/>
      <c r="T103" s="59"/>
      <c r="W103" s="15"/>
      <c r="X103" s="15"/>
      <c r="Y103" s="15"/>
      <c r="Z103" s="15"/>
      <c r="AA103" s="15"/>
    </row>
    <row r="104" spans="1:27" s="16" customFormat="1" x14ac:dyDescent="0.2">
      <c r="A104" s="2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N104" s="15"/>
      <c r="O104" s="15"/>
      <c r="P104" s="59"/>
      <c r="Q104" s="59"/>
      <c r="R104" s="59"/>
      <c r="S104" s="59"/>
      <c r="T104" s="59"/>
      <c r="W104" s="15"/>
      <c r="X104" s="15"/>
      <c r="Y104" s="15"/>
      <c r="Z104" s="15"/>
      <c r="AA104" s="15"/>
    </row>
    <row r="105" spans="1:27" s="16" customFormat="1" ht="13.5" thickBot="1" x14ac:dyDescent="0.25">
      <c r="A105" s="24" t="s">
        <v>13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N105" s="15"/>
      <c r="O105" s="15"/>
      <c r="P105" s="59"/>
      <c r="Q105" s="59"/>
      <c r="R105" s="59"/>
      <c r="S105" s="59"/>
      <c r="T105" s="59"/>
      <c r="W105" s="15"/>
      <c r="X105" s="15"/>
      <c r="Y105" s="15"/>
      <c r="Z105" s="15"/>
      <c r="AA105" s="15"/>
    </row>
    <row r="106" spans="1:27" s="16" customFormat="1" x14ac:dyDescent="0.2">
      <c r="A106" s="29" t="str">
        <f t="shared" ref="A106:J106" si="56">A24</f>
        <v>Dave</v>
      </c>
      <c r="B106" s="17">
        <f t="shared" si="56"/>
        <v>8</v>
      </c>
      <c r="C106" s="3">
        <f t="shared" si="56"/>
        <v>5</v>
      </c>
      <c r="D106" s="3">
        <f t="shared" si="56"/>
        <v>6</v>
      </c>
      <c r="E106" s="3">
        <f t="shared" si="56"/>
        <v>4</v>
      </c>
      <c r="F106" s="3">
        <f t="shared" si="56"/>
        <v>4</v>
      </c>
      <c r="G106" s="3">
        <f t="shared" si="56"/>
        <v>3</v>
      </c>
      <c r="H106" s="3">
        <f t="shared" si="56"/>
        <v>5</v>
      </c>
      <c r="I106" s="3">
        <f t="shared" si="56"/>
        <v>4</v>
      </c>
      <c r="J106" s="4">
        <f t="shared" si="56"/>
        <v>4</v>
      </c>
      <c r="K106" s="12">
        <f>SUM(B106:J106)</f>
        <v>43</v>
      </c>
      <c r="N106" s="15"/>
      <c r="O106" s="15"/>
      <c r="P106" s="59"/>
      <c r="Q106" s="59"/>
      <c r="R106" s="59"/>
      <c r="S106" s="59"/>
      <c r="T106" s="59"/>
      <c r="W106" s="15"/>
      <c r="X106" s="15"/>
      <c r="Y106" s="15"/>
      <c r="Z106" s="15"/>
      <c r="AA106" s="15"/>
    </row>
    <row r="107" spans="1:27" s="16" customFormat="1" x14ac:dyDescent="0.2">
      <c r="A107" s="30">
        <f>A25</f>
        <v>5</v>
      </c>
      <c r="B107" s="18">
        <f>IF(AND(ISNUMBER($A107),ISNUMBER($A113)),IF((RANK(B$4,$B$4:$J$4,1))&lt;=($A107-$A113),1,0),"")</f>
        <v>0</v>
      </c>
      <c r="C107" s="6">
        <f t="shared" ref="C107:J107" si="57">IF(AND(ISNUMBER($A107),ISNUMBER($A113)),IF((RANK(C$4,$B$4:$J$4,1))&lt;=($A107-$A113),1,0),"")</f>
        <v>0</v>
      </c>
      <c r="D107" s="6">
        <f t="shared" si="57"/>
        <v>0</v>
      </c>
      <c r="E107" s="6">
        <f t="shared" si="57"/>
        <v>0</v>
      </c>
      <c r="F107" s="6">
        <f t="shared" si="57"/>
        <v>0</v>
      </c>
      <c r="G107" s="6">
        <f t="shared" si="57"/>
        <v>0</v>
      </c>
      <c r="H107" s="6">
        <f t="shared" si="57"/>
        <v>0</v>
      </c>
      <c r="I107" s="6">
        <f t="shared" si="57"/>
        <v>0</v>
      </c>
      <c r="J107" s="7">
        <f t="shared" si="57"/>
        <v>0</v>
      </c>
      <c r="K107" s="13">
        <f>SUM(B107:J107)</f>
        <v>0</v>
      </c>
      <c r="N107" s="15"/>
      <c r="O107" s="15"/>
      <c r="P107" s="59"/>
      <c r="Q107" s="59"/>
      <c r="R107" s="59"/>
      <c r="S107" s="59"/>
      <c r="T107" s="59"/>
      <c r="W107" s="15"/>
      <c r="X107" s="15"/>
      <c r="Y107" s="15"/>
      <c r="Z107" s="15"/>
      <c r="AA107" s="15"/>
    </row>
    <row r="108" spans="1:27" s="16" customFormat="1" x14ac:dyDescent="0.2">
      <c r="A108" s="30">
        <f>IF((A107-A113)&gt;9,(A107-A113-9),0)</f>
        <v>0</v>
      </c>
      <c r="B108" s="18">
        <f>IF(AND(ISNUMBER($A108),ISNUMBER($A114)),IF((RANK(B$4,$B$4:$J$4,1))&lt;=($A108-$A114),1,0),"")</f>
        <v>0</v>
      </c>
      <c r="C108" s="6">
        <f t="shared" ref="C108:J108" si="58">IF(AND(ISNUMBER($A108),ISNUMBER($A114)),IF((RANK(C$4,$B$4:$J$4,1))&lt;=($A108-$A114),1,0),"")</f>
        <v>0</v>
      </c>
      <c r="D108" s="6">
        <f t="shared" si="58"/>
        <v>0</v>
      </c>
      <c r="E108" s="6">
        <f t="shared" si="58"/>
        <v>0</v>
      </c>
      <c r="F108" s="6">
        <f t="shared" si="58"/>
        <v>0</v>
      </c>
      <c r="G108" s="6">
        <f t="shared" si="58"/>
        <v>0</v>
      </c>
      <c r="H108" s="6">
        <f t="shared" si="58"/>
        <v>0</v>
      </c>
      <c r="I108" s="6">
        <f t="shared" si="58"/>
        <v>0</v>
      </c>
      <c r="J108" s="7">
        <f t="shared" si="58"/>
        <v>0</v>
      </c>
      <c r="K108" s="13">
        <f>SUM(B108:J108)</f>
        <v>0</v>
      </c>
      <c r="N108" s="15"/>
      <c r="O108" s="15"/>
      <c r="P108" s="59"/>
      <c r="Q108" s="59"/>
      <c r="R108" s="59"/>
      <c r="S108" s="59"/>
      <c r="T108" s="59"/>
      <c r="W108" s="15"/>
      <c r="X108" s="15"/>
      <c r="Y108" s="15"/>
      <c r="Z108" s="15"/>
      <c r="AA108" s="15"/>
    </row>
    <row r="109" spans="1:27" s="16" customFormat="1" x14ac:dyDescent="0.2">
      <c r="A109" s="30"/>
      <c r="B109" s="82">
        <f t="shared" ref="B109:J109" si="59">IF(AND(ISNUMBER(B106),ISNUMBER(B107)),B106-B107-B108," ")</f>
        <v>8</v>
      </c>
      <c r="C109" s="83">
        <f t="shared" si="59"/>
        <v>5</v>
      </c>
      <c r="D109" s="83">
        <f t="shared" si="59"/>
        <v>6</v>
      </c>
      <c r="E109" s="83">
        <f t="shared" si="59"/>
        <v>4</v>
      </c>
      <c r="F109" s="83">
        <f t="shared" si="59"/>
        <v>4</v>
      </c>
      <c r="G109" s="83">
        <f t="shared" si="59"/>
        <v>3</v>
      </c>
      <c r="H109" s="83">
        <f t="shared" si="59"/>
        <v>5</v>
      </c>
      <c r="I109" s="83">
        <f t="shared" si="59"/>
        <v>4</v>
      </c>
      <c r="J109" s="84">
        <f t="shared" si="59"/>
        <v>4</v>
      </c>
      <c r="K109" s="13">
        <f>IF(ISNUMBER(FIND("Wins",K110)), 2, IF(ISNUMBER(FIND("Tie",K110)), 1, 0))</f>
        <v>2</v>
      </c>
      <c r="N109" s="15"/>
      <c r="O109" s="15"/>
      <c r="P109" s="59"/>
      <c r="Q109" s="59"/>
      <c r="R109" s="59"/>
      <c r="S109" s="59"/>
      <c r="T109" s="59"/>
      <c r="W109" s="15"/>
      <c r="X109" s="15"/>
      <c r="Y109" s="15"/>
      <c r="Z109" s="15"/>
      <c r="AA109" s="15"/>
    </row>
    <row r="110" spans="1:27" s="16" customFormat="1" ht="13.5" thickBot="1" x14ac:dyDescent="0.25">
      <c r="A110" s="31"/>
      <c r="B110" s="19">
        <f>IF(AND(ISNUMBER(B109),ISNUMBER(B115)),IF(B109&lt;B115, 0+1, (IF(B109&gt;B115, 0-1, 0)))," ")</f>
        <v>-1</v>
      </c>
      <c r="C110" s="9">
        <f t="shared" ref="C110:J110" si="60">IF(AND(ISNUMBER(C109),ISNUMBER(C115)),IF(C109&lt;C115, +B110+1, (IF(C109&gt;C115, +B110-1, +B110)))," ")</f>
        <v>0</v>
      </c>
      <c r="D110" s="9">
        <f t="shared" si="60"/>
        <v>0</v>
      </c>
      <c r="E110" s="9">
        <f t="shared" si="60"/>
        <v>1</v>
      </c>
      <c r="F110" s="9">
        <f t="shared" si="60"/>
        <v>2</v>
      </c>
      <c r="G110" s="9">
        <f t="shared" si="60"/>
        <v>2</v>
      </c>
      <c r="H110" s="9">
        <f t="shared" si="60"/>
        <v>1</v>
      </c>
      <c r="I110" s="9">
        <f t="shared" si="60"/>
        <v>1</v>
      </c>
      <c r="J110" s="10">
        <f t="shared" si="60"/>
        <v>2</v>
      </c>
      <c r="K110" s="14" t="str">
        <f>IF(ISNUMBER(J110),IF(F110&gt;4,"Wins " &amp; F110 &amp; " &amp; 4",IF(G110&gt;3,"Wins " &amp; G110 &amp; " &amp; 3",IF(H110&gt;2,"Wins " &amp; H110 &amp; " &amp; 2",IF(I110&gt;1,"Wins " &amp; I110 &amp; " &amp; 1",IF(J110&gt;J116,"Wins " &amp; J110 &amp; " Up",IF(J110&lt;J116,"Loss","Tie"))))))," ")</f>
        <v>Wins 2 Up</v>
      </c>
      <c r="N110" s="15"/>
      <c r="O110" s="15"/>
      <c r="P110" s="59"/>
      <c r="Q110" s="59"/>
      <c r="R110" s="59"/>
      <c r="S110" s="59"/>
      <c r="T110" s="59"/>
      <c r="W110" s="15"/>
      <c r="X110" s="15"/>
      <c r="Y110" s="15"/>
      <c r="Z110" s="15"/>
      <c r="AA110" s="15"/>
    </row>
    <row r="111" spans="1:27" s="16" customFormat="1" ht="13.5" thickBot="1" x14ac:dyDescent="0.25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N111" s="15"/>
      <c r="O111" s="15"/>
      <c r="P111" s="59"/>
      <c r="Q111" s="59"/>
      <c r="R111" s="59"/>
      <c r="S111" s="59"/>
      <c r="T111" s="59"/>
      <c r="W111" s="15"/>
      <c r="X111" s="15"/>
      <c r="Y111" s="15"/>
      <c r="Z111" s="15"/>
      <c r="AA111" s="15"/>
    </row>
    <row r="112" spans="1:27" s="16" customFormat="1" x14ac:dyDescent="0.2">
      <c r="A112" s="29" t="str">
        <f t="shared" ref="A112:J112" si="61">A28</f>
        <v>Gerald C</v>
      </c>
      <c r="B112" s="17">
        <f t="shared" si="61"/>
        <v>6</v>
      </c>
      <c r="C112" s="3">
        <f t="shared" si="61"/>
        <v>8</v>
      </c>
      <c r="D112" s="3">
        <f t="shared" si="61"/>
        <v>7</v>
      </c>
      <c r="E112" s="3">
        <f t="shared" si="61"/>
        <v>6</v>
      </c>
      <c r="F112" s="3">
        <f t="shared" si="61"/>
        <v>8</v>
      </c>
      <c r="G112" s="3">
        <f t="shared" si="61"/>
        <v>3</v>
      </c>
      <c r="H112" s="3">
        <f t="shared" si="61"/>
        <v>5</v>
      </c>
      <c r="I112" s="3">
        <f t="shared" si="61"/>
        <v>5</v>
      </c>
      <c r="J112" s="4">
        <f t="shared" si="61"/>
        <v>6</v>
      </c>
      <c r="K112" s="12">
        <f>SUM(B112:J112)</f>
        <v>54</v>
      </c>
      <c r="N112" s="15"/>
      <c r="O112" s="15"/>
      <c r="P112" s="59"/>
      <c r="Q112" s="59"/>
      <c r="R112" s="59"/>
      <c r="S112" s="59"/>
      <c r="T112" s="59"/>
      <c r="W112" s="15"/>
      <c r="X112" s="15"/>
      <c r="Y112" s="15"/>
      <c r="Z112" s="15"/>
      <c r="AA112" s="15"/>
    </row>
    <row r="113" spans="1:27" s="16" customFormat="1" x14ac:dyDescent="0.2">
      <c r="A113" s="30">
        <f>A29</f>
        <v>12</v>
      </c>
      <c r="B113" s="18">
        <f>IF(AND(ISNUMBER($A107),ISNUMBER($A113)),IF((RANK(B$4,$B$4:$J$4,1))&lt;=($A113-$A107),1,0),"")</f>
        <v>1</v>
      </c>
      <c r="C113" s="6">
        <f t="shared" ref="C113:J113" si="62">IF(AND(ISNUMBER($A107),ISNUMBER($A113)),IF((RANK(C$4,$B$4:$J$4,1))&lt;=($A113-$A107),1,0),"")</f>
        <v>1</v>
      </c>
      <c r="D113" s="6">
        <f t="shared" si="62"/>
        <v>1</v>
      </c>
      <c r="E113" s="6">
        <f t="shared" si="62"/>
        <v>1</v>
      </c>
      <c r="F113" s="6">
        <f t="shared" si="62"/>
        <v>1</v>
      </c>
      <c r="G113" s="6">
        <f t="shared" si="62"/>
        <v>0</v>
      </c>
      <c r="H113" s="6">
        <f t="shared" si="62"/>
        <v>1</v>
      </c>
      <c r="I113" s="6">
        <f t="shared" si="62"/>
        <v>1</v>
      </c>
      <c r="J113" s="7">
        <f t="shared" si="62"/>
        <v>0</v>
      </c>
      <c r="K113" s="13">
        <f>SUM(B113:J113)</f>
        <v>7</v>
      </c>
      <c r="N113" s="15"/>
      <c r="O113" s="15"/>
      <c r="P113" s="59"/>
      <c r="Q113" s="59"/>
      <c r="R113" s="59"/>
      <c r="S113" s="59"/>
      <c r="T113" s="59"/>
      <c r="W113" s="15"/>
      <c r="X113" s="15"/>
      <c r="Y113" s="15"/>
      <c r="Z113" s="15"/>
      <c r="AA113" s="15"/>
    </row>
    <row r="114" spans="1:27" s="16" customFormat="1" x14ac:dyDescent="0.2">
      <c r="A114" s="30">
        <f>IF((A113-A107)&gt;9,(A113-A107-9),0)</f>
        <v>0</v>
      </c>
      <c r="B114" s="18">
        <f>IF(AND(ISNUMBER($A108),ISNUMBER($A114)),IF((RANK(B$4,$B$4:$J$4,1))&lt;=($A114-$A108),1,0),"")</f>
        <v>0</v>
      </c>
      <c r="C114" s="6">
        <f t="shared" ref="C114:J114" si="63">IF(AND(ISNUMBER($A108),ISNUMBER($A114)),IF((RANK(C$4,$B$4:$J$4,1))&lt;=($A114-$A108),1,0),"")</f>
        <v>0</v>
      </c>
      <c r="D114" s="6">
        <f t="shared" si="63"/>
        <v>0</v>
      </c>
      <c r="E114" s="6">
        <f t="shared" si="63"/>
        <v>0</v>
      </c>
      <c r="F114" s="6">
        <f t="shared" si="63"/>
        <v>0</v>
      </c>
      <c r="G114" s="6">
        <f t="shared" si="63"/>
        <v>0</v>
      </c>
      <c r="H114" s="6">
        <f t="shared" si="63"/>
        <v>0</v>
      </c>
      <c r="I114" s="6">
        <f t="shared" si="63"/>
        <v>0</v>
      </c>
      <c r="J114" s="7">
        <f t="shared" si="63"/>
        <v>0</v>
      </c>
      <c r="K114" s="13">
        <f>SUM(B114:J114)</f>
        <v>0</v>
      </c>
      <c r="N114" s="15"/>
      <c r="O114" s="15"/>
      <c r="P114" s="59"/>
      <c r="Q114" s="59"/>
      <c r="R114" s="59"/>
      <c r="S114" s="59"/>
      <c r="T114" s="59"/>
      <c r="W114" s="15"/>
      <c r="X114" s="15"/>
      <c r="Y114" s="15"/>
      <c r="Z114" s="15"/>
      <c r="AA114" s="15"/>
    </row>
    <row r="115" spans="1:27" s="16" customFormat="1" x14ac:dyDescent="0.2">
      <c r="A115" s="30"/>
      <c r="B115" s="82">
        <f t="shared" ref="B115:J115" si="64">IF(AND(ISNUMBER(B112),ISNUMBER(B113)),B112-B113-B114," ")</f>
        <v>5</v>
      </c>
      <c r="C115" s="83">
        <f t="shared" si="64"/>
        <v>7</v>
      </c>
      <c r="D115" s="83">
        <f t="shared" si="64"/>
        <v>6</v>
      </c>
      <c r="E115" s="83">
        <f t="shared" si="64"/>
        <v>5</v>
      </c>
      <c r="F115" s="83">
        <f t="shared" si="64"/>
        <v>7</v>
      </c>
      <c r="G115" s="83">
        <f t="shared" si="64"/>
        <v>3</v>
      </c>
      <c r="H115" s="83">
        <f t="shared" si="64"/>
        <v>4</v>
      </c>
      <c r="I115" s="83">
        <f t="shared" si="64"/>
        <v>4</v>
      </c>
      <c r="J115" s="84">
        <f t="shared" si="64"/>
        <v>6</v>
      </c>
      <c r="K115" s="13">
        <f>IF(ISNUMBER(FIND("Wins",K116)), 2, IF(ISNUMBER(FIND("Tie",K116)), 1, 0))</f>
        <v>0</v>
      </c>
      <c r="N115" s="15"/>
      <c r="O115" s="15"/>
      <c r="P115" s="59"/>
      <c r="Q115" s="59"/>
      <c r="R115" s="59"/>
      <c r="S115" s="59"/>
      <c r="T115" s="59"/>
      <c r="W115" s="15"/>
      <c r="X115" s="15"/>
      <c r="Y115" s="15"/>
      <c r="Z115" s="15"/>
      <c r="AA115" s="15"/>
    </row>
    <row r="116" spans="1:27" s="16" customFormat="1" ht="13.5" thickBot="1" x14ac:dyDescent="0.25">
      <c r="A116" s="31"/>
      <c r="B116" s="19">
        <f>IF(AND(ISNUMBER(B109),ISNUMBER(B115)),IF(B115&lt;B109, 0+1, (IF(B115&gt;B109, 0-1, 0)))," ")</f>
        <v>1</v>
      </c>
      <c r="C116" s="9">
        <f t="shared" ref="C116:J116" si="65">IF(AND(ISNUMBER(C109),ISNUMBER(C115)),IF(C115&lt;C109, +B116+1, (IF(C115&gt;C109, +B116-1, +B116)))," ")</f>
        <v>0</v>
      </c>
      <c r="D116" s="9">
        <f t="shared" si="65"/>
        <v>0</v>
      </c>
      <c r="E116" s="9">
        <f t="shared" si="65"/>
        <v>-1</v>
      </c>
      <c r="F116" s="9">
        <f t="shared" si="65"/>
        <v>-2</v>
      </c>
      <c r="G116" s="9">
        <f t="shared" si="65"/>
        <v>-2</v>
      </c>
      <c r="H116" s="9">
        <f t="shared" si="65"/>
        <v>-1</v>
      </c>
      <c r="I116" s="9">
        <f t="shared" si="65"/>
        <v>-1</v>
      </c>
      <c r="J116" s="10">
        <f t="shared" si="65"/>
        <v>-2</v>
      </c>
      <c r="K116" s="14" t="str">
        <f>IF(ISNUMBER(J116),IF(F116&gt;4,"Wins " &amp; F116 &amp; " &amp; 4",IF(G116&gt;3,"Wins " &amp; G116 &amp; " &amp; 3",IF(H116&gt;2,"Wins " &amp; H116 &amp; " &amp; 2",IF(I116&gt;1,"Wins " &amp; I116 &amp; " &amp; 1",IF(J116&gt;J110,"Wins " &amp; J116 &amp; " Up",IF(J116&lt;J110,"Loss","Tie"))))))," ")</f>
        <v>Loss</v>
      </c>
      <c r="N116" s="15"/>
      <c r="O116" s="15"/>
      <c r="P116" s="59"/>
      <c r="Q116" s="59"/>
      <c r="R116" s="59"/>
      <c r="S116" s="59"/>
      <c r="T116" s="59"/>
      <c r="W116" s="15"/>
      <c r="X116" s="15"/>
      <c r="Y116" s="15"/>
      <c r="Z116" s="15"/>
      <c r="AA116" s="15"/>
    </row>
    <row r="117" spans="1:27" s="16" customFormat="1" x14ac:dyDescent="0.2">
      <c r="A117" s="26"/>
      <c r="B117" s="85"/>
      <c r="C117" s="85"/>
      <c r="D117" s="85"/>
      <c r="E117" s="85"/>
      <c r="F117" s="85"/>
      <c r="G117" s="85"/>
      <c r="H117" s="85"/>
      <c r="I117" s="85"/>
      <c r="J117" s="85"/>
      <c r="K117" s="15"/>
      <c r="N117" s="15"/>
      <c r="O117" s="15"/>
      <c r="P117" s="59"/>
      <c r="Q117" s="59"/>
      <c r="R117" s="59"/>
      <c r="S117" s="59"/>
      <c r="T117" s="59"/>
      <c r="W117" s="15"/>
      <c r="X117" s="15"/>
      <c r="Y117" s="15"/>
      <c r="Z117" s="15"/>
      <c r="AA117" s="15"/>
    </row>
    <row r="118" spans="1:27" ht="13.5" thickBot="1" x14ac:dyDescent="0.25">
      <c r="A118" s="24" t="s">
        <v>82</v>
      </c>
    </row>
    <row r="119" spans="1:27" x14ac:dyDescent="0.2">
      <c r="A119" s="79" t="str">
        <f t="shared" ref="A119:J119" si="66">A30</f>
        <v>Bob</v>
      </c>
      <c r="B119" s="17">
        <f t="shared" si="66"/>
        <v>6</v>
      </c>
      <c r="C119" s="3">
        <f t="shared" si="66"/>
        <v>7</v>
      </c>
      <c r="D119" s="3">
        <f t="shared" si="66"/>
        <v>7</v>
      </c>
      <c r="E119" s="3">
        <f t="shared" si="66"/>
        <v>3</v>
      </c>
      <c r="F119" s="3">
        <f t="shared" si="66"/>
        <v>7</v>
      </c>
      <c r="G119" s="3">
        <f t="shared" si="66"/>
        <v>4</v>
      </c>
      <c r="H119" s="3">
        <f t="shared" si="66"/>
        <v>8</v>
      </c>
      <c r="I119" s="3">
        <f t="shared" si="66"/>
        <v>4</v>
      </c>
      <c r="J119" s="4">
        <f t="shared" si="66"/>
        <v>5</v>
      </c>
      <c r="K119" s="12">
        <f>SUM(B119:J119)</f>
        <v>51</v>
      </c>
    </row>
    <row r="120" spans="1:27" x14ac:dyDescent="0.2">
      <c r="A120" s="80">
        <f>A31</f>
        <v>10</v>
      </c>
      <c r="B120" s="18">
        <f>IF(AND(ISNUMBER($A120),ISNUMBER($A126)),IF((RANK(B$4,$B$4:$J$4,1))&lt;=($A120-$A126),1,0),"")</f>
        <v>0</v>
      </c>
      <c r="C120" s="6">
        <f t="shared" ref="C120:J120" si="67">IF(AND(ISNUMBER($A120),ISNUMBER($A126)),IF((RANK(C$4,$B$4:$J$4,1))&lt;=($A120-$A126),1,0),"")</f>
        <v>0</v>
      </c>
      <c r="D120" s="6">
        <f t="shared" si="67"/>
        <v>0</v>
      </c>
      <c r="E120" s="6">
        <f t="shared" si="67"/>
        <v>0</v>
      </c>
      <c r="F120" s="6">
        <f t="shared" si="67"/>
        <v>0</v>
      </c>
      <c r="G120" s="6">
        <f t="shared" si="67"/>
        <v>0</v>
      </c>
      <c r="H120" s="6">
        <f t="shared" si="67"/>
        <v>0</v>
      </c>
      <c r="I120" s="6">
        <f t="shared" si="67"/>
        <v>0</v>
      </c>
      <c r="J120" s="7">
        <f t="shared" si="67"/>
        <v>0</v>
      </c>
      <c r="K120" s="13">
        <f>SUM(B120:J120)</f>
        <v>0</v>
      </c>
    </row>
    <row r="121" spans="1:27" x14ac:dyDescent="0.2">
      <c r="A121" s="80">
        <f>IF((A120-A126)&gt;9,(A120-A126-9),0)</f>
        <v>0</v>
      </c>
      <c r="B121" s="18">
        <f>IF(AND(ISNUMBER($A121),ISNUMBER($A127)),IF((RANK(B$4,$B$4:$J$4,1))&lt;=($A121-$A127),1,0),"")</f>
        <v>0</v>
      </c>
      <c r="C121" s="6">
        <f t="shared" ref="C121:J121" si="68">IF(AND(ISNUMBER($A121),ISNUMBER($A127)),IF((RANK(C$4,$B$4:$J$4,1))&lt;=($A121-$A127),1,0),"")</f>
        <v>0</v>
      </c>
      <c r="D121" s="6">
        <f t="shared" si="68"/>
        <v>0</v>
      </c>
      <c r="E121" s="6">
        <f t="shared" si="68"/>
        <v>0</v>
      </c>
      <c r="F121" s="6">
        <f t="shared" si="68"/>
        <v>0</v>
      </c>
      <c r="G121" s="6">
        <f t="shared" si="68"/>
        <v>0</v>
      </c>
      <c r="H121" s="6">
        <f t="shared" si="68"/>
        <v>0</v>
      </c>
      <c r="I121" s="6">
        <f t="shared" si="68"/>
        <v>0</v>
      </c>
      <c r="J121" s="7">
        <f t="shared" si="68"/>
        <v>0</v>
      </c>
      <c r="K121" s="13">
        <f>SUM(B121:J121)</f>
        <v>0</v>
      </c>
    </row>
    <row r="122" spans="1:27" x14ac:dyDescent="0.2">
      <c r="A122" s="80"/>
      <c r="B122" s="82">
        <f t="shared" ref="B122:J122" si="69">IF(AND(ISNUMBER(B119),ISNUMBER(B120)),B119-B120-B121," ")</f>
        <v>6</v>
      </c>
      <c r="C122" s="83">
        <f t="shared" si="69"/>
        <v>7</v>
      </c>
      <c r="D122" s="83">
        <f t="shared" si="69"/>
        <v>7</v>
      </c>
      <c r="E122" s="83">
        <f t="shared" si="69"/>
        <v>3</v>
      </c>
      <c r="F122" s="83">
        <f t="shared" si="69"/>
        <v>7</v>
      </c>
      <c r="G122" s="83">
        <f t="shared" si="69"/>
        <v>4</v>
      </c>
      <c r="H122" s="83">
        <f t="shared" si="69"/>
        <v>8</v>
      </c>
      <c r="I122" s="83">
        <f t="shared" si="69"/>
        <v>4</v>
      </c>
      <c r="J122" s="84">
        <f t="shared" si="69"/>
        <v>5</v>
      </c>
      <c r="K122" s="13">
        <f>IF(ISNUMBER(FIND("Wins",K123)), 2, IF(ISNUMBER(FIND("Tie",K123)), 1, 0))</f>
        <v>2</v>
      </c>
    </row>
    <row r="123" spans="1:27" ht="13.5" thickBot="1" x14ac:dyDescent="0.25">
      <c r="A123" s="81"/>
      <c r="B123" s="19">
        <f>IF(AND(ISNUMBER(B122),ISNUMBER(B128)),IF(B122&lt;B128, 0+1, (IF(B122&gt;B128, 0-1, 0)))," ")</f>
        <v>1</v>
      </c>
      <c r="C123" s="9">
        <f t="shared" ref="C123:J123" si="70">IF(AND(ISNUMBER(C122),ISNUMBER(C128)),IF(C122&lt;C128, +B123+1, (IF(C122&gt;C128, +B123-1, +B123)))," ")</f>
        <v>2</v>
      </c>
      <c r="D123" s="9">
        <f t="shared" si="70"/>
        <v>3</v>
      </c>
      <c r="E123" s="9">
        <f t="shared" si="70"/>
        <v>4</v>
      </c>
      <c r="F123" s="9">
        <f t="shared" si="70"/>
        <v>3</v>
      </c>
      <c r="G123" s="9">
        <f t="shared" si="70"/>
        <v>2</v>
      </c>
      <c r="H123" s="9">
        <f t="shared" si="70"/>
        <v>1</v>
      </c>
      <c r="I123" s="9">
        <f t="shared" si="70"/>
        <v>2</v>
      </c>
      <c r="J123" s="10">
        <f t="shared" si="70"/>
        <v>2</v>
      </c>
      <c r="K123" s="14" t="str">
        <f>IF(ISNUMBER(J123),IF(F123&gt;4,"Wins " &amp; F123 &amp; " &amp; 4",IF(G123&gt;3,"Wins " &amp; G123 &amp; " &amp; 3",IF(H123&gt;2,"Wins " &amp; H123 &amp; " &amp; 2",IF(I123&gt;1,"Wins " &amp; I123 &amp; " &amp; 1",IF(J123&gt;J129,"Wins " &amp; J123 &amp; " Up",IF(J123&lt;J129,"Loss","Tie"))))))," ")</f>
        <v>Wins 2 &amp; 1</v>
      </c>
    </row>
    <row r="124" spans="1:27" ht="13.5" thickBot="1" x14ac:dyDescent="0.25">
      <c r="A124" s="32"/>
    </row>
    <row r="125" spans="1:27" x14ac:dyDescent="0.2">
      <c r="A125" s="79" t="str">
        <f t="shared" ref="A125:J125" si="71">A34</f>
        <v>Brian S</v>
      </c>
      <c r="B125" s="17">
        <f t="shared" si="71"/>
        <v>7</v>
      </c>
      <c r="C125" s="3">
        <f t="shared" si="71"/>
        <v>9</v>
      </c>
      <c r="D125" s="3">
        <f t="shared" si="71"/>
        <v>10</v>
      </c>
      <c r="E125" s="3">
        <f t="shared" si="71"/>
        <v>4</v>
      </c>
      <c r="F125" s="3">
        <f t="shared" si="71"/>
        <v>5</v>
      </c>
      <c r="G125" s="3">
        <f t="shared" si="71"/>
        <v>3</v>
      </c>
      <c r="H125" s="3">
        <f t="shared" si="71"/>
        <v>5</v>
      </c>
      <c r="I125" s="3">
        <f t="shared" si="71"/>
        <v>6</v>
      </c>
      <c r="J125" s="4">
        <f t="shared" si="71"/>
        <v>5</v>
      </c>
      <c r="K125" s="12">
        <f>SUM(B125:J125)</f>
        <v>54</v>
      </c>
    </row>
    <row r="126" spans="1:27" x14ac:dyDescent="0.2">
      <c r="A126" s="80">
        <f>A35</f>
        <v>13</v>
      </c>
      <c r="B126" s="18">
        <f>IF(AND(ISNUMBER($A120),ISNUMBER($A126)),IF((RANK(B$4,$B$4:$J$4,1))&lt;=($A126-$A120),1,0),"")</f>
        <v>0</v>
      </c>
      <c r="C126" s="6">
        <f t="shared" ref="C126:J126" si="72">IF(AND(ISNUMBER($A120),ISNUMBER($A126)),IF((RANK(C$4,$B$4:$J$4,1))&lt;=($A126-$A120),1,0),"")</f>
        <v>1</v>
      </c>
      <c r="D126" s="6">
        <f t="shared" si="72"/>
        <v>0</v>
      </c>
      <c r="E126" s="6">
        <f t="shared" si="72"/>
        <v>0</v>
      </c>
      <c r="F126" s="6">
        <f t="shared" si="72"/>
        <v>1</v>
      </c>
      <c r="G126" s="6">
        <f t="shared" si="72"/>
        <v>0</v>
      </c>
      <c r="H126" s="6">
        <f t="shared" si="72"/>
        <v>0</v>
      </c>
      <c r="I126" s="6">
        <f t="shared" si="72"/>
        <v>1</v>
      </c>
      <c r="J126" s="7">
        <f t="shared" si="72"/>
        <v>0</v>
      </c>
      <c r="K126" s="13">
        <f>SUM(B126:J126)</f>
        <v>3</v>
      </c>
    </row>
    <row r="127" spans="1:27" x14ac:dyDescent="0.2">
      <c r="A127" s="80">
        <f>IF((A126-A120)&gt;9,(A126-A120-9),0)</f>
        <v>0</v>
      </c>
      <c r="B127" s="18">
        <f>IF(AND(ISNUMBER($A121),ISNUMBER($A127)),IF((RANK(B$4,$B$4:$J$4,1))&lt;=($A127-$A121),1,0),"")</f>
        <v>0</v>
      </c>
      <c r="C127" s="6">
        <f t="shared" ref="C127:J127" si="73">IF(AND(ISNUMBER($A121),ISNUMBER($A127)),IF((RANK(C$4,$B$4:$J$4,1))&lt;=($A127-$A121),1,0),"")</f>
        <v>0</v>
      </c>
      <c r="D127" s="6">
        <f t="shared" si="73"/>
        <v>0</v>
      </c>
      <c r="E127" s="6">
        <f t="shared" si="73"/>
        <v>0</v>
      </c>
      <c r="F127" s="6">
        <f t="shared" si="73"/>
        <v>0</v>
      </c>
      <c r="G127" s="6">
        <f t="shared" si="73"/>
        <v>0</v>
      </c>
      <c r="H127" s="6">
        <f t="shared" si="73"/>
        <v>0</v>
      </c>
      <c r="I127" s="6">
        <f t="shared" si="73"/>
        <v>0</v>
      </c>
      <c r="J127" s="7">
        <f t="shared" si="73"/>
        <v>0</v>
      </c>
      <c r="K127" s="13">
        <f>SUM(B127:J127)</f>
        <v>0</v>
      </c>
    </row>
    <row r="128" spans="1:27" x14ac:dyDescent="0.2">
      <c r="A128" s="80"/>
      <c r="B128" s="82">
        <f t="shared" ref="B128:J128" si="74">IF(AND(ISNUMBER(B125),ISNUMBER(B126)),B125-B126-B127," ")</f>
        <v>7</v>
      </c>
      <c r="C128" s="83">
        <f t="shared" si="74"/>
        <v>8</v>
      </c>
      <c r="D128" s="83">
        <f t="shared" si="74"/>
        <v>10</v>
      </c>
      <c r="E128" s="83">
        <f t="shared" si="74"/>
        <v>4</v>
      </c>
      <c r="F128" s="83">
        <f t="shared" si="74"/>
        <v>4</v>
      </c>
      <c r="G128" s="83">
        <f t="shared" si="74"/>
        <v>3</v>
      </c>
      <c r="H128" s="83">
        <f t="shared" si="74"/>
        <v>5</v>
      </c>
      <c r="I128" s="83">
        <f t="shared" si="74"/>
        <v>5</v>
      </c>
      <c r="J128" s="84">
        <f t="shared" si="74"/>
        <v>5</v>
      </c>
      <c r="K128" s="13">
        <f>IF(ISNUMBER(FIND("Wins",K129)), 2, IF(ISNUMBER(FIND("Tie",K129)), 1, 0))</f>
        <v>0</v>
      </c>
    </row>
    <row r="129" spans="1:11" ht="13.5" thickBot="1" x14ac:dyDescent="0.25">
      <c r="A129" s="81"/>
      <c r="B129" s="19">
        <f>IF(AND(ISNUMBER(B122),ISNUMBER(B128)),IF(B128&lt;B122, 0+1, (IF(B128&gt;B122, 0-1, 0)))," ")</f>
        <v>-1</v>
      </c>
      <c r="C129" s="9">
        <f t="shared" ref="C129:J129" si="75">IF(AND(ISNUMBER(C122),ISNUMBER(C128)),IF(C128&lt;C122, +B129+1, (IF(C128&gt;C122, +B129-1, +B129)))," ")</f>
        <v>-2</v>
      </c>
      <c r="D129" s="9">
        <f t="shared" si="75"/>
        <v>-3</v>
      </c>
      <c r="E129" s="9">
        <f t="shared" si="75"/>
        <v>-4</v>
      </c>
      <c r="F129" s="9">
        <f t="shared" si="75"/>
        <v>-3</v>
      </c>
      <c r="G129" s="9">
        <f t="shared" si="75"/>
        <v>-2</v>
      </c>
      <c r="H129" s="9">
        <f t="shared" si="75"/>
        <v>-1</v>
      </c>
      <c r="I129" s="9">
        <f t="shared" si="75"/>
        <v>-2</v>
      </c>
      <c r="J129" s="10">
        <f t="shared" si="75"/>
        <v>-2</v>
      </c>
      <c r="K129" s="14" t="str">
        <f>IF(ISNUMBER(J129),IF(F129&gt;4,"Wins " &amp; F129 &amp; " &amp; 4",IF(G129&gt;3,"Wins " &amp; G129 &amp; " &amp; 3",IF(H129&gt;2,"Wins " &amp; H129 &amp; " &amp; 2",IF(I129&gt;1,"Wins " &amp; I129 &amp; " &amp; 1",IF(J129&gt;J123,"Wins " &amp; J129 &amp; " Up",IF(J129&lt;J123,"Loss","Tie"))))))," ")</f>
        <v>Loss</v>
      </c>
    </row>
    <row r="130" spans="1:11" x14ac:dyDescent="0.2">
      <c r="A130" s="26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ht="13.5" thickBot="1" x14ac:dyDescent="0.25">
      <c r="A131" s="24" t="s">
        <v>133</v>
      </c>
    </row>
    <row r="132" spans="1:11" x14ac:dyDescent="0.2">
      <c r="A132" s="29" t="str">
        <f t="shared" ref="A132:J132" si="76">A32</f>
        <v>Patrick</v>
      </c>
      <c r="B132" s="17">
        <f t="shared" si="76"/>
        <v>9</v>
      </c>
      <c r="C132" s="3">
        <f t="shared" si="76"/>
        <v>5</v>
      </c>
      <c r="D132" s="3">
        <f t="shared" si="76"/>
        <v>10</v>
      </c>
      <c r="E132" s="3">
        <f t="shared" si="76"/>
        <v>3</v>
      </c>
      <c r="F132" s="3">
        <f t="shared" si="76"/>
        <v>5</v>
      </c>
      <c r="G132" s="3">
        <f t="shared" si="76"/>
        <v>4</v>
      </c>
      <c r="H132" s="3">
        <f t="shared" si="76"/>
        <v>5</v>
      </c>
      <c r="I132" s="3">
        <f t="shared" si="76"/>
        <v>5</v>
      </c>
      <c r="J132" s="4">
        <f t="shared" si="76"/>
        <v>5</v>
      </c>
      <c r="K132" s="12">
        <f>SUM(B132:J132)</f>
        <v>51</v>
      </c>
    </row>
    <row r="133" spans="1:11" x14ac:dyDescent="0.2">
      <c r="A133" s="30">
        <f>A33</f>
        <v>8</v>
      </c>
      <c r="B133" s="18">
        <f>IF(AND(ISNUMBER($A133),ISNUMBER($A139)),IF((RANK(B$4,$B$4:$J$4,1))&lt;=($A133-$A139),1,0),"")</f>
        <v>0</v>
      </c>
      <c r="C133" s="6">
        <f t="shared" ref="C133:J133" si="77">IF(AND(ISNUMBER($A133),ISNUMBER($A139)),IF((RANK(C$4,$B$4:$J$4,1))&lt;=($A133-$A139),1,0),"")</f>
        <v>0</v>
      </c>
      <c r="D133" s="6">
        <f t="shared" si="77"/>
        <v>0</v>
      </c>
      <c r="E133" s="6">
        <f t="shared" si="77"/>
        <v>0</v>
      </c>
      <c r="F133" s="6">
        <f t="shared" si="77"/>
        <v>0</v>
      </c>
      <c r="G133" s="6">
        <f t="shared" si="77"/>
        <v>0</v>
      </c>
      <c r="H133" s="6">
        <f t="shared" si="77"/>
        <v>0</v>
      </c>
      <c r="I133" s="6">
        <f t="shared" si="77"/>
        <v>0</v>
      </c>
      <c r="J133" s="7">
        <f t="shared" si="77"/>
        <v>0</v>
      </c>
      <c r="K133" s="13">
        <f>SUM(B133:J133)</f>
        <v>0</v>
      </c>
    </row>
    <row r="134" spans="1:11" x14ac:dyDescent="0.2">
      <c r="A134" s="30">
        <f>IF((A133-A139)&gt;9,(A133-A139-9),0)</f>
        <v>0</v>
      </c>
      <c r="B134" s="18">
        <f>IF(AND(ISNUMBER($A134),ISNUMBER($A140)),IF((RANK(B$4,$B$4:$J$4,1))&lt;=($A134-$A140),1,0),"")</f>
        <v>0</v>
      </c>
      <c r="C134" s="6">
        <f t="shared" ref="C134:J134" si="78">IF(AND(ISNUMBER($A134),ISNUMBER($A140)),IF((RANK(C$4,$B$4:$J$4,1))&lt;=($A134-$A140),1,0),"")</f>
        <v>0</v>
      </c>
      <c r="D134" s="6">
        <f t="shared" si="78"/>
        <v>0</v>
      </c>
      <c r="E134" s="6">
        <f t="shared" si="78"/>
        <v>0</v>
      </c>
      <c r="F134" s="6">
        <f t="shared" si="78"/>
        <v>0</v>
      </c>
      <c r="G134" s="6">
        <f t="shared" si="78"/>
        <v>0</v>
      </c>
      <c r="H134" s="6">
        <f t="shared" si="78"/>
        <v>0</v>
      </c>
      <c r="I134" s="6">
        <f t="shared" si="78"/>
        <v>0</v>
      </c>
      <c r="J134" s="7">
        <f t="shared" si="78"/>
        <v>0</v>
      </c>
      <c r="K134" s="13">
        <f>SUM(B134:J134)</f>
        <v>0</v>
      </c>
    </row>
    <row r="135" spans="1:11" x14ac:dyDescent="0.2">
      <c r="A135" s="30"/>
      <c r="B135" s="82">
        <f t="shared" ref="B135:J135" si="79">IF(AND(ISNUMBER(B132),ISNUMBER(B133)),B132-B133-B134," ")</f>
        <v>9</v>
      </c>
      <c r="C135" s="83">
        <f t="shared" si="79"/>
        <v>5</v>
      </c>
      <c r="D135" s="83">
        <f t="shared" si="79"/>
        <v>10</v>
      </c>
      <c r="E135" s="83">
        <f t="shared" si="79"/>
        <v>3</v>
      </c>
      <c r="F135" s="83">
        <f t="shared" si="79"/>
        <v>5</v>
      </c>
      <c r="G135" s="83">
        <f t="shared" si="79"/>
        <v>4</v>
      </c>
      <c r="H135" s="83">
        <f t="shared" si="79"/>
        <v>5</v>
      </c>
      <c r="I135" s="83">
        <f t="shared" si="79"/>
        <v>5</v>
      </c>
      <c r="J135" s="84">
        <f t="shared" si="79"/>
        <v>5</v>
      </c>
      <c r="K135" s="13">
        <f>IF(ISNUMBER(FIND("Wins",K136)), 2, IF(ISNUMBER(FIND("Tie",K136)), 1, 0))</f>
        <v>0</v>
      </c>
    </row>
    <row r="136" spans="1:11" ht="13.5" thickBot="1" x14ac:dyDescent="0.25">
      <c r="A136" s="31"/>
      <c r="B136" s="19">
        <f>IF(AND(ISNUMBER(B135),ISNUMBER(B141)),IF(B135&lt;B141, 0+1, (IF(B135&gt;B141, 0-1, 0)))," ")</f>
        <v>-1</v>
      </c>
      <c r="C136" s="9">
        <f t="shared" ref="C136:J136" si="80">IF(AND(ISNUMBER(C135),ISNUMBER(C141)),IF(C135&lt;C141, +B136+1, (IF(C135&gt;C141, +B136-1, +B136)))," ")</f>
        <v>-2</v>
      </c>
      <c r="D136" s="9">
        <f t="shared" si="80"/>
        <v>-3</v>
      </c>
      <c r="E136" s="9">
        <f t="shared" si="80"/>
        <v>-3</v>
      </c>
      <c r="F136" s="9">
        <f t="shared" si="80"/>
        <v>-3</v>
      </c>
      <c r="G136" s="9">
        <f t="shared" si="80"/>
        <v>-2</v>
      </c>
      <c r="H136" s="9">
        <f t="shared" si="80"/>
        <v>-3</v>
      </c>
      <c r="I136" s="9">
        <f t="shared" si="80"/>
        <v>-3</v>
      </c>
      <c r="J136" s="10">
        <f t="shared" si="80"/>
        <v>-2</v>
      </c>
      <c r="K136" s="14" t="str">
        <f>IF(ISNUMBER(J136),IF(F136&gt;4,"Wins " &amp; F136 &amp; " &amp; 4",IF(G136&gt;3,"Wins " &amp; G136 &amp; " &amp; 3",IF(H136&gt;2,"Wins " &amp; H136 &amp; " &amp; 2",IF(I136&gt;1,"Wins " &amp; I136 &amp; " &amp; 1",IF(J136&gt;J142,"Wins " &amp; J136 &amp; " Up",IF(J136&lt;J142,"Loss","Tie"))))))," ")</f>
        <v>Loss</v>
      </c>
    </row>
    <row r="137" spans="1:11" ht="13.5" thickBot="1" x14ac:dyDescent="0.25">
      <c r="A137" s="32"/>
    </row>
    <row r="138" spans="1:11" x14ac:dyDescent="0.2">
      <c r="A138" s="29" t="str">
        <f t="shared" ref="A138:J138" si="81">A36</f>
        <v>Chris</v>
      </c>
      <c r="B138" s="17">
        <f t="shared" si="81"/>
        <v>9</v>
      </c>
      <c r="C138" s="3">
        <f t="shared" si="81"/>
        <v>5</v>
      </c>
      <c r="D138" s="3">
        <f t="shared" si="81"/>
        <v>8</v>
      </c>
      <c r="E138" s="3">
        <f t="shared" si="81"/>
        <v>4</v>
      </c>
      <c r="F138" s="3">
        <f t="shared" si="81"/>
        <v>6</v>
      </c>
      <c r="G138" s="3">
        <f t="shared" si="81"/>
        <v>5</v>
      </c>
      <c r="H138" s="3">
        <f t="shared" si="81"/>
        <v>5</v>
      </c>
      <c r="I138" s="3">
        <f t="shared" si="81"/>
        <v>6</v>
      </c>
      <c r="J138" s="4">
        <f t="shared" si="81"/>
        <v>7</v>
      </c>
      <c r="K138" s="12">
        <f>SUM(B138:J138)</f>
        <v>55</v>
      </c>
    </row>
    <row r="139" spans="1:11" x14ac:dyDescent="0.2">
      <c r="A139" s="30">
        <f>A37</f>
        <v>15</v>
      </c>
      <c r="B139" s="18">
        <f>IF(AND(ISNUMBER($A133),ISNUMBER($A139)),IF((RANK(B$4,$B$4:$J$4,1))&lt;=($A139-$A133),1,0),"")</f>
        <v>1</v>
      </c>
      <c r="C139" s="6">
        <f t="shared" ref="C139:J139" si="82">IF(AND(ISNUMBER($A133),ISNUMBER($A139)),IF((RANK(C$4,$B$4:$J$4,1))&lt;=($A139-$A133),1,0),"")</f>
        <v>1</v>
      </c>
      <c r="D139" s="6">
        <f t="shared" si="82"/>
        <v>1</v>
      </c>
      <c r="E139" s="6">
        <f t="shared" si="82"/>
        <v>1</v>
      </c>
      <c r="F139" s="6">
        <f t="shared" si="82"/>
        <v>1</v>
      </c>
      <c r="G139" s="6">
        <f t="shared" si="82"/>
        <v>0</v>
      </c>
      <c r="H139" s="6">
        <f t="shared" si="82"/>
        <v>1</v>
      </c>
      <c r="I139" s="6">
        <f t="shared" si="82"/>
        <v>1</v>
      </c>
      <c r="J139" s="7">
        <f t="shared" si="82"/>
        <v>0</v>
      </c>
      <c r="K139" s="13">
        <f>SUM(B139:J139)</f>
        <v>7</v>
      </c>
    </row>
    <row r="140" spans="1:11" x14ac:dyDescent="0.2">
      <c r="A140" s="30">
        <f>IF((A139-A133)&gt;9,(A139-A133-9),0)</f>
        <v>0</v>
      </c>
      <c r="B140" s="18">
        <f>IF(AND(ISNUMBER($A134),ISNUMBER($A140)),IF((RANK(B$4,$B$4:$J$4,1))&lt;=($A140-$A134),1,0),"")</f>
        <v>0</v>
      </c>
      <c r="C140" s="6">
        <f t="shared" ref="C140:J140" si="83">IF(AND(ISNUMBER($A134),ISNUMBER($A140)),IF((RANK(C$4,$B$4:$J$4,1))&lt;=($A140-$A134),1,0),"")</f>
        <v>0</v>
      </c>
      <c r="D140" s="6">
        <f t="shared" si="83"/>
        <v>0</v>
      </c>
      <c r="E140" s="6">
        <f t="shared" si="83"/>
        <v>0</v>
      </c>
      <c r="F140" s="6">
        <f t="shared" si="83"/>
        <v>0</v>
      </c>
      <c r="G140" s="6">
        <f t="shared" si="83"/>
        <v>0</v>
      </c>
      <c r="H140" s="6">
        <f t="shared" si="83"/>
        <v>0</v>
      </c>
      <c r="I140" s="6">
        <f t="shared" si="83"/>
        <v>0</v>
      </c>
      <c r="J140" s="7">
        <f t="shared" si="83"/>
        <v>0</v>
      </c>
      <c r="K140" s="13">
        <f>SUM(B140:J140)</f>
        <v>0</v>
      </c>
    </row>
    <row r="141" spans="1:11" x14ac:dyDescent="0.2">
      <c r="A141" s="30"/>
      <c r="B141" s="82">
        <f t="shared" ref="B141:J141" si="84">IF(AND(ISNUMBER(B138),ISNUMBER(B139)),B138-B139-B140," ")</f>
        <v>8</v>
      </c>
      <c r="C141" s="83">
        <f t="shared" si="84"/>
        <v>4</v>
      </c>
      <c r="D141" s="83">
        <f t="shared" si="84"/>
        <v>7</v>
      </c>
      <c r="E141" s="83">
        <f t="shared" si="84"/>
        <v>3</v>
      </c>
      <c r="F141" s="83">
        <f t="shared" si="84"/>
        <v>5</v>
      </c>
      <c r="G141" s="83">
        <f t="shared" si="84"/>
        <v>5</v>
      </c>
      <c r="H141" s="83">
        <f t="shared" si="84"/>
        <v>4</v>
      </c>
      <c r="I141" s="83">
        <f t="shared" si="84"/>
        <v>5</v>
      </c>
      <c r="J141" s="84">
        <f t="shared" si="84"/>
        <v>7</v>
      </c>
      <c r="K141" s="13">
        <f>IF(ISNUMBER(FIND("Wins",K142)), 2, IF(ISNUMBER(FIND("Tie",K142)), 1, 0))</f>
        <v>2</v>
      </c>
    </row>
    <row r="142" spans="1:11" ht="13.5" thickBot="1" x14ac:dyDescent="0.25">
      <c r="A142" s="31"/>
      <c r="B142" s="19">
        <f>IF(AND(ISNUMBER(B135),ISNUMBER(B141)),IF(B141&lt;B135, 0+1, (IF(B141&gt;B135, 0-1, 0)))," ")</f>
        <v>1</v>
      </c>
      <c r="C142" s="9">
        <f t="shared" ref="C142:J142" si="85">IF(AND(ISNUMBER(C135),ISNUMBER(C141)),IF(C141&lt;C135, +B142+1, (IF(C141&gt;C135, +B142-1, +B142)))," ")</f>
        <v>2</v>
      </c>
      <c r="D142" s="9">
        <f t="shared" si="85"/>
        <v>3</v>
      </c>
      <c r="E142" s="9">
        <f t="shared" si="85"/>
        <v>3</v>
      </c>
      <c r="F142" s="9">
        <f t="shared" si="85"/>
        <v>3</v>
      </c>
      <c r="G142" s="9">
        <f t="shared" si="85"/>
        <v>2</v>
      </c>
      <c r="H142" s="9">
        <f t="shared" si="85"/>
        <v>3</v>
      </c>
      <c r="I142" s="9">
        <f t="shared" si="85"/>
        <v>3</v>
      </c>
      <c r="J142" s="10">
        <f t="shared" si="85"/>
        <v>2</v>
      </c>
      <c r="K142" s="14" t="str">
        <f>IF(ISNUMBER(J142),IF(F142&gt;4,"Wins " &amp; F142 &amp; " &amp; 4",IF(G142&gt;3,"Wins " &amp; G142 &amp; " &amp; 3",IF(H142&gt;2,"Wins " &amp; H142 &amp; " &amp; 2",IF(I142&gt;1,"Wins " &amp; I142 &amp; " &amp; 1",IF(J142&gt;J136,"Wins " &amp; J142 &amp; " Up",IF(J142&lt;J136,"Loss","Tie"))))))," ")</f>
        <v>Wins 3 &amp; 2</v>
      </c>
    </row>
    <row r="143" spans="1:11" x14ac:dyDescent="0.2">
      <c r="A143" s="26"/>
      <c r="B143" s="85"/>
      <c r="C143" s="85"/>
      <c r="D143" s="85"/>
      <c r="E143" s="85"/>
      <c r="F143" s="85"/>
      <c r="G143" s="85"/>
      <c r="H143" s="85"/>
      <c r="I143" s="85"/>
      <c r="J143" s="85"/>
      <c r="K143" s="15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43"/>
  <sheetViews>
    <sheetView zoomScaleNormal="100" workbookViewId="0">
      <selection activeCell="O36" sqref="O36"/>
    </sheetView>
  </sheetViews>
  <sheetFormatPr defaultColWidth="9.140625" defaultRowHeight="12.75" x14ac:dyDescent="0.2"/>
  <cols>
    <col min="1" max="1" width="17.85546875" style="20" customWidth="1"/>
    <col min="2" max="10" width="9.140625" style="2"/>
    <col min="11" max="11" width="13.42578125" style="2" customWidth="1"/>
    <col min="12" max="12" width="9.140625" style="1"/>
    <col min="13" max="13" width="11.140625" style="1" customWidth="1"/>
    <col min="14" max="15" width="11.140625" style="2" customWidth="1"/>
    <col min="16" max="20" width="11.85546875" style="52" customWidth="1"/>
    <col min="21" max="22" width="9.140625" style="1"/>
    <col min="23" max="26" width="9.140625" style="2"/>
    <col min="27" max="27" width="9.85546875" style="2" customWidth="1"/>
    <col min="28" max="16384" width="9.140625" style="1"/>
  </cols>
  <sheetData>
    <row r="1" spans="1:27" ht="13.5" thickBot="1" x14ac:dyDescent="0.25"/>
    <row r="2" spans="1:27" x14ac:dyDescent="0.2">
      <c r="A2" s="21" t="s">
        <v>1</v>
      </c>
      <c r="B2" s="76">
        <f>'Day 1 - Match 2'!B2</f>
        <v>10</v>
      </c>
      <c r="C2" s="34">
        <f>'Day 1 - Match 2'!C2</f>
        <v>11</v>
      </c>
      <c r="D2" s="34">
        <f>'Day 1 - Match 2'!D2</f>
        <v>12</v>
      </c>
      <c r="E2" s="34">
        <f>'Day 1 - Match 2'!E2</f>
        <v>13</v>
      </c>
      <c r="F2" s="34">
        <f>'Day 1 - Match 2'!F2</f>
        <v>14</v>
      </c>
      <c r="G2" s="34">
        <f>'Day 1 - Match 2'!G2</f>
        <v>15</v>
      </c>
      <c r="H2" s="34">
        <f>'Day 1 - Match 2'!H2</f>
        <v>16</v>
      </c>
      <c r="I2" s="34">
        <f>'Day 1 - Match 2'!I2</f>
        <v>17</v>
      </c>
      <c r="J2" s="35">
        <f>'Day 1 - Match 2'!J2</f>
        <v>18</v>
      </c>
      <c r="K2" s="73"/>
    </row>
    <row r="3" spans="1:27" x14ac:dyDescent="0.2">
      <c r="A3" s="22" t="s">
        <v>2</v>
      </c>
      <c r="B3" s="77">
        <f>'Day 1 - Match 2'!B3</f>
        <v>5</v>
      </c>
      <c r="C3" s="39">
        <f>'Day 1 - Match 2'!C3</f>
        <v>4</v>
      </c>
      <c r="D3" s="39">
        <f>'Day 1 - Match 2'!D3</f>
        <v>5</v>
      </c>
      <c r="E3" s="39">
        <f>'Day 1 - Match 2'!E3</f>
        <v>3</v>
      </c>
      <c r="F3" s="39">
        <f>'Day 1 - Match 2'!F3</f>
        <v>4</v>
      </c>
      <c r="G3" s="39">
        <f>'Day 1 - Match 2'!G3</f>
        <v>3</v>
      </c>
      <c r="H3" s="39">
        <f>'Day 1 - Match 2'!H3</f>
        <v>4</v>
      </c>
      <c r="I3" s="39">
        <f>'Day 1 - Match 2'!I3</f>
        <v>4</v>
      </c>
      <c r="J3" s="40">
        <f>'Day 1 - Match 2'!J3</f>
        <v>4</v>
      </c>
      <c r="K3" s="74">
        <f>SUM(B3:J3)</f>
        <v>36</v>
      </c>
      <c r="P3" s="55" t="s">
        <v>32</v>
      </c>
    </row>
    <row r="4" spans="1:27" ht="13.5" thickBot="1" x14ac:dyDescent="0.25">
      <c r="A4" s="23" t="s">
        <v>3</v>
      </c>
      <c r="B4" s="78">
        <f>'Day 1 - Match 2'!B4</f>
        <v>12</v>
      </c>
      <c r="C4" s="44">
        <f>'Day 1 - Match 2'!C4</f>
        <v>4</v>
      </c>
      <c r="D4" s="44">
        <f>'Day 1 - Match 2'!D4</f>
        <v>14</v>
      </c>
      <c r="E4" s="44">
        <f>'Day 1 - Match 2'!E4</f>
        <v>10</v>
      </c>
      <c r="F4" s="44">
        <f>'Day 1 - Match 2'!F4</f>
        <v>2</v>
      </c>
      <c r="G4" s="44">
        <f>'Day 1 - Match 2'!G4</f>
        <v>18</v>
      </c>
      <c r="H4" s="44">
        <f>'Day 1 - Match 2'!H4</f>
        <v>8</v>
      </c>
      <c r="I4" s="44">
        <f>'Day 1 - Match 2'!I4</f>
        <v>6</v>
      </c>
      <c r="J4" s="45">
        <f>'Day 1 - Match 2'!J4</f>
        <v>16</v>
      </c>
      <c r="K4" s="75"/>
    </row>
    <row r="5" spans="1:27" ht="13.5" thickBot="1" x14ac:dyDescent="0.25">
      <c r="M5" s="230" t="s">
        <v>16</v>
      </c>
      <c r="N5" s="232" t="s">
        <v>17</v>
      </c>
      <c r="O5" s="233" t="s">
        <v>36</v>
      </c>
      <c r="P5" s="161" t="str">
        <f>Results!C40</f>
        <v>Long Drive</v>
      </c>
      <c r="Q5" s="50" t="str">
        <f>Results!D40</f>
        <v>Closest to Pin</v>
      </c>
      <c r="R5" s="50" t="str">
        <f>Results!E40</f>
        <v>Long Putt</v>
      </c>
      <c r="S5" s="50" t="str">
        <f>Results!F40</f>
        <v>Secret Snowman</v>
      </c>
      <c r="T5" s="51" t="str">
        <f>Results!G40</f>
        <v>Closest to Pin</v>
      </c>
      <c r="V5" s="2">
        <v>1</v>
      </c>
      <c r="W5" s="2">
        <v>2</v>
      </c>
      <c r="X5" s="2">
        <v>3</v>
      </c>
      <c r="Y5" s="2">
        <v>4</v>
      </c>
      <c r="Z5" s="2">
        <v>5</v>
      </c>
    </row>
    <row r="6" spans="1:27" x14ac:dyDescent="0.2">
      <c r="A6" s="47" t="str">
        <f>Matchups!C3</f>
        <v>Mil</v>
      </c>
      <c r="B6" s="237">
        <f>'Day 1 - Match 2'!B6</f>
        <v>6</v>
      </c>
      <c r="C6" s="238">
        <f>'Day 1 - Match 2'!C6</f>
        <v>4</v>
      </c>
      <c r="D6" s="238">
        <f>'Day 1 - Match 2'!D6</f>
        <v>6</v>
      </c>
      <c r="E6" s="238">
        <f>'Day 1 - Match 2'!E6</f>
        <v>4</v>
      </c>
      <c r="F6" s="238">
        <f>'Day 1 - Match 2'!F6</f>
        <v>9</v>
      </c>
      <c r="G6" s="238">
        <f>'Day 1 - Match 2'!G6</f>
        <v>5</v>
      </c>
      <c r="H6" s="238">
        <f>'Day 1 - Match 2'!H6</f>
        <v>6</v>
      </c>
      <c r="I6" s="238">
        <f>'Day 1 - Match 2'!I6</f>
        <v>3</v>
      </c>
      <c r="J6" s="239">
        <f>'Day 1 - Match 2'!J6</f>
        <v>4</v>
      </c>
      <c r="K6" s="12">
        <f>SUM(B6:J6)</f>
        <v>47</v>
      </c>
      <c r="M6" s="226" t="str">
        <f>A6</f>
        <v>Mil</v>
      </c>
      <c r="N6" s="5">
        <f>K6</f>
        <v>47</v>
      </c>
      <c r="O6" s="12">
        <f>K44</f>
        <v>1</v>
      </c>
      <c r="P6" s="162"/>
      <c r="Q6" s="65"/>
      <c r="R6" s="65"/>
      <c r="S6" s="65"/>
      <c r="T6" s="153"/>
      <c r="V6" s="2" t="str">
        <f t="shared" ref="V6:V37" si="0">IF($S$39=V$5,S6*V$5,"")</f>
        <v/>
      </c>
      <c r="W6" s="2" t="str">
        <f t="shared" ref="W6:W37" si="1">IF($S$39=W$5,S6*W$5,"")</f>
        <v/>
      </c>
      <c r="X6" s="2" t="str">
        <f t="shared" ref="X6:X37" si="2">IF($S$39=X$5,S6*X$5,"")</f>
        <v/>
      </c>
      <c r="Y6" s="2" t="str">
        <f t="shared" ref="Y6:Y37" si="3">IF($S$39=Y$5,S6*Y$5,"")</f>
        <v/>
      </c>
      <c r="Z6" s="2" t="str">
        <f t="shared" ref="Z6:Z37" si="4">IF($S$39=Z$5,S6*Z$5,"")</f>
        <v/>
      </c>
      <c r="AA6" s="144">
        <f>IF(SUM(V6:Z6)=0,0,Setup!F$44/SUM(V6:Z6))</f>
        <v>0</v>
      </c>
    </row>
    <row r="7" spans="1:27" hidden="1" x14ac:dyDescent="0.2">
      <c r="A7" s="48">
        <f>Matchups!C4</f>
        <v>6</v>
      </c>
      <c r="B7" s="240"/>
      <c r="C7" s="241"/>
      <c r="D7" s="241"/>
      <c r="E7" s="241"/>
      <c r="F7" s="241"/>
      <c r="G7" s="241"/>
      <c r="H7" s="241"/>
      <c r="I7" s="241"/>
      <c r="J7" s="242"/>
      <c r="K7" s="13"/>
      <c r="M7" s="227">
        <f>A7</f>
        <v>6</v>
      </c>
      <c r="N7" s="8"/>
      <c r="O7" s="13"/>
      <c r="P7" s="164"/>
      <c r="Q7" s="66"/>
      <c r="R7" s="66"/>
      <c r="S7" s="66"/>
      <c r="T7" s="154"/>
      <c r="V7" s="2" t="str">
        <f t="shared" si="0"/>
        <v/>
      </c>
      <c r="W7" s="2" t="str">
        <f t="shared" si="1"/>
        <v/>
      </c>
      <c r="X7" s="2" t="str">
        <f t="shared" si="2"/>
        <v/>
      </c>
      <c r="Y7" s="2" t="str">
        <f t="shared" si="3"/>
        <v/>
      </c>
      <c r="Z7" s="2" t="str">
        <f t="shared" si="4"/>
        <v/>
      </c>
      <c r="AA7" s="144">
        <f>IF(SUM(V7:Z7)=0,0,Setup!F$44/SUM(V7:Z7))</f>
        <v>0</v>
      </c>
    </row>
    <row r="8" spans="1:27" x14ac:dyDescent="0.2">
      <c r="A8" s="48" t="str">
        <f>Matchups!C5</f>
        <v>John</v>
      </c>
      <c r="B8" s="240">
        <f>'Day 1 - Match 2'!B8</f>
        <v>5</v>
      </c>
      <c r="C8" s="241">
        <f>'Day 1 - Match 2'!C8</f>
        <v>5</v>
      </c>
      <c r="D8" s="241">
        <f>'Day 1 - Match 2'!D8</f>
        <v>8</v>
      </c>
      <c r="E8" s="241">
        <f>'Day 1 - Match 2'!E8</f>
        <v>4</v>
      </c>
      <c r="F8" s="241">
        <f>'Day 1 - Match 2'!F8</f>
        <v>5</v>
      </c>
      <c r="G8" s="241">
        <f>'Day 1 - Match 2'!G8</f>
        <v>3</v>
      </c>
      <c r="H8" s="241">
        <f>'Day 1 - Match 2'!H8</f>
        <v>4</v>
      </c>
      <c r="I8" s="241">
        <f>'Day 1 - Match 2'!I8</f>
        <v>4</v>
      </c>
      <c r="J8" s="242">
        <f>'Day 1 - Match 2'!J8</f>
        <v>5</v>
      </c>
      <c r="K8" s="13">
        <f t="shared" ref="K8:K28" si="5">SUM(B8:J8)</f>
        <v>43</v>
      </c>
      <c r="M8" s="227" t="str">
        <f>A8</f>
        <v>John</v>
      </c>
      <c r="N8" s="8">
        <f t="shared" ref="N8:N36" si="6">K8</f>
        <v>43</v>
      </c>
      <c r="O8" s="13">
        <f>K63</f>
        <v>2</v>
      </c>
      <c r="P8" s="164"/>
      <c r="Q8" s="66"/>
      <c r="R8" s="66"/>
      <c r="S8" s="66"/>
      <c r="T8" s="154"/>
      <c r="V8" s="2" t="str">
        <f t="shared" si="0"/>
        <v/>
      </c>
      <c r="W8" s="2" t="str">
        <f t="shared" si="1"/>
        <v/>
      </c>
      <c r="X8" s="2" t="str">
        <f t="shared" si="2"/>
        <v/>
      </c>
      <c r="Y8" s="2" t="str">
        <f t="shared" si="3"/>
        <v/>
      </c>
      <c r="Z8" s="2" t="str">
        <f t="shared" si="4"/>
        <v/>
      </c>
      <c r="AA8" s="144">
        <f>IF(SUM(V8:Z8)=0,0,Setup!F$44/SUM(V8:Z8))</f>
        <v>0</v>
      </c>
    </row>
    <row r="9" spans="1:27" hidden="1" x14ac:dyDescent="0.2">
      <c r="A9" s="48">
        <f>Matchups!C6</f>
        <v>7</v>
      </c>
      <c r="B9" s="240"/>
      <c r="C9" s="241"/>
      <c r="D9" s="241"/>
      <c r="E9" s="241"/>
      <c r="F9" s="241"/>
      <c r="G9" s="241"/>
      <c r="H9" s="241"/>
      <c r="I9" s="241"/>
      <c r="J9" s="242"/>
      <c r="K9" s="13"/>
      <c r="M9" s="227">
        <f>A9</f>
        <v>7</v>
      </c>
      <c r="N9" s="8"/>
      <c r="O9" s="13"/>
      <c r="P9" s="164"/>
      <c r="Q9" s="66"/>
      <c r="R9" s="66"/>
      <c r="S9" s="66"/>
      <c r="T9" s="154"/>
      <c r="V9" s="2" t="str">
        <f t="shared" si="0"/>
        <v/>
      </c>
      <c r="W9" s="2" t="str">
        <f t="shared" si="1"/>
        <v/>
      </c>
      <c r="X9" s="2" t="str">
        <f t="shared" si="2"/>
        <v/>
      </c>
      <c r="Y9" s="2" t="str">
        <f t="shared" si="3"/>
        <v/>
      </c>
      <c r="Z9" s="2" t="str">
        <f t="shared" si="4"/>
        <v/>
      </c>
      <c r="AA9" s="144">
        <f>IF(SUM(V9:Z9)=0,0,Setup!F$44/SUM(V9:Z9))</f>
        <v>0</v>
      </c>
    </row>
    <row r="10" spans="1:27" x14ac:dyDescent="0.2">
      <c r="A10" s="48" t="str">
        <f>Matchups!C7</f>
        <v>Brian P</v>
      </c>
      <c r="B10" s="240">
        <f>'Day 1 - Match 2'!B10</f>
        <v>7</v>
      </c>
      <c r="C10" s="241">
        <f>'Day 1 - Match 2'!C10</f>
        <v>7</v>
      </c>
      <c r="D10" s="241">
        <f>'Day 1 - Match 2'!D10</f>
        <v>5</v>
      </c>
      <c r="E10" s="241">
        <f>'Day 1 - Match 2'!E10</f>
        <v>3</v>
      </c>
      <c r="F10" s="241">
        <f>'Day 1 - Match 2'!F10</f>
        <v>5</v>
      </c>
      <c r="G10" s="241">
        <f>'Day 1 - Match 2'!G10</f>
        <v>4</v>
      </c>
      <c r="H10" s="241">
        <f>'Day 1 - Match 2'!H10</f>
        <v>4</v>
      </c>
      <c r="I10" s="241">
        <f>'Day 1 - Match 2'!I10</f>
        <v>7</v>
      </c>
      <c r="J10" s="242">
        <f>'Day 1 - Match 2'!J10</f>
        <v>5</v>
      </c>
      <c r="K10" s="13">
        <f t="shared" si="5"/>
        <v>47</v>
      </c>
      <c r="M10" s="227" t="str">
        <f>A10</f>
        <v>Brian P</v>
      </c>
      <c r="N10" s="8">
        <f t="shared" si="6"/>
        <v>47</v>
      </c>
      <c r="O10" s="13">
        <f>K57</f>
        <v>0</v>
      </c>
      <c r="P10" s="164"/>
      <c r="Q10" s="66"/>
      <c r="R10" s="66"/>
      <c r="S10" s="66"/>
      <c r="T10" s="154"/>
      <c r="V10" s="2" t="str">
        <f t="shared" si="0"/>
        <v/>
      </c>
      <c r="W10" s="2" t="str">
        <f t="shared" si="1"/>
        <v/>
      </c>
      <c r="X10" s="2" t="str">
        <f t="shared" si="2"/>
        <v/>
      </c>
      <c r="Y10" s="2" t="str">
        <f t="shared" si="3"/>
        <v/>
      </c>
      <c r="Z10" s="2" t="str">
        <f t="shared" si="4"/>
        <v/>
      </c>
      <c r="AA10" s="144">
        <f>IF(SUM(V10:Z10)=0,0,Setup!F$44/SUM(V10:Z10))</f>
        <v>0</v>
      </c>
    </row>
    <row r="11" spans="1:27" hidden="1" x14ac:dyDescent="0.2">
      <c r="A11" s="48">
        <f>Matchups!C8</f>
        <v>6</v>
      </c>
      <c r="B11" s="240"/>
      <c r="C11" s="241"/>
      <c r="D11" s="241"/>
      <c r="E11" s="241"/>
      <c r="F11" s="241"/>
      <c r="G11" s="241"/>
      <c r="H11" s="241"/>
      <c r="I11" s="241"/>
      <c r="J11" s="242"/>
      <c r="K11" s="13"/>
      <c r="M11" s="227">
        <f t="shared" ref="M11:M37" si="7">A11</f>
        <v>6</v>
      </c>
      <c r="N11" s="8"/>
      <c r="O11" s="13"/>
      <c r="P11" s="164"/>
      <c r="Q11" s="66"/>
      <c r="R11" s="66"/>
      <c r="S11" s="66"/>
      <c r="T11" s="154"/>
      <c r="V11" s="2" t="str">
        <f t="shared" si="0"/>
        <v/>
      </c>
      <c r="W11" s="2" t="str">
        <f t="shared" si="1"/>
        <v/>
      </c>
      <c r="X11" s="2" t="str">
        <f t="shared" si="2"/>
        <v/>
      </c>
      <c r="Y11" s="2" t="str">
        <f t="shared" si="3"/>
        <v/>
      </c>
      <c r="Z11" s="2" t="str">
        <f t="shared" si="4"/>
        <v/>
      </c>
      <c r="AA11" s="144">
        <f>IF(SUM(V11:Z11)=0,0,Setup!F$44/SUM(V11:Z11))</f>
        <v>0</v>
      </c>
    </row>
    <row r="12" spans="1:27" ht="13.5" thickBot="1" x14ac:dyDescent="0.25">
      <c r="A12" s="236" t="str">
        <f>Matchups!C9</f>
        <v xml:space="preserve">Pat </v>
      </c>
      <c r="B12" s="246">
        <f>'Day 1 - Match 2'!B12</f>
        <v>7</v>
      </c>
      <c r="C12" s="247">
        <f>'Day 1 - Match 2'!C12</f>
        <v>6</v>
      </c>
      <c r="D12" s="247">
        <f>'Day 1 - Match 2'!D12</f>
        <v>6</v>
      </c>
      <c r="E12" s="247">
        <f>'Day 1 - Match 2'!E12</f>
        <v>4</v>
      </c>
      <c r="F12" s="247">
        <f>'Day 1 - Match 2'!F12</f>
        <v>4</v>
      </c>
      <c r="G12" s="247">
        <f>'Day 1 - Match 2'!G12</f>
        <v>4</v>
      </c>
      <c r="H12" s="247">
        <f>'Day 1 - Match 2'!H12</f>
        <v>4</v>
      </c>
      <c r="I12" s="247">
        <f>'Day 1 - Match 2'!I12</f>
        <v>6</v>
      </c>
      <c r="J12" s="248">
        <f>'Day 1 - Match 2'!J12</f>
        <v>4</v>
      </c>
      <c r="K12" s="13">
        <f t="shared" si="5"/>
        <v>45</v>
      </c>
      <c r="M12" s="227" t="str">
        <f t="shared" si="7"/>
        <v xml:space="preserve">Pat </v>
      </c>
      <c r="N12" s="8">
        <f t="shared" si="6"/>
        <v>45</v>
      </c>
      <c r="O12" s="13">
        <f>K50</f>
        <v>1</v>
      </c>
      <c r="P12" s="164"/>
      <c r="Q12" s="66"/>
      <c r="R12" s="66"/>
      <c r="S12" s="66"/>
      <c r="T12" s="154"/>
      <c r="V12" s="2" t="str">
        <f t="shared" si="0"/>
        <v/>
      </c>
      <c r="W12" s="2" t="str">
        <f t="shared" si="1"/>
        <v/>
      </c>
      <c r="X12" s="2" t="str">
        <f t="shared" si="2"/>
        <v/>
      </c>
      <c r="Y12" s="2" t="str">
        <f t="shared" si="3"/>
        <v/>
      </c>
      <c r="Z12" s="2" t="str">
        <f t="shared" si="4"/>
        <v/>
      </c>
      <c r="AA12" s="144">
        <f>IF(SUM(V12:Z12)=0,0,Setup!F$44/SUM(V12:Z12))</f>
        <v>0</v>
      </c>
    </row>
    <row r="13" spans="1:27" ht="13.5" hidden="1" thickBot="1" x14ac:dyDescent="0.25">
      <c r="A13" s="72">
        <f>Matchups!C10</f>
        <v>6</v>
      </c>
      <c r="B13" s="270"/>
      <c r="C13" s="270"/>
      <c r="D13" s="270"/>
      <c r="E13" s="270"/>
      <c r="F13" s="270"/>
      <c r="G13" s="270"/>
      <c r="H13" s="270"/>
      <c r="I13" s="270"/>
      <c r="J13" s="270"/>
      <c r="K13" s="229"/>
      <c r="M13" s="334">
        <f t="shared" si="7"/>
        <v>6</v>
      </c>
      <c r="N13" s="70"/>
      <c r="O13" s="229"/>
      <c r="P13" s="165"/>
      <c r="Q13" s="155"/>
      <c r="R13" s="155"/>
      <c r="S13" s="155"/>
      <c r="T13" s="156"/>
      <c r="V13" s="2" t="str">
        <f t="shared" si="0"/>
        <v/>
      </c>
      <c r="W13" s="2" t="str">
        <f t="shared" si="1"/>
        <v/>
      </c>
      <c r="X13" s="2" t="str">
        <f t="shared" si="2"/>
        <v/>
      </c>
      <c r="Y13" s="2" t="str">
        <f t="shared" si="3"/>
        <v/>
      </c>
      <c r="Z13" s="2" t="str">
        <f t="shared" si="4"/>
        <v/>
      </c>
      <c r="AA13" s="144">
        <f>IF(SUM(V13:Z13)=0,0,Setup!F$44/SUM(V13:Z13))</f>
        <v>0</v>
      </c>
    </row>
    <row r="14" spans="1:27" x14ac:dyDescent="0.2">
      <c r="A14" s="47" t="str">
        <f>Matchups!C11</f>
        <v>Rick</v>
      </c>
      <c r="B14" s="237">
        <f>'Day 1 - Match 2'!B14</f>
        <v>6</v>
      </c>
      <c r="C14" s="238">
        <f>'Day 1 - Match 2'!C14</f>
        <v>7</v>
      </c>
      <c r="D14" s="238">
        <f>'Day 1 - Match 2'!D14</f>
        <v>6</v>
      </c>
      <c r="E14" s="238">
        <f>'Day 1 - Match 2'!E14</f>
        <v>3</v>
      </c>
      <c r="F14" s="238">
        <f>'Day 1 - Match 2'!F14</f>
        <v>6</v>
      </c>
      <c r="G14" s="238">
        <f>'Day 1 - Match 2'!G14</f>
        <v>3</v>
      </c>
      <c r="H14" s="238">
        <f>'Day 1 - Match 2'!H14</f>
        <v>4</v>
      </c>
      <c r="I14" s="238">
        <f>'Day 1 - Match 2'!I14</f>
        <v>5</v>
      </c>
      <c r="J14" s="239">
        <f>'Day 1 - Match 2'!J14</f>
        <v>4</v>
      </c>
      <c r="K14" s="12">
        <f t="shared" si="5"/>
        <v>44</v>
      </c>
      <c r="M14" s="226" t="str">
        <f t="shared" si="7"/>
        <v>Rick</v>
      </c>
      <c r="N14" s="5">
        <f t="shared" si="6"/>
        <v>44</v>
      </c>
      <c r="O14" s="5">
        <f>K70</f>
        <v>2</v>
      </c>
      <c r="P14" s="162"/>
      <c r="Q14" s="65"/>
      <c r="R14" s="65"/>
      <c r="S14" s="65"/>
      <c r="T14" s="153"/>
      <c r="V14" s="2" t="str">
        <f t="shared" si="0"/>
        <v/>
      </c>
      <c r="W14" s="2" t="str">
        <f t="shared" si="1"/>
        <v/>
      </c>
      <c r="X14" s="2" t="str">
        <f t="shared" si="2"/>
        <v/>
      </c>
      <c r="Y14" s="2" t="str">
        <f t="shared" si="3"/>
        <v/>
      </c>
      <c r="Z14" s="2" t="str">
        <f t="shared" si="4"/>
        <v/>
      </c>
      <c r="AA14" s="144">
        <f>IF(SUM(V14:Z14)=0,0,Setup!F$44/SUM(V14:Z14))</f>
        <v>0</v>
      </c>
    </row>
    <row r="15" spans="1:27" hidden="1" x14ac:dyDescent="0.2">
      <c r="A15" s="48">
        <f>Matchups!C12</f>
        <v>7</v>
      </c>
      <c r="B15" s="240"/>
      <c r="C15" s="241"/>
      <c r="D15" s="241"/>
      <c r="E15" s="241"/>
      <c r="F15" s="241"/>
      <c r="G15" s="241"/>
      <c r="H15" s="241"/>
      <c r="I15" s="241"/>
      <c r="J15" s="242"/>
      <c r="K15" s="13"/>
      <c r="M15" s="227">
        <f t="shared" si="7"/>
        <v>7</v>
      </c>
      <c r="N15" s="8"/>
      <c r="O15" s="8"/>
      <c r="P15" s="164"/>
      <c r="Q15" s="66"/>
      <c r="R15" s="66"/>
      <c r="S15" s="66"/>
      <c r="T15" s="154"/>
      <c r="V15" s="2" t="str">
        <f t="shared" si="0"/>
        <v/>
      </c>
      <c r="W15" s="2" t="str">
        <f t="shared" si="1"/>
        <v/>
      </c>
      <c r="X15" s="2" t="str">
        <f t="shared" si="2"/>
        <v/>
      </c>
      <c r="Y15" s="2" t="str">
        <f t="shared" si="3"/>
        <v/>
      </c>
      <c r="Z15" s="2" t="str">
        <f t="shared" si="4"/>
        <v/>
      </c>
      <c r="AA15" s="144">
        <f>IF(SUM(V15:Z15)=0,0,Setup!F$44/SUM(V15:Z15))</f>
        <v>0</v>
      </c>
    </row>
    <row r="16" spans="1:27" x14ac:dyDescent="0.2">
      <c r="A16" s="48" t="str">
        <f>Matchups!C13</f>
        <v>Keith</v>
      </c>
      <c r="B16" s="240">
        <f>'Day 1 - Match 2'!B16</f>
        <v>7</v>
      </c>
      <c r="C16" s="241">
        <f>'Day 1 - Match 2'!C16</f>
        <v>7</v>
      </c>
      <c r="D16" s="241">
        <f>'Day 1 - Match 2'!D16</f>
        <v>8</v>
      </c>
      <c r="E16" s="241">
        <f>'Day 1 - Match 2'!E16</f>
        <v>5</v>
      </c>
      <c r="F16" s="241">
        <f>'Day 1 - Match 2'!F16</f>
        <v>7</v>
      </c>
      <c r="G16" s="241">
        <f>'Day 1 - Match 2'!G16</f>
        <v>3</v>
      </c>
      <c r="H16" s="241">
        <f>'Day 1 - Match 2'!H16</f>
        <v>5</v>
      </c>
      <c r="I16" s="241">
        <f>'Day 1 - Match 2'!I16</f>
        <v>6</v>
      </c>
      <c r="J16" s="242">
        <f>'Day 1 - Match 2'!J16</f>
        <v>7</v>
      </c>
      <c r="K16" s="13">
        <f t="shared" si="5"/>
        <v>55</v>
      </c>
      <c r="M16" s="227" t="str">
        <f t="shared" si="7"/>
        <v>Keith</v>
      </c>
      <c r="N16" s="8">
        <f t="shared" si="6"/>
        <v>55</v>
      </c>
      <c r="O16" s="8">
        <f>K89</f>
        <v>2</v>
      </c>
      <c r="P16" s="164"/>
      <c r="Q16" s="66"/>
      <c r="R16" s="66"/>
      <c r="S16" s="66"/>
      <c r="T16" s="154"/>
      <c r="V16" s="2" t="str">
        <f t="shared" si="0"/>
        <v/>
      </c>
      <c r="W16" s="2" t="str">
        <f t="shared" si="1"/>
        <v/>
      </c>
      <c r="X16" s="2" t="str">
        <f t="shared" si="2"/>
        <v/>
      </c>
      <c r="Y16" s="2" t="str">
        <f t="shared" si="3"/>
        <v/>
      </c>
      <c r="Z16" s="2" t="str">
        <f t="shared" si="4"/>
        <v/>
      </c>
      <c r="AA16" s="144">
        <f>IF(SUM(V16:Z16)=0,0,Setup!F$44/SUM(V16:Z16))</f>
        <v>0</v>
      </c>
    </row>
    <row r="17" spans="1:27" hidden="1" x14ac:dyDescent="0.2">
      <c r="A17" s="48">
        <f>Matchups!C14</f>
        <v>16</v>
      </c>
      <c r="B17" s="240"/>
      <c r="C17" s="241"/>
      <c r="D17" s="241"/>
      <c r="E17" s="241"/>
      <c r="F17" s="241"/>
      <c r="G17" s="241"/>
      <c r="H17" s="241"/>
      <c r="I17" s="241"/>
      <c r="J17" s="242"/>
      <c r="K17" s="13"/>
      <c r="M17" s="227">
        <f t="shared" si="7"/>
        <v>16</v>
      </c>
      <c r="N17" s="8"/>
      <c r="O17" s="8"/>
      <c r="P17" s="164"/>
      <c r="Q17" s="66"/>
      <c r="R17" s="66"/>
      <c r="S17" s="66"/>
      <c r="T17" s="154"/>
      <c r="V17" s="2" t="str">
        <f t="shared" si="0"/>
        <v/>
      </c>
      <c r="W17" s="2" t="str">
        <f t="shared" si="1"/>
        <v/>
      </c>
      <c r="X17" s="2" t="str">
        <f t="shared" si="2"/>
        <v/>
      </c>
      <c r="Y17" s="2" t="str">
        <f t="shared" si="3"/>
        <v/>
      </c>
      <c r="Z17" s="2" t="str">
        <f t="shared" si="4"/>
        <v/>
      </c>
      <c r="AA17" s="144">
        <f>IF(SUM(V17:Z17)=0,0,Setup!F$44/SUM(V17:Z17))</f>
        <v>0</v>
      </c>
    </row>
    <row r="18" spans="1:27" x14ac:dyDescent="0.2">
      <c r="A18" s="48" t="str">
        <f>Matchups!C15</f>
        <v>Tony W</v>
      </c>
      <c r="B18" s="240">
        <f>'Day 1 - Match 2'!B18</f>
        <v>8</v>
      </c>
      <c r="C18" s="241">
        <f>'Day 1 - Match 2'!C18</f>
        <v>6</v>
      </c>
      <c r="D18" s="241">
        <f>'Day 1 - Match 2'!D18</f>
        <v>6</v>
      </c>
      <c r="E18" s="241">
        <f>'Day 1 - Match 2'!E18</f>
        <v>3</v>
      </c>
      <c r="F18" s="241">
        <f>'Day 1 - Match 2'!F18</f>
        <v>6</v>
      </c>
      <c r="G18" s="241">
        <f>'Day 1 - Match 2'!G18</f>
        <v>3</v>
      </c>
      <c r="H18" s="241">
        <f>'Day 1 - Match 2'!H18</f>
        <v>5</v>
      </c>
      <c r="I18" s="241">
        <f>'Day 1 - Match 2'!I18</f>
        <v>7</v>
      </c>
      <c r="J18" s="242">
        <f>'Day 1 - Match 2'!J18</f>
        <v>8</v>
      </c>
      <c r="K18" s="13">
        <f t="shared" si="5"/>
        <v>52</v>
      </c>
      <c r="M18" s="227" t="str">
        <f t="shared" si="7"/>
        <v>Tony W</v>
      </c>
      <c r="N18" s="8">
        <f t="shared" si="6"/>
        <v>52</v>
      </c>
      <c r="O18" s="8">
        <f>K83</f>
        <v>0</v>
      </c>
      <c r="P18" s="164"/>
      <c r="Q18" s="66"/>
      <c r="R18" s="66"/>
      <c r="S18" s="66"/>
      <c r="T18" s="154"/>
      <c r="V18" s="2" t="str">
        <f t="shared" si="0"/>
        <v/>
      </c>
      <c r="W18" s="2" t="str">
        <f t="shared" si="1"/>
        <v/>
      </c>
      <c r="X18" s="2" t="str">
        <f t="shared" si="2"/>
        <v/>
      </c>
      <c r="Y18" s="2" t="str">
        <f t="shared" si="3"/>
        <v/>
      </c>
      <c r="Z18" s="2" t="str">
        <f t="shared" si="4"/>
        <v/>
      </c>
      <c r="AA18" s="144">
        <f>IF(SUM(V18:Z18)=0,0,Setup!F$44/SUM(V18:Z18))</f>
        <v>0</v>
      </c>
    </row>
    <row r="19" spans="1:27" hidden="1" x14ac:dyDescent="0.2">
      <c r="A19" s="411">
        <f>Matchups!C16</f>
        <v>10</v>
      </c>
      <c r="B19" s="243"/>
      <c r="C19" s="244"/>
      <c r="D19" s="244"/>
      <c r="E19" s="244"/>
      <c r="F19" s="244"/>
      <c r="G19" s="244"/>
      <c r="H19" s="244"/>
      <c r="I19" s="244"/>
      <c r="J19" s="245"/>
      <c r="K19" s="229"/>
      <c r="M19" s="334">
        <f t="shared" si="7"/>
        <v>10</v>
      </c>
      <c r="N19" s="70"/>
      <c r="O19" s="70"/>
      <c r="P19" s="165"/>
      <c r="Q19" s="155"/>
      <c r="R19" s="155"/>
      <c r="S19" s="155"/>
      <c r="T19" s="156"/>
      <c r="V19" s="2" t="str">
        <f t="shared" si="0"/>
        <v/>
      </c>
      <c r="W19" s="2" t="str">
        <f t="shared" si="1"/>
        <v/>
      </c>
      <c r="X19" s="2" t="str">
        <f t="shared" si="2"/>
        <v/>
      </c>
      <c r="Y19" s="2" t="str">
        <f t="shared" si="3"/>
        <v/>
      </c>
      <c r="Z19" s="2" t="str">
        <f t="shared" si="4"/>
        <v/>
      </c>
      <c r="AA19" s="144">
        <f>IF(SUM(V19:Z19)=0,0,Setup!F$44/SUM(V19:Z19))</f>
        <v>0</v>
      </c>
    </row>
    <row r="20" spans="1:27" ht="13.5" thickBot="1" x14ac:dyDescent="0.25">
      <c r="A20" s="48" t="str">
        <f>Matchups!C17</f>
        <v>Manny</v>
      </c>
      <c r="B20" s="240">
        <f>'Day 1 - Match 2'!B20</f>
        <v>10</v>
      </c>
      <c r="C20" s="241">
        <f>'Day 1 - Match 2'!C20</f>
        <v>9</v>
      </c>
      <c r="D20" s="241">
        <f>'Day 1 - Match 2'!D20</f>
        <v>9</v>
      </c>
      <c r="E20" s="241">
        <f>'Day 1 - Match 2'!E20</f>
        <v>4</v>
      </c>
      <c r="F20" s="241">
        <f>'Day 1 - Match 2'!F20</f>
        <v>5</v>
      </c>
      <c r="G20" s="241">
        <f>'Day 1 - Match 2'!G20</f>
        <v>8</v>
      </c>
      <c r="H20" s="241">
        <f>'Day 1 - Match 2'!H20</f>
        <v>4</v>
      </c>
      <c r="I20" s="241">
        <f>'Day 1 - Match 2'!I20</f>
        <v>9</v>
      </c>
      <c r="J20" s="242">
        <f>'Day 1 - Match 2'!J20</f>
        <v>9</v>
      </c>
      <c r="K20" s="13">
        <f t="shared" si="5"/>
        <v>67</v>
      </c>
      <c r="M20" s="227" t="str">
        <f t="shared" si="7"/>
        <v>Manny</v>
      </c>
      <c r="N20" s="8">
        <f t="shared" si="6"/>
        <v>67</v>
      </c>
      <c r="O20" s="8">
        <f>K76</f>
        <v>0</v>
      </c>
      <c r="P20" s="164"/>
      <c r="Q20" s="66"/>
      <c r="R20" s="66"/>
      <c r="S20" s="66"/>
      <c r="T20" s="154"/>
      <c r="V20" s="2" t="str">
        <f t="shared" si="0"/>
        <v/>
      </c>
      <c r="W20" s="2" t="str">
        <f t="shared" si="1"/>
        <v/>
      </c>
      <c r="X20" s="2" t="str">
        <f t="shared" si="2"/>
        <v/>
      </c>
      <c r="Y20" s="2" t="str">
        <f t="shared" si="3"/>
        <v/>
      </c>
      <c r="Z20" s="2" t="str">
        <f t="shared" si="4"/>
        <v/>
      </c>
      <c r="AA20" s="144">
        <f>IF(SUM(V20:Z20)=0,0,Setup!F$44/SUM(V20:Z20))</f>
        <v>0</v>
      </c>
    </row>
    <row r="21" spans="1:27" ht="13.5" hidden="1" thickBot="1" x14ac:dyDescent="0.25">
      <c r="A21" s="411">
        <f>Matchups!C18</f>
        <v>14</v>
      </c>
      <c r="B21" s="243"/>
      <c r="C21" s="244"/>
      <c r="D21" s="244"/>
      <c r="E21" s="244"/>
      <c r="F21" s="244"/>
      <c r="G21" s="244"/>
      <c r="H21" s="244"/>
      <c r="I21" s="244"/>
      <c r="J21" s="245"/>
      <c r="K21" s="229"/>
      <c r="M21" s="334">
        <f t="shared" si="7"/>
        <v>14</v>
      </c>
      <c r="N21" s="70"/>
      <c r="O21" s="70"/>
      <c r="P21" s="165"/>
      <c r="Q21" s="155"/>
      <c r="R21" s="155"/>
      <c r="S21" s="155"/>
      <c r="T21" s="156"/>
      <c r="V21" s="2" t="str">
        <f t="shared" si="0"/>
        <v/>
      </c>
      <c r="W21" s="2" t="str">
        <f t="shared" si="1"/>
        <v/>
      </c>
      <c r="X21" s="2" t="str">
        <f t="shared" si="2"/>
        <v/>
      </c>
      <c r="Y21" s="2" t="str">
        <f t="shared" si="3"/>
        <v/>
      </c>
      <c r="Z21" s="2" t="str">
        <f t="shared" si="4"/>
        <v/>
      </c>
      <c r="AA21" s="144">
        <f>IF(SUM(V21:Z21)=0,0,Setup!F$44/SUM(V21:Z21))</f>
        <v>0</v>
      </c>
    </row>
    <row r="22" spans="1:27" x14ac:dyDescent="0.2">
      <c r="A22" s="47" t="str">
        <f>Matchups!C19</f>
        <v>Tommy</v>
      </c>
      <c r="B22" s="237">
        <f>'Day 1 - Match 2'!B22</f>
        <v>7</v>
      </c>
      <c r="C22" s="238">
        <f>'Day 1 - Match 2'!C22</f>
        <v>6</v>
      </c>
      <c r="D22" s="238">
        <f>'Day 1 - Match 2'!D22</f>
        <v>7</v>
      </c>
      <c r="E22" s="238">
        <f>'Day 1 - Match 2'!E22</f>
        <v>4</v>
      </c>
      <c r="F22" s="238">
        <f>'Day 1 - Match 2'!F22</f>
        <v>5</v>
      </c>
      <c r="G22" s="238">
        <f>'Day 1 - Match 2'!G22</f>
        <v>3</v>
      </c>
      <c r="H22" s="238">
        <f>'Day 1 - Match 2'!H22</f>
        <v>4</v>
      </c>
      <c r="I22" s="238">
        <f>'Day 1 - Match 2'!I22</f>
        <v>4</v>
      </c>
      <c r="J22" s="239">
        <f>'Day 1 - Match 2'!J22</f>
        <v>4</v>
      </c>
      <c r="K22" s="12">
        <f t="shared" si="5"/>
        <v>44</v>
      </c>
      <c r="M22" s="226" t="str">
        <f t="shared" si="7"/>
        <v>Tommy</v>
      </c>
      <c r="N22" s="5">
        <f t="shared" si="6"/>
        <v>44</v>
      </c>
      <c r="O22" s="5">
        <f>K96</f>
        <v>2</v>
      </c>
      <c r="P22" s="162"/>
      <c r="Q22" s="65"/>
      <c r="R22" s="65"/>
      <c r="S22" s="65"/>
      <c r="T22" s="153"/>
      <c r="V22" s="2" t="str">
        <f t="shared" si="0"/>
        <v/>
      </c>
      <c r="W22" s="2" t="str">
        <f t="shared" si="1"/>
        <v/>
      </c>
      <c r="X22" s="2" t="str">
        <f t="shared" si="2"/>
        <v/>
      </c>
      <c r="Y22" s="2" t="str">
        <f t="shared" si="3"/>
        <v/>
      </c>
      <c r="Z22" s="2" t="str">
        <f t="shared" si="4"/>
        <v/>
      </c>
      <c r="AA22" s="144">
        <f>IF(SUM(V22:Z22)=0,0,Setup!F$44/SUM(V22:Z22))</f>
        <v>0</v>
      </c>
    </row>
    <row r="23" spans="1:27" hidden="1" x14ac:dyDescent="0.2">
      <c r="A23" s="48">
        <f>Matchups!C20</f>
        <v>5</v>
      </c>
      <c r="B23" s="240"/>
      <c r="C23" s="241"/>
      <c r="D23" s="241"/>
      <c r="E23" s="241"/>
      <c r="F23" s="241"/>
      <c r="G23" s="241"/>
      <c r="H23" s="241"/>
      <c r="I23" s="241"/>
      <c r="J23" s="242"/>
      <c r="K23" s="13"/>
      <c r="M23" s="227">
        <f t="shared" si="7"/>
        <v>5</v>
      </c>
      <c r="N23" s="8"/>
      <c r="O23" s="8"/>
      <c r="P23" s="164"/>
      <c r="Q23" s="66"/>
      <c r="R23" s="66"/>
      <c r="S23" s="66"/>
      <c r="T23" s="154"/>
      <c r="V23" s="2" t="str">
        <f t="shared" si="0"/>
        <v/>
      </c>
      <c r="W23" s="2" t="str">
        <f t="shared" si="1"/>
        <v/>
      </c>
      <c r="X23" s="2" t="str">
        <f t="shared" si="2"/>
        <v/>
      </c>
      <c r="Y23" s="2" t="str">
        <f t="shared" si="3"/>
        <v/>
      </c>
      <c r="Z23" s="2" t="str">
        <f t="shared" si="4"/>
        <v/>
      </c>
      <c r="AA23" s="144">
        <f>IF(SUM(V23:Z23)=0,0,Setup!F$44/SUM(V23:Z23))</f>
        <v>0</v>
      </c>
    </row>
    <row r="24" spans="1:27" x14ac:dyDescent="0.2">
      <c r="A24" s="48" t="str">
        <f>Matchups!C21</f>
        <v>Dave</v>
      </c>
      <c r="B24" s="240">
        <f>'Day 1 - Match 2'!B24</f>
        <v>8</v>
      </c>
      <c r="C24" s="241">
        <f>'Day 1 - Match 2'!C24</f>
        <v>5</v>
      </c>
      <c r="D24" s="241">
        <f>'Day 1 - Match 2'!D24</f>
        <v>6</v>
      </c>
      <c r="E24" s="241">
        <f>'Day 1 - Match 2'!E24</f>
        <v>4</v>
      </c>
      <c r="F24" s="241">
        <f>'Day 1 - Match 2'!F24</f>
        <v>4</v>
      </c>
      <c r="G24" s="241">
        <f>'Day 1 - Match 2'!G24</f>
        <v>3</v>
      </c>
      <c r="H24" s="241">
        <f>'Day 1 - Match 2'!H24</f>
        <v>5</v>
      </c>
      <c r="I24" s="241">
        <f>'Day 1 - Match 2'!I24</f>
        <v>4</v>
      </c>
      <c r="J24" s="242">
        <f>'Day 1 - Match 2'!J24</f>
        <v>4</v>
      </c>
      <c r="K24" s="13">
        <f t="shared" si="5"/>
        <v>43</v>
      </c>
      <c r="M24" s="227" t="str">
        <f t="shared" si="7"/>
        <v>Dave</v>
      </c>
      <c r="N24" s="8">
        <f t="shared" si="6"/>
        <v>43</v>
      </c>
      <c r="O24" s="8">
        <f>K115</f>
        <v>2</v>
      </c>
      <c r="P24" s="164"/>
      <c r="Q24" s="66"/>
      <c r="R24" s="66"/>
      <c r="S24" s="66"/>
      <c r="T24" s="154"/>
      <c r="V24" s="2" t="str">
        <f t="shared" si="0"/>
        <v/>
      </c>
      <c r="W24" s="2" t="str">
        <f t="shared" si="1"/>
        <v/>
      </c>
      <c r="X24" s="2" t="str">
        <f t="shared" si="2"/>
        <v/>
      </c>
      <c r="Y24" s="2" t="str">
        <f t="shared" si="3"/>
        <v/>
      </c>
      <c r="Z24" s="2" t="str">
        <f t="shared" si="4"/>
        <v/>
      </c>
      <c r="AA24" s="144">
        <f>IF(SUM(V24:Z24)=0,0,Setup!F$44/SUM(V24:Z24))</f>
        <v>0</v>
      </c>
    </row>
    <row r="25" spans="1:27" hidden="1" x14ac:dyDescent="0.2">
      <c r="A25" s="48">
        <f>Matchups!C22</f>
        <v>5</v>
      </c>
      <c r="B25" s="240"/>
      <c r="C25" s="241"/>
      <c r="D25" s="241"/>
      <c r="E25" s="241"/>
      <c r="F25" s="241"/>
      <c r="G25" s="241"/>
      <c r="H25" s="241"/>
      <c r="I25" s="241"/>
      <c r="J25" s="242"/>
      <c r="K25" s="13"/>
      <c r="M25" s="227">
        <f t="shared" si="7"/>
        <v>5</v>
      </c>
      <c r="N25" s="8"/>
      <c r="O25" s="8"/>
      <c r="P25" s="164"/>
      <c r="Q25" s="66"/>
      <c r="R25" s="66"/>
      <c r="S25" s="66"/>
      <c r="T25" s="154"/>
      <c r="V25" s="2" t="str">
        <f t="shared" si="0"/>
        <v/>
      </c>
      <c r="W25" s="2" t="str">
        <f t="shared" si="1"/>
        <v/>
      </c>
      <c r="X25" s="2" t="str">
        <f t="shared" si="2"/>
        <v/>
      </c>
      <c r="Y25" s="2" t="str">
        <f t="shared" si="3"/>
        <v/>
      </c>
      <c r="Z25" s="2" t="str">
        <f t="shared" si="4"/>
        <v/>
      </c>
      <c r="AA25" s="144">
        <f>IF(SUM(V25:Z25)=0,0,Setup!F$44/SUM(V25:Z25))</f>
        <v>0</v>
      </c>
    </row>
    <row r="26" spans="1:27" x14ac:dyDescent="0.2">
      <c r="A26" s="48" t="str">
        <f>Matchups!C23</f>
        <v>Hunter</v>
      </c>
      <c r="B26" s="240">
        <f>'Day 1 - Match 2'!B26</f>
        <v>5</v>
      </c>
      <c r="C26" s="241">
        <f>'Day 1 - Match 2'!C26</f>
        <v>6</v>
      </c>
      <c r="D26" s="241">
        <f>'Day 1 - Match 2'!D26</f>
        <v>7</v>
      </c>
      <c r="E26" s="241">
        <f>'Day 1 - Match 2'!E26</f>
        <v>6</v>
      </c>
      <c r="F26" s="241">
        <f>'Day 1 - Match 2'!F26</f>
        <v>7</v>
      </c>
      <c r="G26" s="241">
        <f>'Day 1 - Match 2'!G26</f>
        <v>4</v>
      </c>
      <c r="H26" s="241">
        <f>'Day 1 - Match 2'!H26</f>
        <v>5</v>
      </c>
      <c r="I26" s="241">
        <f>'Day 1 - Match 2'!I26</f>
        <v>9</v>
      </c>
      <c r="J26" s="242">
        <f>'Day 1 - Match 2'!J26</f>
        <v>9</v>
      </c>
      <c r="K26" s="13">
        <f t="shared" si="5"/>
        <v>58</v>
      </c>
      <c r="M26" s="227" t="str">
        <f t="shared" si="7"/>
        <v>Hunter</v>
      </c>
      <c r="N26" s="8">
        <f t="shared" si="6"/>
        <v>58</v>
      </c>
      <c r="O26" s="8">
        <f>K109</f>
        <v>0</v>
      </c>
      <c r="P26" s="164"/>
      <c r="Q26" s="66"/>
      <c r="R26" s="66"/>
      <c r="S26" s="66"/>
      <c r="T26" s="154"/>
      <c r="V26" s="2" t="str">
        <f t="shared" si="0"/>
        <v/>
      </c>
      <c r="W26" s="2" t="str">
        <f t="shared" si="1"/>
        <v/>
      </c>
      <c r="X26" s="2" t="str">
        <f t="shared" si="2"/>
        <v/>
      </c>
      <c r="Y26" s="2" t="str">
        <f t="shared" si="3"/>
        <v/>
      </c>
      <c r="Z26" s="2" t="str">
        <f t="shared" si="4"/>
        <v/>
      </c>
      <c r="AA26" s="144">
        <f>IF(SUM(V26:Z26)=0,0,Setup!F$44/SUM(V26:Z26))</f>
        <v>0</v>
      </c>
    </row>
    <row r="27" spans="1:27" hidden="1" x14ac:dyDescent="0.2">
      <c r="A27" s="48">
        <f>Matchups!C24</f>
        <v>7</v>
      </c>
      <c r="B27" s="240"/>
      <c r="C27" s="241"/>
      <c r="D27" s="241"/>
      <c r="E27" s="241"/>
      <c r="F27" s="241"/>
      <c r="G27" s="241"/>
      <c r="H27" s="241"/>
      <c r="I27" s="241"/>
      <c r="J27" s="242"/>
      <c r="K27" s="13"/>
      <c r="M27" s="227">
        <f t="shared" si="7"/>
        <v>7</v>
      </c>
      <c r="N27" s="8"/>
      <c r="O27" s="8"/>
      <c r="P27" s="164"/>
      <c r="Q27" s="66"/>
      <c r="R27" s="66"/>
      <c r="S27" s="66"/>
      <c r="T27" s="154"/>
      <c r="V27" s="2" t="str">
        <f t="shared" si="0"/>
        <v/>
      </c>
      <c r="W27" s="2" t="str">
        <f t="shared" si="1"/>
        <v/>
      </c>
      <c r="X27" s="2" t="str">
        <f t="shared" si="2"/>
        <v/>
      </c>
      <c r="Y27" s="2" t="str">
        <f t="shared" si="3"/>
        <v/>
      </c>
      <c r="Z27" s="2" t="str">
        <f t="shared" si="4"/>
        <v/>
      </c>
      <c r="AA27" s="144">
        <f>IF(SUM(V27:Z27)=0,0,Setup!F$44/SUM(V27:Z27))</f>
        <v>0</v>
      </c>
    </row>
    <row r="28" spans="1:27" ht="13.5" thickBot="1" x14ac:dyDescent="0.25">
      <c r="A28" s="236" t="str">
        <f>Matchups!C25</f>
        <v>Gerald C</v>
      </c>
      <c r="B28" s="246">
        <f>'Day 1 - Match 2'!B28</f>
        <v>6</v>
      </c>
      <c r="C28" s="247">
        <f>'Day 1 - Match 2'!C28</f>
        <v>8</v>
      </c>
      <c r="D28" s="247">
        <f>'Day 1 - Match 2'!D28</f>
        <v>7</v>
      </c>
      <c r="E28" s="247">
        <f>'Day 1 - Match 2'!E28</f>
        <v>6</v>
      </c>
      <c r="F28" s="247">
        <f>'Day 1 - Match 2'!F28</f>
        <v>8</v>
      </c>
      <c r="G28" s="247">
        <f>'Day 1 - Match 2'!G28</f>
        <v>3</v>
      </c>
      <c r="H28" s="247">
        <f>'Day 1 - Match 2'!H28</f>
        <v>5</v>
      </c>
      <c r="I28" s="247">
        <f>'Day 1 - Match 2'!I28</f>
        <v>5</v>
      </c>
      <c r="J28" s="248">
        <f>'Day 1 - Match 2'!J28</f>
        <v>6</v>
      </c>
      <c r="K28" s="14">
        <f t="shared" si="5"/>
        <v>54</v>
      </c>
      <c r="M28" s="227" t="str">
        <f t="shared" si="7"/>
        <v>Gerald C</v>
      </c>
      <c r="N28" s="8">
        <f t="shared" si="6"/>
        <v>54</v>
      </c>
      <c r="O28" s="8">
        <f>K102</f>
        <v>0</v>
      </c>
      <c r="P28" s="164"/>
      <c r="Q28" s="66"/>
      <c r="R28" s="66"/>
      <c r="S28" s="66"/>
      <c r="T28" s="154"/>
      <c r="V28" s="2" t="str">
        <f t="shared" si="0"/>
        <v/>
      </c>
      <c r="W28" s="2" t="str">
        <f t="shared" si="1"/>
        <v/>
      </c>
      <c r="X28" s="2" t="str">
        <f t="shared" si="2"/>
        <v/>
      </c>
      <c r="Y28" s="2" t="str">
        <f t="shared" si="3"/>
        <v/>
      </c>
      <c r="Z28" s="2" t="str">
        <f t="shared" si="4"/>
        <v/>
      </c>
      <c r="AA28" s="144">
        <f>IF(SUM(V28:Z28)=0,0,Setup!F$44/SUM(V28:Z28))</f>
        <v>0</v>
      </c>
    </row>
    <row r="29" spans="1:27" ht="13.5" hidden="1" thickBot="1" x14ac:dyDescent="0.25">
      <c r="A29" s="531">
        <f>Matchups!C26</f>
        <v>12</v>
      </c>
      <c r="B29" s="532"/>
      <c r="C29" s="249"/>
      <c r="D29" s="249"/>
      <c r="E29" s="249"/>
      <c r="F29" s="249"/>
      <c r="G29" s="249"/>
      <c r="H29" s="249"/>
      <c r="I29" s="249"/>
      <c r="J29" s="533"/>
      <c r="K29" s="231"/>
      <c r="M29" s="334">
        <f t="shared" si="7"/>
        <v>12</v>
      </c>
      <c r="N29" s="70"/>
      <c r="O29" s="70"/>
      <c r="P29" s="165"/>
      <c r="Q29" s="155"/>
      <c r="R29" s="155"/>
      <c r="S29" s="155"/>
      <c r="T29" s="156"/>
      <c r="V29" s="2" t="str">
        <f t="shared" si="0"/>
        <v/>
      </c>
      <c r="W29" s="2" t="str">
        <f t="shared" si="1"/>
        <v/>
      </c>
      <c r="X29" s="2" t="str">
        <f t="shared" si="2"/>
        <v/>
      </c>
      <c r="Y29" s="2" t="str">
        <f t="shared" si="3"/>
        <v/>
      </c>
      <c r="Z29" s="2" t="str">
        <f t="shared" si="4"/>
        <v/>
      </c>
      <c r="AA29" s="144">
        <f>IF(SUM(V29:Z29)=0,0,Setup!F$44/SUM(V29:Z29))</f>
        <v>0</v>
      </c>
    </row>
    <row r="30" spans="1:27" x14ac:dyDescent="0.2">
      <c r="A30" s="48" t="str">
        <f>Matchups!C27</f>
        <v>Bob</v>
      </c>
      <c r="B30" s="240">
        <f>'Day 1 - Match 2'!B30</f>
        <v>6</v>
      </c>
      <c r="C30" s="241">
        <f>'Day 1 - Match 2'!C30</f>
        <v>7</v>
      </c>
      <c r="D30" s="241">
        <f>'Day 1 - Match 2'!D30</f>
        <v>7</v>
      </c>
      <c r="E30" s="241">
        <f>'Day 1 - Match 2'!E30</f>
        <v>3</v>
      </c>
      <c r="F30" s="241">
        <f>'Day 1 - Match 2'!F30</f>
        <v>7</v>
      </c>
      <c r="G30" s="241">
        <f>'Day 1 - Match 2'!G30</f>
        <v>4</v>
      </c>
      <c r="H30" s="241">
        <f>'Day 1 - Match 2'!H30</f>
        <v>8</v>
      </c>
      <c r="I30" s="241">
        <f>'Day 1 - Match 2'!I30</f>
        <v>4</v>
      </c>
      <c r="J30" s="242">
        <f>'Day 1 - Match 2'!J30</f>
        <v>5</v>
      </c>
      <c r="K30" s="13">
        <f>SUM(B30:J30)</f>
        <v>51</v>
      </c>
      <c r="M30" s="226" t="str">
        <f t="shared" si="7"/>
        <v>Bob</v>
      </c>
      <c r="N30" s="5">
        <f t="shared" si="6"/>
        <v>51</v>
      </c>
      <c r="O30" s="5">
        <f>K122</f>
        <v>2</v>
      </c>
      <c r="P30" s="162"/>
      <c r="Q30" s="65"/>
      <c r="R30" s="65"/>
      <c r="S30" s="65"/>
      <c r="T30" s="153"/>
      <c r="V30" s="2" t="str">
        <f t="shared" si="0"/>
        <v/>
      </c>
      <c r="W30" s="2" t="str">
        <f t="shared" si="1"/>
        <v/>
      </c>
      <c r="X30" s="2" t="str">
        <f t="shared" si="2"/>
        <v/>
      </c>
      <c r="Y30" s="2" t="str">
        <f t="shared" si="3"/>
        <v/>
      </c>
      <c r="Z30" s="2" t="str">
        <f t="shared" si="4"/>
        <v/>
      </c>
      <c r="AA30" s="144">
        <f>IF(SUM(V30:Z30)=0,0,Setup!F$44/SUM(V30:Z30))</f>
        <v>0</v>
      </c>
    </row>
    <row r="31" spans="1:27" hidden="1" x14ac:dyDescent="0.2">
      <c r="A31" s="48">
        <f>Matchups!C28</f>
        <v>10</v>
      </c>
      <c r="B31" s="240"/>
      <c r="C31" s="241"/>
      <c r="D31" s="241"/>
      <c r="E31" s="241"/>
      <c r="F31" s="241"/>
      <c r="G31" s="241"/>
      <c r="H31" s="241"/>
      <c r="I31" s="241"/>
      <c r="J31" s="242"/>
      <c r="K31" s="13"/>
      <c r="M31" s="227">
        <f t="shared" si="7"/>
        <v>10</v>
      </c>
      <c r="N31" s="8"/>
      <c r="O31" s="8"/>
      <c r="P31" s="164"/>
      <c r="Q31" s="66"/>
      <c r="R31" s="66"/>
      <c r="S31" s="66"/>
      <c r="T31" s="154"/>
      <c r="V31" s="2" t="str">
        <f t="shared" si="0"/>
        <v/>
      </c>
      <c r="W31" s="2" t="str">
        <f t="shared" si="1"/>
        <v/>
      </c>
      <c r="X31" s="2" t="str">
        <f t="shared" si="2"/>
        <v/>
      </c>
      <c r="Y31" s="2" t="str">
        <f t="shared" si="3"/>
        <v/>
      </c>
      <c r="Z31" s="2" t="str">
        <f t="shared" si="4"/>
        <v/>
      </c>
      <c r="AA31" s="144">
        <f>IF(SUM(V31:Z31)=0,0,Setup!F$44/SUM(V31:Z31))</f>
        <v>0</v>
      </c>
    </row>
    <row r="32" spans="1:27" x14ac:dyDescent="0.2">
      <c r="A32" s="48" t="str">
        <f>Matchups!C29</f>
        <v>Patrick</v>
      </c>
      <c r="B32" s="240">
        <f>'Day 1 - Match 2'!B32</f>
        <v>9</v>
      </c>
      <c r="C32" s="241">
        <f>'Day 1 - Match 2'!C32</f>
        <v>5</v>
      </c>
      <c r="D32" s="241">
        <f>'Day 1 - Match 2'!D32</f>
        <v>10</v>
      </c>
      <c r="E32" s="241">
        <f>'Day 1 - Match 2'!E32</f>
        <v>3</v>
      </c>
      <c r="F32" s="241">
        <f>'Day 1 - Match 2'!F32</f>
        <v>5</v>
      </c>
      <c r="G32" s="241">
        <f>'Day 1 - Match 2'!G32</f>
        <v>4</v>
      </c>
      <c r="H32" s="241">
        <f>'Day 1 - Match 2'!H32</f>
        <v>5</v>
      </c>
      <c r="I32" s="241">
        <f>'Day 1 - Match 2'!I32</f>
        <v>5</v>
      </c>
      <c r="J32" s="242">
        <f>'Day 1 - Match 2'!J32</f>
        <v>5</v>
      </c>
      <c r="K32" s="13">
        <f>SUM(B32:J32)</f>
        <v>51</v>
      </c>
      <c r="M32" s="227" t="str">
        <f t="shared" si="7"/>
        <v>Patrick</v>
      </c>
      <c r="N32" s="8">
        <f t="shared" si="6"/>
        <v>51</v>
      </c>
      <c r="O32" s="8">
        <f>K135</f>
        <v>0</v>
      </c>
      <c r="P32" s="164"/>
      <c r="Q32" s="66"/>
      <c r="R32" s="66"/>
      <c r="S32" s="66"/>
      <c r="T32" s="154"/>
      <c r="V32" s="2" t="str">
        <f t="shared" si="0"/>
        <v/>
      </c>
      <c r="W32" s="2" t="str">
        <f t="shared" si="1"/>
        <v/>
      </c>
      <c r="X32" s="2" t="str">
        <f t="shared" si="2"/>
        <v/>
      </c>
      <c r="Y32" s="2" t="str">
        <f t="shared" si="3"/>
        <v/>
      </c>
      <c r="Z32" s="2" t="str">
        <f t="shared" si="4"/>
        <v/>
      </c>
      <c r="AA32" s="144">
        <f>IF(SUM(V32:Z32)=0,0,Setup!F$44/SUM(V32:Z32))</f>
        <v>0</v>
      </c>
    </row>
    <row r="33" spans="1:27" hidden="1" x14ac:dyDescent="0.2">
      <c r="A33" s="48">
        <f>Matchups!C30</f>
        <v>8</v>
      </c>
      <c r="B33" s="240"/>
      <c r="C33" s="241"/>
      <c r="D33" s="241"/>
      <c r="E33" s="241"/>
      <c r="F33" s="241"/>
      <c r="G33" s="241"/>
      <c r="H33" s="241"/>
      <c r="I33" s="241"/>
      <c r="J33" s="242"/>
      <c r="K33" s="13"/>
      <c r="M33" s="227">
        <f t="shared" si="7"/>
        <v>8</v>
      </c>
      <c r="N33" s="8"/>
      <c r="O33" s="8"/>
      <c r="P33" s="164"/>
      <c r="Q33" s="66"/>
      <c r="R33" s="66"/>
      <c r="S33" s="66"/>
      <c r="T33" s="154"/>
      <c r="V33" s="2" t="str">
        <f t="shared" si="0"/>
        <v/>
      </c>
      <c r="W33" s="2" t="str">
        <f t="shared" si="1"/>
        <v/>
      </c>
      <c r="X33" s="2" t="str">
        <f t="shared" si="2"/>
        <v/>
      </c>
      <c r="Y33" s="2" t="str">
        <f t="shared" si="3"/>
        <v/>
      </c>
      <c r="Z33" s="2" t="str">
        <f t="shared" si="4"/>
        <v/>
      </c>
      <c r="AA33" s="144">
        <f>IF(SUM(V33:Z33)=0,0,Setup!F$44/SUM(V33:Z33))</f>
        <v>0</v>
      </c>
    </row>
    <row r="34" spans="1:27" x14ac:dyDescent="0.2">
      <c r="A34" s="48" t="str">
        <f>Matchups!C31</f>
        <v>Brian S</v>
      </c>
      <c r="B34" s="240">
        <f>'Day 1 - Match 2'!B34</f>
        <v>7</v>
      </c>
      <c r="C34" s="241">
        <f>'Day 1 - Match 2'!C34</f>
        <v>9</v>
      </c>
      <c r="D34" s="241">
        <f>'Day 1 - Match 2'!D34</f>
        <v>10</v>
      </c>
      <c r="E34" s="241">
        <f>'Day 1 - Match 2'!E34</f>
        <v>4</v>
      </c>
      <c r="F34" s="241">
        <f>'Day 1 - Match 2'!F34</f>
        <v>5</v>
      </c>
      <c r="G34" s="241">
        <f>'Day 1 - Match 2'!G34</f>
        <v>3</v>
      </c>
      <c r="H34" s="241">
        <f>'Day 1 - Match 2'!H34</f>
        <v>5</v>
      </c>
      <c r="I34" s="241">
        <f>'Day 1 - Match 2'!I34</f>
        <v>6</v>
      </c>
      <c r="J34" s="242">
        <f>'Day 1 - Match 2'!J34</f>
        <v>5</v>
      </c>
      <c r="K34" s="13">
        <f>SUM(B34:J34)</f>
        <v>54</v>
      </c>
      <c r="M34" s="227" t="str">
        <f t="shared" si="7"/>
        <v>Brian S</v>
      </c>
      <c r="N34" s="8">
        <f t="shared" si="6"/>
        <v>54</v>
      </c>
      <c r="O34" s="8">
        <f>K141</f>
        <v>2</v>
      </c>
      <c r="P34" s="164"/>
      <c r="Q34" s="66"/>
      <c r="R34" s="66"/>
      <c r="S34" s="66"/>
      <c r="T34" s="154"/>
      <c r="V34" s="2" t="str">
        <f t="shared" si="0"/>
        <v/>
      </c>
      <c r="W34" s="2" t="str">
        <f t="shared" si="1"/>
        <v/>
      </c>
      <c r="X34" s="2" t="str">
        <f t="shared" si="2"/>
        <v/>
      </c>
      <c r="Y34" s="2" t="str">
        <f t="shared" si="3"/>
        <v/>
      </c>
      <c r="Z34" s="2" t="str">
        <f t="shared" si="4"/>
        <v/>
      </c>
      <c r="AA34" s="144">
        <f>IF(SUM(V34:Z34)=0,0,Setup!F$44/SUM(V34:Z34))</f>
        <v>0</v>
      </c>
    </row>
    <row r="35" spans="1:27" hidden="1" x14ac:dyDescent="0.2">
      <c r="A35" s="48">
        <f>Matchups!C32</f>
        <v>13</v>
      </c>
      <c r="B35" s="240"/>
      <c r="C35" s="241"/>
      <c r="D35" s="241"/>
      <c r="E35" s="241"/>
      <c r="F35" s="241"/>
      <c r="G35" s="241"/>
      <c r="H35" s="241"/>
      <c r="I35" s="241"/>
      <c r="J35" s="242"/>
      <c r="K35" s="13"/>
      <c r="M35" s="227">
        <f t="shared" si="7"/>
        <v>13</v>
      </c>
      <c r="N35" s="8"/>
      <c r="O35" s="8"/>
      <c r="P35" s="164"/>
      <c r="Q35" s="66"/>
      <c r="R35" s="66"/>
      <c r="S35" s="66"/>
      <c r="T35" s="154"/>
      <c r="V35" s="2" t="str">
        <f t="shared" si="0"/>
        <v/>
      </c>
      <c r="W35" s="2" t="str">
        <f t="shared" si="1"/>
        <v/>
      </c>
      <c r="X35" s="2" t="str">
        <f t="shared" si="2"/>
        <v/>
      </c>
      <c r="Y35" s="2" t="str">
        <f t="shared" si="3"/>
        <v/>
      </c>
      <c r="Z35" s="2" t="str">
        <f t="shared" si="4"/>
        <v/>
      </c>
      <c r="AA35" s="144">
        <f>IF(SUM(V35:Z35)=0,0,Setup!F$44/SUM(V35:Z35))</f>
        <v>0</v>
      </c>
    </row>
    <row r="36" spans="1:27" ht="13.5" thickBot="1" x14ac:dyDescent="0.25">
      <c r="A36" s="236" t="str">
        <f>Matchups!C33</f>
        <v>Chris</v>
      </c>
      <c r="B36" s="246">
        <f>'Day 1 - Match 2'!B36</f>
        <v>9</v>
      </c>
      <c r="C36" s="247">
        <f>'Day 1 - Match 2'!C36</f>
        <v>5</v>
      </c>
      <c r="D36" s="247">
        <f>'Day 1 - Match 2'!D36</f>
        <v>8</v>
      </c>
      <c r="E36" s="247">
        <f>'Day 1 - Match 2'!E36</f>
        <v>4</v>
      </c>
      <c r="F36" s="247">
        <f>'Day 1 - Match 2'!F36</f>
        <v>6</v>
      </c>
      <c r="G36" s="247">
        <f>'Day 1 - Match 2'!G36</f>
        <v>5</v>
      </c>
      <c r="H36" s="247">
        <f>'Day 1 - Match 2'!H36</f>
        <v>5</v>
      </c>
      <c r="I36" s="247">
        <f>'Day 1 - Match 2'!I36</f>
        <v>6</v>
      </c>
      <c r="J36" s="248">
        <f>'Day 1 - Match 2'!J36</f>
        <v>7</v>
      </c>
      <c r="K36" s="14">
        <f>SUM(B36:J36)</f>
        <v>55</v>
      </c>
      <c r="M36" s="228" t="str">
        <f t="shared" si="7"/>
        <v>Chris</v>
      </c>
      <c r="N36" s="11">
        <f t="shared" si="6"/>
        <v>55</v>
      </c>
      <c r="O36" s="11">
        <f>K128</f>
        <v>0</v>
      </c>
      <c r="P36" s="166"/>
      <c r="Q36" s="67"/>
      <c r="R36" s="67"/>
      <c r="S36" s="67"/>
      <c r="T36" s="157"/>
      <c r="V36" s="2" t="str">
        <f t="shared" si="0"/>
        <v/>
      </c>
      <c r="W36" s="2" t="str">
        <f t="shared" si="1"/>
        <v/>
      </c>
      <c r="X36" s="2" t="str">
        <f t="shared" si="2"/>
        <v/>
      </c>
      <c r="Y36" s="2" t="str">
        <f t="shared" si="3"/>
        <v/>
      </c>
      <c r="Z36" s="2" t="str">
        <f t="shared" si="4"/>
        <v/>
      </c>
      <c r="AA36" s="144">
        <f>IF(SUM(V36:Z36)=0,0,Setup!F$44/SUM(V36:Z36))</f>
        <v>0</v>
      </c>
    </row>
    <row r="37" spans="1:27" hidden="1" x14ac:dyDescent="0.2">
      <c r="A37" s="72">
        <f>Matchups!C34</f>
        <v>15</v>
      </c>
      <c r="B37" s="271"/>
      <c r="C37" s="270"/>
      <c r="D37" s="270"/>
      <c r="E37" s="270"/>
      <c r="F37" s="270"/>
      <c r="G37" s="270"/>
      <c r="H37" s="270"/>
      <c r="I37" s="270"/>
      <c r="J37" s="272"/>
      <c r="K37" s="250"/>
      <c r="M37" s="262">
        <f t="shared" si="7"/>
        <v>15</v>
      </c>
      <c r="N37" s="71"/>
      <c r="O37" s="71"/>
      <c r="P37" s="163"/>
      <c r="Q37" s="158"/>
      <c r="R37" s="158"/>
      <c r="S37" s="158"/>
      <c r="T37" s="159"/>
      <c r="V37" s="2" t="str">
        <f t="shared" si="0"/>
        <v/>
      </c>
      <c r="W37" s="2" t="str">
        <f t="shared" si="1"/>
        <v/>
      </c>
      <c r="X37" s="2" t="str">
        <f t="shared" si="2"/>
        <v/>
      </c>
      <c r="Y37" s="2" t="str">
        <f t="shared" si="3"/>
        <v/>
      </c>
      <c r="Z37" s="2" t="str">
        <f t="shared" si="4"/>
        <v/>
      </c>
      <c r="AA37" s="144">
        <f>IF(SUM(V37:Z37)=0,0,Setup!F$44/SUM(V37:Z37))</f>
        <v>0</v>
      </c>
    </row>
    <row r="38" spans="1:27" x14ac:dyDescent="0.2">
      <c r="A38" s="26"/>
      <c r="B38" s="15"/>
      <c r="C38" s="15"/>
      <c r="D38" s="15"/>
      <c r="E38" s="15"/>
      <c r="F38" s="15"/>
      <c r="G38" s="15"/>
      <c r="H38" s="15"/>
      <c r="I38" s="15"/>
      <c r="J38" s="15"/>
      <c r="K38" s="15"/>
      <c r="AA38" s="139"/>
    </row>
    <row r="39" spans="1:27" x14ac:dyDescent="0.2">
      <c r="S39" s="52">
        <f>COUNTIF(S6:S37,1)</f>
        <v>0</v>
      </c>
    </row>
    <row r="40" spans="1:27" ht="13.5" thickBot="1" x14ac:dyDescent="0.25">
      <c r="A40" s="24" t="s">
        <v>8</v>
      </c>
    </row>
    <row r="41" spans="1:27" x14ac:dyDescent="0.2">
      <c r="A41" s="79" t="str">
        <f t="shared" ref="A41:J41" si="8">A6</f>
        <v>Mil</v>
      </c>
      <c r="B41" s="17">
        <f t="shared" si="8"/>
        <v>6</v>
      </c>
      <c r="C41" s="3">
        <f t="shared" si="8"/>
        <v>4</v>
      </c>
      <c r="D41" s="3">
        <f t="shared" si="8"/>
        <v>6</v>
      </c>
      <c r="E41" s="3">
        <f t="shared" si="8"/>
        <v>4</v>
      </c>
      <c r="F41" s="3">
        <f t="shared" si="8"/>
        <v>9</v>
      </c>
      <c r="G41" s="3">
        <f t="shared" si="8"/>
        <v>5</v>
      </c>
      <c r="H41" s="3">
        <f t="shared" si="8"/>
        <v>6</v>
      </c>
      <c r="I41" s="3">
        <f t="shared" si="8"/>
        <v>3</v>
      </c>
      <c r="J41" s="4">
        <f t="shared" si="8"/>
        <v>4</v>
      </c>
      <c r="K41" s="12">
        <f>SUM(B41:J41)</f>
        <v>47</v>
      </c>
    </row>
    <row r="42" spans="1:27" x14ac:dyDescent="0.2">
      <c r="A42" s="80">
        <f>A7</f>
        <v>6</v>
      </c>
      <c r="B42" s="18">
        <f>IF(AND(ISNUMBER($A42),ISNUMBER($A48)),IF((RANK(B$4,$B$4:$J$4,1))&lt;=($A42-$A48),1,0),"")</f>
        <v>0</v>
      </c>
      <c r="C42" s="6">
        <f t="shared" ref="C42:J43" si="9">IF(AND(ISNUMBER($A42),ISNUMBER($A48)),IF((RANK(C$4,$B$4:$J$4,1))&lt;=($A42-$A48),1,0),"")</f>
        <v>0</v>
      </c>
      <c r="D42" s="6">
        <f t="shared" si="9"/>
        <v>0</v>
      </c>
      <c r="E42" s="6">
        <f t="shared" si="9"/>
        <v>0</v>
      </c>
      <c r="F42" s="6">
        <f t="shared" si="9"/>
        <v>0</v>
      </c>
      <c r="G42" s="6">
        <f t="shared" si="9"/>
        <v>0</v>
      </c>
      <c r="H42" s="6">
        <f t="shared" si="9"/>
        <v>0</v>
      </c>
      <c r="I42" s="6">
        <f t="shared" si="9"/>
        <v>0</v>
      </c>
      <c r="J42" s="7">
        <f t="shared" si="9"/>
        <v>0</v>
      </c>
      <c r="K42" s="8">
        <f>SUM(B42:J42)</f>
        <v>0</v>
      </c>
    </row>
    <row r="43" spans="1:27" x14ac:dyDescent="0.2">
      <c r="A43" s="80">
        <f>IF((A42-A48)&gt;9,(A42-A48-9),0)</f>
        <v>0</v>
      </c>
      <c r="B43" s="18">
        <f>IF(AND(ISNUMBER($A43),ISNUMBER($A49)),IF((RANK(B$4,$B$4:$J$4,1))&lt;=($A43-$A49),1,0),"")</f>
        <v>0</v>
      </c>
      <c r="C43" s="6">
        <f t="shared" si="9"/>
        <v>0</v>
      </c>
      <c r="D43" s="6">
        <f t="shared" si="9"/>
        <v>0</v>
      </c>
      <c r="E43" s="6">
        <f t="shared" si="9"/>
        <v>0</v>
      </c>
      <c r="F43" s="6">
        <f t="shared" si="9"/>
        <v>0</v>
      </c>
      <c r="G43" s="6">
        <f t="shared" si="9"/>
        <v>0</v>
      </c>
      <c r="H43" s="6">
        <f t="shared" si="9"/>
        <v>0</v>
      </c>
      <c r="I43" s="6">
        <f t="shared" si="9"/>
        <v>0</v>
      </c>
      <c r="J43" s="7">
        <f t="shared" si="9"/>
        <v>0</v>
      </c>
      <c r="K43" s="8">
        <f>SUM(B43:J43)</f>
        <v>0</v>
      </c>
    </row>
    <row r="44" spans="1:27" x14ac:dyDescent="0.2">
      <c r="A44" s="80"/>
      <c r="B44" s="82">
        <f>IF(AND(ISNUMBER(B41),ISNUMBER(B42)),B41-B42-B43," ")</f>
        <v>6</v>
      </c>
      <c r="C44" s="86">
        <f t="shared" ref="C44:J44" si="10">IF(AND(ISNUMBER(C41),ISNUMBER(C42)),C41-C42-C43," ")</f>
        <v>4</v>
      </c>
      <c r="D44" s="86">
        <f t="shared" si="10"/>
        <v>6</v>
      </c>
      <c r="E44" s="86">
        <f t="shared" si="10"/>
        <v>4</v>
      </c>
      <c r="F44" s="86">
        <f t="shared" si="10"/>
        <v>9</v>
      </c>
      <c r="G44" s="86">
        <f t="shared" si="10"/>
        <v>5</v>
      </c>
      <c r="H44" s="86">
        <f t="shared" si="10"/>
        <v>6</v>
      </c>
      <c r="I44" s="86">
        <f t="shared" si="10"/>
        <v>3</v>
      </c>
      <c r="J44" s="87">
        <f t="shared" si="10"/>
        <v>4</v>
      </c>
      <c r="K44" s="8">
        <f>IF(ISNUMBER(FIND("Wins",K45)), 2, IF(ISNUMBER(FIND("Tie",K45)), 1, 0))</f>
        <v>1</v>
      </c>
    </row>
    <row r="45" spans="1:27" ht="13.5" thickBot="1" x14ac:dyDescent="0.25">
      <c r="A45" s="81"/>
      <c r="B45" s="19">
        <f>IF(AND(ISNUMBER(B44),ISNUMBER(B50)),IF(B44&lt;B50, 0+1, (IF(B44&gt;B50, 0-1, 0)))," ")</f>
        <v>1</v>
      </c>
      <c r="C45" s="9">
        <f t="shared" ref="C45:J45" si="11">IF(AND(ISNUMBER(C44),ISNUMBER(C50)),IF(C44&lt;C50, +B45+1, (IF(C44&gt;C50, +B45-1, +B45)))," ")</f>
        <v>2</v>
      </c>
      <c r="D45" s="9">
        <f t="shared" si="11"/>
        <v>2</v>
      </c>
      <c r="E45" s="9">
        <f t="shared" si="11"/>
        <v>2</v>
      </c>
      <c r="F45" s="9">
        <f t="shared" si="11"/>
        <v>1</v>
      </c>
      <c r="G45" s="9">
        <f t="shared" si="11"/>
        <v>0</v>
      </c>
      <c r="H45" s="9">
        <f t="shared" si="11"/>
        <v>-1</v>
      </c>
      <c r="I45" s="9">
        <f t="shared" si="11"/>
        <v>0</v>
      </c>
      <c r="J45" s="10">
        <f t="shared" si="11"/>
        <v>0</v>
      </c>
      <c r="K45" s="11" t="str">
        <f>IF(ISNUMBER(J45),IF(F45&gt;4,"Wins " &amp; F45 &amp; " &amp; 4",IF(G45&gt;3,"Wins " &amp; G45 &amp; " &amp; 3",IF(H45&gt;2,"Wins " &amp; H45 &amp; " &amp; 2",IF(I45&gt;1,"Wins " &amp; I45 &amp; " &amp; 1",IF(J45&gt;J51,"Wins " &amp; J45 &amp; " Up",IF(J45&lt;J51,"Loss","Tie"))))))," ")</f>
        <v>Tie</v>
      </c>
    </row>
    <row r="46" spans="1:27" ht="13.5" thickBot="1" x14ac:dyDescent="0.25">
      <c r="A46" s="32"/>
    </row>
    <row r="47" spans="1:27" x14ac:dyDescent="0.2">
      <c r="A47" s="79" t="str">
        <f t="shared" ref="A47:J47" si="12">A12</f>
        <v xml:space="preserve">Pat </v>
      </c>
      <c r="B47" s="17">
        <f t="shared" si="12"/>
        <v>7</v>
      </c>
      <c r="C47" s="3">
        <f t="shared" si="12"/>
        <v>6</v>
      </c>
      <c r="D47" s="3">
        <f t="shared" si="12"/>
        <v>6</v>
      </c>
      <c r="E47" s="3">
        <f t="shared" si="12"/>
        <v>4</v>
      </c>
      <c r="F47" s="3">
        <f t="shared" si="12"/>
        <v>4</v>
      </c>
      <c r="G47" s="3">
        <f t="shared" si="12"/>
        <v>4</v>
      </c>
      <c r="H47" s="3">
        <f t="shared" si="12"/>
        <v>4</v>
      </c>
      <c r="I47" s="3">
        <f t="shared" si="12"/>
        <v>6</v>
      </c>
      <c r="J47" s="4">
        <f t="shared" si="12"/>
        <v>4</v>
      </c>
      <c r="K47" s="12">
        <f>SUM(B47:J47)</f>
        <v>45</v>
      </c>
    </row>
    <row r="48" spans="1:27" x14ac:dyDescent="0.2">
      <c r="A48" s="80">
        <f>A13</f>
        <v>6</v>
      </c>
      <c r="B48" s="18">
        <f>IF(AND(ISNUMBER($A42),ISNUMBER($A48)),IF((RANK(B$4,$B$4:$J$4,1))&lt;=($A48-$A42),1,0),"")</f>
        <v>0</v>
      </c>
      <c r="C48" s="6">
        <f t="shared" ref="C48:J49" si="13">IF(AND(ISNUMBER($A42),ISNUMBER($A48)),IF((RANK(C$4,$B$4:$J$4,1))&lt;=($A48-$A42),1,0),"")</f>
        <v>0</v>
      </c>
      <c r="D48" s="6">
        <f t="shared" si="13"/>
        <v>0</v>
      </c>
      <c r="E48" s="6">
        <f t="shared" si="13"/>
        <v>0</v>
      </c>
      <c r="F48" s="6">
        <f t="shared" si="13"/>
        <v>0</v>
      </c>
      <c r="G48" s="6">
        <f t="shared" si="13"/>
        <v>0</v>
      </c>
      <c r="H48" s="6">
        <f t="shared" si="13"/>
        <v>0</v>
      </c>
      <c r="I48" s="6">
        <f t="shared" si="13"/>
        <v>0</v>
      </c>
      <c r="J48" s="7">
        <f t="shared" si="13"/>
        <v>0</v>
      </c>
      <c r="K48" s="13">
        <f>SUM(B48:J48)</f>
        <v>0</v>
      </c>
    </row>
    <row r="49" spans="1:27" x14ac:dyDescent="0.2">
      <c r="A49" s="80">
        <f>IF((A48-A42)&gt;9,(A48-A42-9),0)</f>
        <v>0</v>
      </c>
      <c r="B49" s="18">
        <f>IF(AND(ISNUMBER($A43),ISNUMBER($A49)),IF((RANK(B$4,$B$4:$J$4,1))&lt;=($A49-$A43),1,0),"")</f>
        <v>0</v>
      </c>
      <c r="C49" s="6">
        <f t="shared" si="13"/>
        <v>0</v>
      </c>
      <c r="D49" s="6">
        <f t="shared" si="13"/>
        <v>0</v>
      </c>
      <c r="E49" s="6">
        <f t="shared" si="13"/>
        <v>0</v>
      </c>
      <c r="F49" s="6">
        <f t="shared" si="13"/>
        <v>0</v>
      </c>
      <c r="G49" s="6">
        <f t="shared" si="13"/>
        <v>0</v>
      </c>
      <c r="H49" s="6">
        <f t="shared" si="13"/>
        <v>0</v>
      </c>
      <c r="I49" s="6">
        <f t="shared" si="13"/>
        <v>0</v>
      </c>
      <c r="J49" s="7">
        <f t="shared" si="13"/>
        <v>0</v>
      </c>
      <c r="K49" s="13">
        <f>SUM(B49:J49)</f>
        <v>0</v>
      </c>
    </row>
    <row r="50" spans="1:27" x14ac:dyDescent="0.2">
      <c r="A50" s="80"/>
      <c r="B50" s="82">
        <f>IF(AND(ISNUMBER(B47),ISNUMBER(B48)),B47-B48-B49," ")</f>
        <v>7</v>
      </c>
      <c r="C50" s="83">
        <f t="shared" ref="C50:J50" si="14">IF(AND(ISNUMBER(C47),ISNUMBER(C48)),C47-C48-C49," ")</f>
        <v>6</v>
      </c>
      <c r="D50" s="83">
        <f t="shared" si="14"/>
        <v>6</v>
      </c>
      <c r="E50" s="83">
        <f t="shared" si="14"/>
        <v>4</v>
      </c>
      <c r="F50" s="83">
        <f t="shared" si="14"/>
        <v>4</v>
      </c>
      <c r="G50" s="83">
        <f t="shared" si="14"/>
        <v>4</v>
      </c>
      <c r="H50" s="83">
        <f t="shared" si="14"/>
        <v>4</v>
      </c>
      <c r="I50" s="83">
        <f t="shared" si="14"/>
        <v>6</v>
      </c>
      <c r="J50" s="84">
        <f t="shared" si="14"/>
        <v>4</v>
      </c>
      <c r="K50" s="13">
        <f>IF(ISNUMBER(FIND("Wins",K51)), 2, IF(ISNUMBER(FIND("Tie",K51)), 1, 0))</f>
        <v>1</v>
      </c>
    </row>
    <row r="51" spans="1:27" ht="13.5" thickBot="1" x14ac:dyDescent="0.25">
      <c r="A51" s="81"/>
      <c r="B51" s="19">
        <f>IF(AND(ISNUMBER(B44),ISNUMBER(B50)),IF(B50&lt;B44, 0+1, (IF(B50&gt;B44, 0-1, 0)))," ")</f>
        <v>-1</v>
      </c>
      <c r="C51" s="9">
        <f t="shared" ref="C51:J51" si="15">IF(AND(ISNUMBER(C44),ISNUMBER(C50)),IF(C50&lt;C44, +B51+1, (IF(C50&gt;C44, +B51-1, +B51)))," ")</f>
        <v>-2</v>
      </c>
      <c r="D51" s="9">
        <f t="shared" si="15"/>
        <v>-2</v>
      </c>
      <c r="E51" s="9">
        <f t="shared" si="15"/>
        <v>-2</v>
      </c>
      <c r="F51" s="9">
        <f t="shared" si="15"/>
        <v>-1</v>
      </c>
      <c r="G51" s="9">
        <f t="shared" si="15"/>
        <v>0</v>
      </c>
      <c r="H51" s="9">
        <f t="shared" si="15"/>
        <v>1</v>
      </c>
      <c r="I51" s="9">
        <f t="shared" si="15"/>
        <v>0</v>
      </c>
      <c r="J51" s="10">
        <f t="shared" si="15"/>
        <v>0</v>
      </c>
      <c r="K51" s="14" t="str">
        <f>IF(ISNUMBER(J51),IF(F51&gt;4,"Wins " &amp; F51 &amp; " &amp; 4",IF(G51&gt;3,"Wins " &amp; G51 &amp; " &amp; 3",IF(H51&gt;2,"Wins " &amp; H51 &amp; " &amp; 2",IF(I51&gt;1,"Wins " &amp; I51 &amp; " &amp; 1",IF(J51&gt;J45,"Wins " &amp; J51 &amp; " Up",IF(J51&lt;J45,"Loss","Tie"))))))," ")</f>
        <v>Tie</v>
      </c>
    </row>
    <row r="53" spans="1:27" s="16" customFormat="1" ht="13.5" thickBot="1" x14ac:dyDescent="0.25">
      <c r="A53" s="24" t="s">
        <v>9</v>
      </c>
      <c r="B53" s="2"/>
      <c r="C53" s="2"/>
      <c r="D53" s="2"/>
      <c r="E53" s="2"/>
      <c r="F53" s="2"/>
      <c r="G53" s="2"/>
      <c r="H53" s="2"/>
      <c r="I53" s="2"/>
      <c r="J53" s="2"/>
      <c r="K53" s="2"/>
      <c r="N53" s="15"/>
      <c r="O53" s="15"/>
      <c r="P53" s="59"/>
      <c r="Q53" s="59"/>
      <c r="R53" s="59"/>
      <c r="S53" s="59"/>
      <c r="T53" s="59"/>
      <c r="W53" s="15"/>
      <c r="X53" s="15"/>
      <c r="Y53" s="15"/>
      <c r="Z53" s="15"/>
      <c r="AA53" s="15"/>
    </row>
    <row r="54" spans="1:27" s="16" customFormat="1" x14ac:dyDescent="0.2">
      <c r="A54" s="29" t="str">
        <f t="shared" ref="A54:J54" si="16">A10</f>
        <v>Brian P</v>
      </c>
      <c r="B54" s="17">
        <f t="shared" si="16"/>
        <v>7</v>
      </c>
      <c r="C54" s="3">
        <f t="shared" si="16"/>
        <v>7</v>
      </c>
      <c r="D54" s="3">
        <f t="shared" si="16"/>
        <v>5</v>
      </c>
      <c r="E54" s="3">
        <f t="shared" si="16"/>
        <v>3</v>
      </c>
      <c r="F54" s="3">
        <f t="shared" si="16"/>
        <v>5</v>
      </c>
      <c r="G54" s="3">
        <f t="shared" si="16"/>
        <v>4</v>
      </c>
      <c r="H54" s="3">
        <f t="shared" si="16"/>
        <v>4</v>
      </c>
      <c r="I54" s="3">
        <f t="shared" si="16"/>
        <v>7</v>
      </c>
      <c r="J54" s="4">
        <f t="shared" si="16"/>
        <v>5</v>
      </c>
      <c r="K54" s="12">
        <f>SUM(B54:J54)</f>
        <v>47</v>
      </c>
      <c r="N54" s="15"/>
      <c r="O54" s="15"/>
      <c r="P54" s="59"/>
      <c r="Q54" s="59"/>
      <c r="R54" s="59"/>
      <c r="S54" s="59"/>
      <c r="T54" s="59"/>
      <c r="W54" s="15"/>
      <c r="X54" s="15"/>
      <c r="Y54" s="15"/>
      <c r="Z54" s="15"/>
      <c r="AA54" s="15"/>
    </row>
    <row r="55" spans="1:27" s="16" customFormat="1" x14ac:dyDescent="0.2">
      <c r="A55" s="30">
        <f>A11</f>
        <v>6</v>
      </c>
      <c r="B55" s="18">
        <f>IF(AND(ISNUMBER($A55),ISNUMBER($A61)),IF((RANK(B$4,$B$4:$J$4,1))&lt;=($A55-$A61),1,0),"")</f>
        <v>0</v>
      </c>
      <c r="C55" s="6">
        <f t="shared" ref="C55:J56" si="17">IF(AND(ISNUMBER($A55),ISNUMBER($A61)),IF((RANK(C$4,$B$4:$J$4,1))&lt;=($A55-$A61),1,0),"")</f>
        <v>0</v>
      </c>
      <c r="D55" s="6">
        <f t="shared" si="17"/>
        <v>0</v>
      </c>
      <c r="E55" s="6">
        <f t="shared" si="17"/>
        <v>0</v>
      </c>
      <c r="F55" s="6">
        <f t="shared" si="17"/>
        <v>0</v>
      </c>
      <c r="G55" s="6">
        <f t="shared" si="17"/>
        <v>0</v>
      </c>
      <c r="H55" s="6">
        <f t="shared" si="17"/>
        <v>0</v>
      </c>
      <c r="I55" s="6">
        <f t="shared" si="17"/>
        <v>0</v>
      </c>
      <c r="J55" s="7">
        <f t="shared" si="17"/>
        <v>0</v>
      </c>
      <c r="K55" s="13">
        <f>SUM(B55:J55)</f>
        <v>0</v>
      </c>
      <c r="N55" s="15"/>
      <c r="O55" s="15"/>
      <c r="P55" s="59"/>
      <c r="Q55" s="59"/>
      <c r="R55" s="59"/>
      <c r="S55" s="59"/>
      <c r="T55" s="59"/>
      <c r="W55" s="15"/>
      <c r="X55" s="15"/>
      <c r="Y55" s="15"/>
      <c r="Z55" s="15"/>
      <c r="AA55" s="15"/>
    </row>
    <row r="56" spans="1:27" s="16" customFormat="1" x14ac:dyDescent="0.2">
      <c r="A56" s="30">
        <f>IF((A55-A61)&gt;9,(A55-A61-9),0)</f>
        <v>0</v>
      </c>
      <c r="B56" s="18">
        <f>IF(AND(ISNUMBER($A56),ISNUMBER($A62)),IF((RANK(B$4,$B$4:$J$4,1))&lt;=($A56-$A62),1,0),"")</f>
        <v>0</v>
      </c>
      <c r="C56" s="6">
        <f t="shared" si="17"/>
        <v>0</v>
      </c>
      <c r="D56" s="6">
        <f t="shared" si="17"/>
        <v>0</v>
      </c>
      <c r="E56" s="6">
        <f t="shared" si="17"/>
        <v>0</v>
      </c>
      <c r="F56" s="6">
        <f t="shared" si="17"/>
        <v>0</v>
      </c>
      <c r="G56" s="6">
        <f t="shared" si="17"/>
        <v>0</v>
      </c>
      <c r="H56" s="6">
        <f t="shared" si="17"/>
        <v>0</v>
      </c>
      <c r="I56" s="6">
        <f t="shared" si="17"/>
        <v>0</v>
      </c>
      <c r="J56" s="7">
        <f t="shared" si="17"/>
        <v>0</v>
      </c>
      <c r="K56" s="13">
        <f>SUM(B56:J56)</f>
        <v>0</v>
      </c>
      <c r="N56" s="15"/>
      <c r="O56" s="15"/>
      <c r="P56" s="59"/>
      <c r="Q56" s="59"/>
      <c r="R56" s="59"/>
      <c r="S56" s="59"/>
      <c r="T56" s="59"/>
      <c r="W56" s="15"/>
      <c r="X56" s="15"/>
      <c r="Y56" s="15"/>
      <c r="Z56" s="15"/>
      <c r="AA56" s="15"/>
    </row>
    <row r="57" spans="1:27" s="16" customFormat="1" x14ac:dyDescent="0.2">
      <c r="A57" s="30"/>
      <c r="B57" s="82">
        <f>IF(AND(ISNUMBER(B54),ISNUMBER(B55)),B54-B55-B56," ")</f>
        <v>7</v>
      </c>
      <c r="C57" s="83">
        <f t="shared" ref="C57:J57" si="18">IF(AND(ISNUMBER(C54),ISNUMBER(C55)),C54-C55-C56," ")</f>
        <v>7</v>
      </c>
      <c r="D57" s="83">
        <f t="shared" si="18"/>
        <v>5</v>
      </c>
      <c r="E57" s="83">
        <f t="shared" si="18"/>
        <v>3</v>
      </c>
      <c r="F57" s="83">
        <f t="shared" si="18"/>
        <v>5</v>
      </c>
      <c r="G57" s="83">
        <f t="shared" si="18"/>
        <v>4</v>
      </c>
      <c r="H57" s="83">
        <f t="shared" si="18"/>
        <v>4</v>
      </c>
      <c r="I57" s="83">
        <f t="shared" si="18"/>
        <v>7</v>
      </c>
      <c r="J57" s="84">
        <f t="shared" si="18"/>
        <v>5</v>
      </c>
      <c r="K57" s="13">
        <f>IF(ISNUMBER(FIND("Wins",K58)), 2, IF(ISNUMBER(FIND("Tie",K58)), 1, 0))</f>
        <v>0</v>
      </c>
      <c r="N57" s="15"/>
      <c r="O57" s="15"/>
      <c r="P57" s="59"/>
      <c r="Q57" s="59"/>
      <c r="R57" s="59"/>
      <c r="S57" s="59"/>
      <c r="T57" s="59"/>
      <c r="W57" s="15"/>
      <c r="X57" s="15"/>
      <c r="Y57" s="15"/>
      <c r="Z57" s="15"/>
      <c r="AA57" s="15"/>
    </row>
    <row r="58" spans="1:27" s="16" customFormat="1" ht="13.5" thickBot="1" x14ac:dyDescent="0.25">
      <c r="A58" s="31"/>
      <c r="B58" s="19">
        <f>IF(AND(ISNUMBER(B57),ISNUMBER(B63)),IF(B57&lt;B63, 0+1, (IF(B57&gt;B63, 0-1, 0)))," ")</f>
        <v>-1</v>
      </c>
      <c r="C58" s="9">
        <f t="shared" ref="C58:J58" si="19">IF(AND(ISNUMBER(C57),ISNUMBER(C63)),IF(C57&lt;C63, +B58+1, (IF(C57&gt;C63, +B58-1, +B58)))," ")</f>
        <v>-2</v>
      </c>
      <c r="D58" s="9">
        <f t="shared" si="19"/>
        <v>-1</v>
      </c>
      <c r="E58" s="9">
        <f t="shared" si="19"/>
        <v>0</v>
      </c>
      <c r="F58" s="9">
        <f t="shared" si="19"/>
        <v>-1</v>
      </c>
      <c r="G58" s="9">
        <f t="shared" si="19"/>
        <v>-2</v>
      </c>
      <c r="H58" s="9">
        <f t="shared" si="19"/>
        <v>-2</v>
      </c>
      <c r="I58" s="9">
        <f t="shared" si="19"/>
        <v>-3</v>
      </c>
      <c r="J58" s="10">
        <f t="shared" si="19"/>
        <v>-3</v>
      </c>
      <c r="K58" s="14" t="str">
        <f>IF(ISNUMBER(J58),IF(F58&gt;4,"Wins " &amp; F58 &amp; " &amp; 4",IF(G58&gt;3,"Wins " &amp; G58 &amp; " &amp; 3",IF(H58&gt;2,"Wins " &amp; H58 &amp; " &amp; 2",IF(I58&gt;1,"Wins " &amp; I58 &amp; " &amp; 1",IF(J58&gt;J64,"Wins " &amp; J58 &amp; " Up",IF(J58&lt;J64,"Loss","Tie"))))))," ")</f>
        <v>Loss</v>
      </c>
      <c r="N58" s="15"/>
      <c r="O58" s="15"/>
      <c r="P58" s="59"/>
      <c r="Q58" s="59"/>
      <c r="R58" s="59"/>
      <c r="S58" s="59"/>
      <c r="T58" s="59"/>
      <c r="W58" s="15"/>
      <c r="X58" s="15"/>
      <c r="Y58" s="15"/>
      <c r="Z58" s="15"/>
      <c r="AA58" s="15"/>
    </row>
    <row r="59" spans="1:27" s="16" customFormat="1" ht="13.5" thickBot="1" x14ac:dyDescent="0.25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N59" s="15"/>
      <c r="O59" s="15"/>
      <c r="P59" s="59"/>
      <c r="Q59" s="59"/>
      <c r="R59" s="59"/>
      <c r="S59" s="59"/>
      <c r="T59" s="59"/>
      <c r="W59" s="15"/>
      <c r="X59" s="15"/>
      <c r="Y59" s="15"/>
      <c r="Z59" s="15"/>
      <c r="AA59" s="15"/>
    </row>
    <row r="60" spans="1:27" s="16" customFormat="1" x14ac:dyDescent="0.2">
      <c r="A60" s="79" t="str">
        <f t="shared" ref="A60:J60" si="20">A8</f>
        <v>John</v>
      </c>
      <c r="B60" s="17">
        <f t="shared" si="20"/>
        <v>5</v>
      </c>
      <c r="C60" s="3">
        <f t="shared" si="20"/>
        <v>5</v>
      </c>
      <c r="D60" s="3">
        <f t="shared" si="20"/>
        <v>8</v>
      </c>
      <c r="E60" s="3">
        <f t="shared" si="20"/>
        <v>4</v>
      </c>
      <c r="F60" s="3">
        <f t="shared" si="20"/>
        <v>5</v>
      </c>
      <c r="G60" s="3">
        <f t="shared" si="20"/>
        <v>3</v>
      </c>
      <c r="H60" s="3">
        <f t="shared" si="20"/>
        <v>4</v>
      </c>
      <c r="I60" s="3">
        <f t="shared" si="20"/>
        <v>4</v>
      </c>
      <c r="J60" s="4">
        <f t="shared" si="20"/>
        <v>5</v>
      </c>
      <c r="K60" s="12">
        <f>SUM(B60:J60)</f>
        <v>43</v>
      </c>
      <c r="N60" s="15"/>
      <c r="O60" s="15"/>
      <c r="P60" s="59"/>
      <c r="Q60" s="59"/>
      <c r="R60" s="59"/>
      <c r="S60" s="59"/>
      <c r="T60" s="59"/>
      <c r="W60" s="15"/>
      <c r="X60" s="15"/>
      <c r="Y60" s="15"/>
      <c r="Z60" s="15"/>
      <c r="AA60" s="15"/>
    </row>
    <row r="61" spans="1:27" s="16" customFormat="1" x14ac:dyDescent="0.2">
      <c r="A61" s="80">
        <f>A9</f>
        <v>7</v>
      </c>
      <c r="B61" s="18">
        <f>IF(AND(ISNUMBER($A55),ISNUMBER($A61)),IF((RANK(B$4,$B$4:$J$4,1))&lt;=($A61-$A55),1,0),"")</f>
        <v>0</v>
      </c>
      <c r="C61" s="6">
        <f t="shared" ref="C61:J62" si="21">IF(AND(ISNUMBER($A55),ISNUMBER($A61)),IF((RANK(C$4,$B$4:$J$4,1))&lt;=($A61-$A55),1,0),"")</f>
        <v>0</v>
      </c>
      <c r="D61" s="6">
        <f t="shared" si="21"/>
        <v>0</v>
      </c>
      <c r="E61" s="6">
        <f t="shared" si="21"/>
        <v>0</v>
      </c>
      <c r="F61" s="6">
        <f t="shared" si="21"/>
        <v>1</v>
      </c>
      <c r="G61" s="6">
        <f t="shared" si="21"/>
        <v>0</v>
      </c>
      <c r="H61" s="6">
        <f t="shared" si="21"/>
        <v>0</v>
      </c>
      <c r="I61" s="6">
        <f t="shared" si="21"/>
        <v>0</v>
      </c>
      <c r="J61" s="7">
        <f t="shared" si="21"/>
        <v>0</v>
      </c>
      <c r="K61" s="13">
        <f>SUM(B61:J61)</f>
        <v>1</v>
      </c>
      <c r="N61" s="15"/>
      <c r="O61" s="15"/>
      <c r="P61" s="59"/>
      <c r="Q61" s="59"/>
      <c r="R61" s="59"/>
      <c r="S61" s="59"/>
      <c r="T61" s="59"/>
      <c r="W61" s="15"/>
      <c r="X61" s="15"/>
      <c r="Y61" s="15"/>
      <c r="Z61" s="15"/>
      <c r="AA61" s="15"/>
    </row>
    <row r="62" spans="1:27" s="16" customFormat="1" x14ac:dyDescent="0.2">
      <c r="A62" s="80">
        <f>IF((A61-A55)&gt;9,(A61-A55-9),0)</f>
        <v>0</v>
      </c>
      <c r="B62" s="18">
        <f>IF(AND(ISNUMBER($A56),ISNUMBER($A62)),IF((RANK(B$4,$B$4:$J$4,1))&lt;=($A62-$A56),1,0),"")</f>
        <v>0</v>
      </c>
      <c r="C62" s="6">
        <f t="shared" si="21"/>
        <v>0</v>
      </c>
      <c r="D62" s="6">
        <f t="shared" si="21"/>
        <v>0</v>
      </c>
      <c r="E62" s="6">
        <f t="shared" si="21"/>
        <v>0</v>
      </c>
      <c r="F62" s="6">
        <f t="shared" si="21"/>
        <v>0</v>
      </c>
      <c r="G62" s="6">
        <f t="shared" si="21"/>
        <v>0</v>
      </c>
      <c r="H62" s="6">
        <f t="shared" si="21"/>
        <v>0</v>
      </c>
      <c r="I62" s="6">
        <f t="shared" si="21"/>
        <v>0</v>
      </c>
      <c r="J62" s="7">
        <f t="shared" si="21"/>
        <v>0</v>
      </c>
      <c r="K62" s="13">
        <f>SUM(B62:J62)</f>
        <v>0</v>
      </c>
      <c r="N62" s="15"/>
      <c r="O62" s="15"/>
      <c r="P62" s="59"/>
      <c r="Q62" s="59"/>
      <c r="R62" s="59"/>
      <c r="S62" s="59"/>
      <c r="T62" s="59"/>
      <c r="W62" s="15"/>
      <c r="X62" s="15"/>
      <c r="Y62" s="15"/>
      <c r="Z62" s="15"/>
      <c r="AA62" s="15"/>
    </row>
    <row r="63" spans="1:27" s="16" customFormat="1" x14ac:dyDescent="0.2">
      <c r="A63" s="80"/>
      <c r="B63" s="82">
        <f>IF(AND(ISNUMBER(B60),ISNUMBER(B61)),B60-B61-B62," ")</f>
        <v>5</v>
      </c>
      <c r="C63" s="83">
        <f t="shared" ref="C63:J63" si="22">IF(AND(ISNUMBER(C60),ISNUMBER(C61)),C60-C61-C62," ")</f>
        <v>5</v>
      </c>
      <c r="D63" s="83">
        <f t="shared" si="22"/>
        <v>8</v>
      </c>
      <c r="E63" s="83">
        <f t="shared" si="22"/>
        <v>4</v>
      </c>
      <c r="F63" s="83">
        <f t="shared" si="22"/>
        <v>4</v>
      </c>
      <c r="G63" s="83">
        <f t="shared" si="22"/>
        <v>3</v>
      </c>
      <c r="H63" s="83">
        <f t="shared" si="22"/>
        <v>4</v>
      </c>
      <c r="I63" s="83">
        <f t="shared" si="22"/>
        <v>4</v>
      </c>
      <c r="J63" s="84">
        <f t="shared" si="22"/>
        <v>5</v>
      </c>
      <c r="K63" s="13">
        <f>IF(ISNUMBER(FIND("Wins",K64)), 2, IF(ISNUMBER(FIND("Tie",K64)), 1, 0))</f>
        <v>2</v>
      </c>
      <c r="N63" s="15"/>
      <c r="O63" s="15"/>
      <c r="P63" s="59"/>
      <c r="Q63" s="59"/>
      <c r="R63" s="59"/>
      <c r="S63" s="59"/>
      <c r="T63" s="59"/>
      <c r="W63" s="15"/>
      <c r="X63" s="15"/>
      <c r="Y63" s="15"/>
      <c r="Z63" s="15"/>
      <c r="AA63" s="15"/>
    </row>
    <row r="64" spans="1:27" s="16" customFormat="1" ht="13.5" thickBot="1" x14ac:dyDescent="0.25">
      <c r="A64" s="81"/>
      <c r="B64" s="19">
        <f>IF(AND(ISNUMBER(B57),ISNUMBER(B63)),IF(B63&lt;B57, 0+1, (IF(B63&gt;B57, 0-1, 0)))," ")</f>
        <v>1</v>
      </c>
      <c r="C64" s="9">
        <f t="shared" ref="C64:J64" si="23">IF(AND(ISNUMBER(C57),ISNUMBER(C63)),IF(C63&lt;C57, +B64+1, (IF(C63&gt;C57, +B64-1, +B64)))," ")</f>
        <v>2</v>
      </c>
      <c r="D64" s="9">
        <f t="shared" si="23"/>
        <v>1</v>
      </c>
      <c r="E64" s="9">
        <f t="shared" si="23"/>
        <v>0</v>
      </c>
      <c r="F64" s="9">
        <f t="shared" si="23"/>
        <v>1</v>
      </c>
      <c r="G64" s="9">
        <f t="shared" si="23"/>
        <v>2</v>
      </c>
      <c r="H64" s="9">
        <f t="shared" si="23"/>
        <v>2</v>
      </c>
      <c r="I64" s="9">
        <f t="shared" si="23"/>
        <v>3</v>
      </c>
      <c r="J64" s="10">
        <f t="shared" si="23"/>
        <v>3</v>
      </c>
      <c r="K64" s="14" t="str">
        <f>IF(ISNUMBER(J64),IF(F64&gt;4,"Wins " &amp; F64 &amp; " &amp; 4",IF(G64&gt;3,"Wins " &amp; G64 &amp; " &amp; 3",IF(H64&gt;2,"Wins " &amp; H64 &amp; " &amp; 2",IF(I64&gt;1,"Wins " &amp; I64 &amp; " &amp; 1",IF(J64&gt;J58,"Wins " &amp; J64 &amp; " Up",IF(J64&lt;J58,"Loss","Tie"))))))," ")</f>
        <v>Wins 3 &amp; 1</v>
      </c>
      <c r="N64" s="15"/>
      <c r="O64" s="15"/>
      <c r="P64" s="59"/>
      <c r="Q64" s="59"/>
      <c r="R64" s="59"/>
      <c r="S64" s="59"/>
      <c r="T64" s="59"/>
      <c r="W64" s="15"/>
      <c r="X64" s="15"/>
      <c r="Y64" s="15"/>
      <c r="Z64" s="15"/>
      <c r="AA64" s="15"/>
    </row>
    <row r="65" spans="1:27" s="16" customFormat="1" x14ac:dyDescent="0.2">
      <c r="A65" s="25"/>
      <c r="B65" s="15"/>
      <c r="C65" s="15"/>
      <c r="D65" s="15"/>
      <c r="E65" s="15"/>
      <c r="F65" s="15"/>
      <c r="G65" s="15"/>
      <c r="H65" s="15"/>
      <c r="I65" s="15"/>
      <c r="J65" s="15"/>
      <c r="K65" s="15"/>
      <c r="N65" s="15"/>
      <c r="O65" s="15"/>
      <c r="P65" s="59"/>
      <c r="Q65" s="59"/>
      <c r="R65" s="59"/>
      <c r="S65" s="59"/>
      <c r="T65" s="59"/>
      <c r="W65" s="15"/>
      <c r="X65" s="15"/>
      <c r="Y65" s="15"/>
      <c r="Z65" s="15"/>
      <c r="AA65" s="15"/>
    </row>
    <row r="66" spans="1:27" s="16" customFormat="1" ht="13.5" thickBot="1" x14ac:dyDescent="0.25">
      <c r="A66" s="24" t="s">
        <v>10</v>
      </c>
      <c r="B66" s="2"/>
      <c r="C66" s="2"/>
      <c r="D66" s="2"/>
      <c r="E66" s="2"/>
      <c r="F66" s="2"/>
      <c r="G66" s="2"/>
      <c r="H66" s="2"/>
      <c r="I66" s="2"/>
      <c r="J66" s="2"/>
      <c r="K66" s="2"/>
      <c r="N66" s="15"/>
      <c r="O66" s="15"/>
      <c r="P66" s="59"/>
      <c r="Q66" s="59"/>
      <c r="R66" s="59"/>
      <c r="S66" s="59"/>
      <c r="T66" s="59"/>
      <c r="W66" s="15"/>
      <c r="X66" s="15"/>
      <c r="Y66" s="15"/>
      <c r="Z66" s="15"/>
      <c r="AA66" s="15"/>
    </row>
    <row r="67" spans="1:27" s="16" customFormat="1" x14ac:dyDescent="0.2">
      <c r="A67" s="79" t="str">
        <f t="shared" ref="A67:J67" si="24">A14</f>
        <v>Rick</v>
      </c>
      <c r="B67" s="17">
        <f t="shared" si="24"/>
        <v>6</v>
      </c>
      <c r="C67" s="3">
        <f t="shared" si="24"/>
        <v>7</v>
      </c>
      <c r="D67" s="3">
        <f t="shared" si="24"/>
        <v>6</v>
      </c>
      <c r="E67" s="3">
        <f t="shared" si="24"/>
        <v>3</v>
      </c>
      <c r="F67" s="3">
        <f t="shared" si="24"/>
        <v>6</v>
      </c>
      <c r="G67" s="3">
        <f t="shared" si="24"/>
        <v>3</v>
      </c>
      <c r="H67" s="3">
        <f t="shared" si="24"/>
        <v>4</v>
      </c>
      <c r="I67" s="3">
        <f t="shared" si="24"/>
        <v>5</v>
      </c>
      <c r="J67" s="4">
        <f t="shared" si="24"/>
        <v>4</v>
      </c>
      <c r="K67" s="12">
        <f>SUM(B67:J67)</f>
        <v>44</v>
      </c>
      <c r="N67" s="15"/>
      <c r="O67" s="15"/>
      <c r="P67" s="59"/>
      <c r="Q67" s="59"/>
      <c r="R67" s="59"/>
      <c r="S67" s="59"/>
      <c r="T67" s="59"/>
      <c r="W67" s="15"/>
      <c r="X67" s="15"/>
      <c r="Y67" s="15"/>
      <c r="Z67" s="15"/>
      <c r="AA67" s="15"/>
    </row>
    <row r="68" spans="1:27" s="16" customFormat="1" x14ac:dyDescent="0.2">
      <c r="A68" s="80">
        <f>A15</f>
        <v>7</v>
      </c>
      <c r="B68" s="18">
        <f>IF(AND(ISNUMBER($A68),ISNUMBER($A74)),IF((RANK(B$4,$B$4:$J$4,1))&lt;=($A68-$A74),1,0),"")</f>
        <v>0</v>
      </c>
      <c r="C68" s="6">
        <f t="shared" ref="C68:J69" si="25">IF(AND(ISNUMBER($A68),ISNUMBER($A74)),IF((RANK(C$4,$B$4:$J$4,1))&lt;=($A68-$A74),1,0),"")</f>
        <v>0</v>
      </c>
      <c r="D68" s="6">
        <f t="shared" si="25"/>
        <v>0</v>
      </c>
      <c r="E68" s="6">
        <f t="shared" si="25"/>
        <v>0</v>
      </c>
      <c r="F68" s="6">
        <f t="shared" si="25"/>
        <v>0</v>
      </c>
      <c r="G68" s="6">
        <f t="shared" si="25"/>
        <v>0</v>
      </c>
      <c r="H68" s="6">
        <f t="shared" si="25"/>
        <v>0</v>
      </c>
      <c r="I68" s="6">
        <f t="shared" si="25"/>
        <v>0</v>
      </c>
      <c r="J68" s="7">
        <f t="shared" si="25"/>
        <v>0</v>
      </c>
      <c r="K68" s="13">
        <f>SUM(B68:J68)</f>
        <v>0</v>
      </c>
      <c r="N68" s="15"/>
      <c r="O68" s="15"/>
      <c r="P68" s="59"/>
      <c r="Q68" s="59"/>
      <c r="R68" s="59"/>
      <c r="S68" s="59"/>
      <c r="T68" s="59"/>
      <c r="W68" s="15"/>
      <c r="X68" s="15"/>
      <c r="Y68" s="15"/>
      <c r="Z68" s="15"/>
      <c r="AA68" s="15"/>
    </row>
    <row r="69" spans="1:27" s="16" customFormat="1" x14ac:dyDescent="0.2">
      <c r="A69" s="80">
        <f>IF((A68-A74)&gt;9,(A68-A74-9),0)</f>
        <v>0</v>
      </c>
      <c r="B69" s="18">
        <f>IF(AND(ISNUMBER($A69),ISNUMBER($A75)),IF((RANK(B$4,$B$4:$J$4,1))&lt;=($A69-$A75),1,0),"")</f>
        <v>0</v>
      </c>
      <c r="C69" s="6">
        <f t="shared" si="25"/>
        <v>0</v>
      </c>
      <c r="D69" s="6">
        <f t="shared" si="25"/>
        <v>0</v>
      </c>
      <c r="E69" s="6">
        <f t="shared" si="25"/>
        <v>0</v>
      </c>
      <c r="F69" s="6">
        <f t="shared" si="25"/>
        <v>0</v>
      </c>
      <c r="G69" s="6">
        <f t="shared" si="25"/>
        <v>0</v>
      </c>
      <c r="H69" s="6">
        <f t="shared" si="25"/>
        <v>0</v>
      </c>
      <c r="I69" s="6">
        <f t="shared" si="25"/>
        <v>0</v>
      </c>
      <c r="J69" s="7">
        <f t="shared" si="25"/>
        <v>0</v>
      </c>
      <c r="K69" s="13">
        <f>SUM(B69:J69)</f>
        <v>0</v>
      </c>
      <c r="N69" s="15"/>
      <c r="O69" s="15"/>
      <c r="P69" s="59"/>
      <c r="Q69" s="59"/>
      <c r="R69" s="59"/>
      <c r="S69" s="59"/>
      <c r="T69" s="59"/>
      <c r="W69" s="15"/>
      <c r="X69" s="15"/>
      <c r="Y69" s="15"/>
      <c r="Z69" s="15"/>
      <c r="AA69" s="15"/>
    </row>
    <row r="70" spans="1:27" s="16" customFormat="1" x14ac:dyDescent="0.2">
      <c r="A70" s="80"/>
      <c r="B70" s="82">
        <f>IF(AND(ISNUMBER(B67),ISNUMBER(B68)),B67-B68-B69," ")</f>
        <v>6</v>
      </c>
      <c r="C70" s="83">
        <f t="shared" ref="C70:J70" si="26">IF(AND(ISNUMBER(C67),ISNUMBER(C68)),C67-C68-C69," ")</f>
        <v>7</v>
      </c>
      <c r="D70" s="83">
        <f t="shared" si="26"/>
        <v>6</v>
      </c>
      <c r="E70" s="83">
        <f t="shared" si="26"/>
        <v>3</v>
      </c>
      <c r="F70" s="83">
        <f t="shared" si="26"/>
        <v>6</v>
      </c>
      <c r="G70" s="83">
        <f t="shared" si="26"/>
        <v>3</v>
      </c>
      <c r="H70" s="83">
        <f t="shared" si="26"/>
        <v>4</v>
      </c>
      <c r="I70" s="83">
        <f t="shared" si="26"/>
        <v>5</v>
      </c>
      <c r="J70" s="84">
        <f t="shared" si="26"/>
        <v>4</v>
      </c>
      <c r="K70" s="13">
        <f>IF(ISNUMBER(FIND("Wins",K71)), 2, IF(ISNUMBER(FIND("Tie",K71)), 1, 0))</f>
        <v>2</v>
      </c>
      <c r="N70" s="15"/>
      <c r="O70" s="15"/>
      <c r="P70" s="59"/>
      <c r="Q70" s="59"/>
      <c r="R70" s="59"/>
      <c r="S70" s="59"/>
      <c r="T70" s="59"/>
      <c r="W70" s="15"/>
      <c r="X70" s="15"/>
      <c r="Y70" s="15"/>
      <c r="Z70" s="15"/>
      <c r="AA70" s="15"/>
    </row>
    <row r="71" spans="1:27" s="16" customFormat="1" ht="13.5" thickBot="1" x14ac:dyDescent="0.25">
      <c r="A71" s="81"/>
      <c r="B71" s="19">
        <f>IF(AND(ISNUMBER(B70),ISNUMBER(B76)),IF(B70&lt;B76, 0+1, (IF(B70&gt;B76, 0-1, 0)))," ")</f>
        <v>1</v>
      </c>
      <c r="C71" s="9">
        <f t="shared" ref="C71:J71" si="27">IF(AND(ISNUMBER(C70),ISNUMBER(C76)),IF(C70&lt;C76, +B71+1, (IF(C70&gt;C76, +B71-1, +B71)))," ")</f>
        <v>2</v>
      </c>
      <c r="D71" s="9">
        <f t="shared" si="27"/>
        <v>3</v>
      </c>
      <c r="E71" s="9">
        <f t="shared" si="27"/>
        <v>3</v>
      </c>
      <c r="F71" s="9">
        <f t="shared" si="27"/>
        <v>2</v>
      </c>
      <c r="G71" s="9">
        <f t="shared" si="27"/>
        <v>3</v>
      </c>
      <c r="H71" s="9">
        <f t="shared" si="27"/>
        <v>2</v>
      </c>
      <c r="I71" s="9">
        <f t="shared" si="27"/>
        <v>3</v>
      </c>
      <c r="J71" s="10">
        <f t="shared" si="27"/>
        <v>4</v>
      </c>
      <c r="K71" s="14" t="str">
        <f>IF(ISNUMBER(J71),IF(F71&gt;4,"Wins " &amp; F71 &amp; " &amp; 4",IF(G71&gt;3,"Wins " &amp; G71 &amp; " &amp; 3",IF(H71&gt;2,"Wins " &amp; H71 &amp; " &amp; 2",IF(I71&gt;1,"Wins " &amp; I71 &amp; " &amp; 1",IF(J71&gt;J77,"Wins " &amp; J71 &amp; " Up",IF(J71&lt;J77,"Loss","Tie"))))))," ")</f>
        <v>Wins 3 &amp; 1</v>
      </c>
      <c r="N71" s="15"/>
      <c r="O71" s="15"/>
      <c r="P71" s="59"/>
      <c r="Q71" s="59"/>
      <c r="R71" s="59"/>
      <c r="S71" s="59"/>
      <c r="T71" s="59"/>
      <c r="W71" s="15"/>
      <c r="X71" s="15"/>
      <c r="Y71" s="15"/>
      <c r="Z71" s="15"/>
      <c r="AA71" s="15"/>
    </row>
    <row r="72" spans="1:27" s="16" customFormat="1" ht="13.5" thickBot="1" x14ac:dyDescent="0.25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N72" s="15"/>
      <c r="O72" s="15"/>
      <c r="P72" s="59"/>
      <c r="Q72" s="59"/>
      <c r="R72" s="59"/>
      <c r="S72" s="59"/>
      <c r="T72" s="59"/>
      <c r="W72" s="15"/>
      <c r="X72" s="15"/>
      <c r="Y72" s="15"/>
      <c r="Z72" s="15"/>
      <c r="AA72" s="15"/>
    </row>
    <row r="73" spans="1:27" s="16" customFormat="1" x14ac:dyDescent="0.2">
      <c r="A73" s="79" t="str">
        <f t="shared" ref="A73:J73" si="28">A20</f>
        <v>Manny</v>
      </c>
      <c r="B73" s="17">
        <f t="shared" si="28"/>
        <v>10</v>
      </c>
      <c r="C73" s="3">
        <f t="shared" si="28"/>
        <v>9</v>
      </c>
      <c r="D73" s="3">
        <f t="shared" si="28"/>
        <v>9</v>
      </c>
      <c r="E73" s="3">
        <f t="shared" si="28"/>
        <v>4</v>
      </c>
      <c r="F73" s="3">
        <f t="shared" si="28"/>
        <v>5</v>
      </c>
      <c r="G73" s="3">
        <f t="shared" si="28"/>
        <v>8</v>
      </c>
      <c r="H73" s="3">
        <f t="shared" si="28"/>
        <v>4</v>
      </c>
      <c r="I73" s="3">
        <f t="shared" si="28"/>
        <v>9</v>
      </c>
      <c r="J73" s="4">
        <f t="shared" si="28"/>
        <v>9</v>
      </c>
      <c r="K73" s="12">
        <f>SUM(B73:J73)</f>
        <v>67</v>
      </c>
      <c r="N73" s="15"/>
      <c r="O73" s="15"/>
      <c r="P73" s="59"/>
      <c r="Q73" s="59"/>
      <c r="R73" s="59"/>
      <c r="S73" s="59"/>
      <c r="T73" s="59"/>
      <c r="W73" s="15"/>
      <c r="X73" s="15"/>
      <c r="Y73" s="15"/>
      <c r="Z73" s="15"/>
      <c r="AA73" s="15"/>
    </row>
    <row r="74" spans="1:27" s="16" customFormat="1" x14ac:dyDescent="0.2">
      <c r="A74" s="80">
        <f>A21</f>
        <v>14</v>
      </c>
      <c r="B74" s="18">
        <f>IF(AND(ISNUMBER($A68),ISNUMBER($A74)),IF((RANK(B$4,$B$4:$J$4,1))&lt;=($A74-$A68),1,0),"")</f>
        <v>1</v>
      </c>
      <c r="C74" s="6">
        <f t="shared" ref="C74:J75" si="29">IF(AND(ISNUMBER($A68),ISNUMBER($A74)),IF((RANK(C$4,$B$4:$J$4,1))&lt;=($A74-$A68),1,0),"")</f>
        <v>1</v>
      </c>
      <c r="D74" s="6">
        <f t="shared" si="29"/>
        <v>1</v>
      </c>
      <c r="E74" s="6">
        <f t="shared" si="29"/>
        <v>1</v>
      </c>
      <c r="F74" s="6">
        <f t="shared" si="29"/>
        <v>1</v>
      </c>
      <c r="G74" s="6">
        <f t="shared" si="29"/>
        <v>0</v>
      </c>
      <c r="H74" s="6">
        <f t="shared" si="29"/>
        <v>1</v>
      </c>
      <c r="I74" s="6">
        <f t="shared" si="29"/>
        <v>1</v>
      </c>
      <c r="J74" s="7">
        <f t="shared" si="29"/>
        <v>0</v>
      </c>
      <c r="K74" s="13">
        <f>SUM(B74:J74)</f>
        <v>7</v>
      </c>
      <c r="N74" s="15"/>
      <c r="O74" s="15"/>
      <c r="P74" s="59"/>
      <c r="Q74" s="59"/>
      <c r="R74" s="59"/>
      <c r="S74" s="59"/>
      <c r="T74" s="59"/>
      <c r="W74" s="15"/>
      <c r="X74" s="15"/>
      <c r="Y74" s="15"/>
      <c r="Z74" s="15"/>
      <c r="AA74" s="15"/>
    </row>
    <row r="75" spans="1:27" s="16" customFormat="1" x14ac:dyDescent="0.2">
      <c r="A75" s="80">
        <f>IF((A74-A68)&gt;9,(A74-A68-9),0)</f>
        <v>0</v>
      </c>
      <c r="B75" s="18">
        <f>IF(AND(ISNUMBER($A69),ISNUMBER($A75)),IF((RANK(B$4,$B$4:$J$4,1))&lt;=($A75-$A69),1,0),"")</f>
        <v>0</v>
      </c>
      <c r="C75" s="6">
        <f t="shared" si="29"/>
        <v>0</v>
      </c>
      <c r="D75" s="6">
        <f t="shared" si="29"/>
        <v>0</v>
      </c>
      <c r="E75" s="6">
        <f t="shared" si="29"/>
        <v>0</v>
      </c>
      <c r="F75" s="6">
        <f t="shared" si="29"/>
        <v>0</v>
      </c>
      <c r="G75" s="6">
        <f t="shared" si="29"/>
        <v>0</v>
      </c>
      <c r="H75" s="6">
        <f t="shared" si="29"/>
        <v>0</v>
      </c>
      <c r="I75" s="6">
        <f t="shared" si="29"/>
        <v>0</v>
      </c>
      <c r="J75" s="7">
        <f t="shared" si="29"/>
        <v>0</v>
      </c>
      <c r="K75" s="13">
        <f>SUM(B75:J75)</f>
        <v>0</v>
      </c>
      <c r="N75" s="15"/>
      <c r="O75" s="15"/>
      <c r="P75" s="59"/>
      <c r="Q75" s="59"/>
      <c r="R75" s="59"/>
      <c r="S75" s="59"/>
      <c r="T75" s="59"/>
      <c r="W75" s="15"/>
      <c r="X75" s="15"/>
      <c r="Y75" s="15"/>
      <c r="Z75" s="15"/>
      <c r="AA75" s="15"/>
    </row>
    <row r="76" spans="1:27" s="16" customFormat="1" x14ac:dyDescent="0.2">
      <c r="A76" s="80"/>
      <c r="B76" s="82">
        <f>IF(AND(ISNUMBER(B73),ISNUMBER(B74)),B73-B74-B75," ")</f>
        <v>9</v>
      </c>
      <c r="C76" s="83">
        <f t="shared" ref="C76:J76" si="30">IF(AND(ISNUMBER(C73),ISNUMBER(C74)),C73-C74-C75," ")</f>
        <v>8</v>
      </c>
      <c r="D76" s="83">
        <f t="shared" si="30"/>
        <v>8</v>
      </c>
      <c r="E76" s="83">
        <f t="shared" si="30"/>
        <v>3</v>
      </c>
      <c r="F76" s="83">
        <f t="shared" si="30"/>
        <v>4</v>
      </c>
      <c r="G76" s="83">
        <f t="shared" si="30"/>
        <v>8</v>
      </c>
      <c r="H76" s="83">
        <f t="shared" si="30"/>
        <v>3</v>
      </c>
      <c r="I76" s="83">
        <f t="shared" si="30"/>
        <v>8</v>
      </c>
      <c r="J76" s="84">
        <f t="shared" si="30"/>
        <v>9</v>
      </c>
      <c r="K76" s="13">
        <f>IF(ISNUMBER(FIND("Wins",K77)), 2, IF(ISNUMBER(FIND("Tie",K77)), 1, 0))</f>
        <v>0</v>
      </c>
      <c r="N76" s="15"/>
      <c r="O76" s="15"/>
      <c r="P76" s="59"/>
      <c r="Q76" s="59"/>
      <c r="R76" s="59"/>
      <c r="S76" s="59"/>
      <c r="T76" s="59"/>
      <c r="W76" s="15"/>
      <c r="X76" s="15"/>
      <c r="Y76" s="15"/>
      <c r="Z76" s="15"/>
      <c r="AA76" s="15"/>
    </row>
    <row r="77" spans="1:27" s="16" customFormat="1" ht="13.5" thickBot="1" x14ac:dyDescent="0.25">
      <c r="A77" s="81"/>
      <c r="B77" s="19">
        <f>IF(AND(ISNUMBER(B70),ISNUMBER(B76)),IF(B76&lt;B70, 0+1, (IF(B76&gt;B70, 0-1, 0)))," ")</f>
        <v>-1</v>
      </c>
      <c r="C77" s="9">
        <f t="shared" ref="C77:J77" si="31">IF(AND(ISNUMBER(C70),ISNUMBER(C76)),IF(C76&lt;C70, +B77+1, (IF(C76&gt;C70, +B77-1, +B77)))," ")</f>
        <v>-2</v>
      </c>
      <c r="D77" s="9">
        <f t="shared" si="31"/>
        <v>-3</v>
      </c>
      <c r="E77" s="9">
        <f t="shared" si="31"/>
        <v>-3</v>
      </c>
      <c r="F77" s="9">
        <f t="shared" si="31"/>
        <v>-2</v>
      </c>
      <c r="G77" s="9">
        <f t="shared" si="31"/>
        <v>-3</v>
      </c>
      <c r="H77" s="9">
        <f t="shared" si="31"/>
        <v>-2</v>
      </c>
      <c r="I77" s="9">
        <f t="shared" si="31"/>
        <v>-3</v>
      </c>
      <c r="J77" s="10">
        <f t="shared" si="31"/>
        <v>-4</v>
      </c>
      <c r="K77" s="14" t="str">
        <f>IF(ISNUMBER(J77),IF(F77&gt;4,"Wins " &amp; F77 &amp; " &amp; 4",IF(G77&gt;3,"Wins " &amp; G77 &amp; " &amp; 3",IF(H77&gt;2,"Wins " &amp; H77 &amp; " &amp; 2",IF(I77&gt;1,"Wins " &amp; I77 &amp; " &amp; 1",IF(J77&gt;J71,"Wins " &amp; J77 &amp; " Up",IF(J77&lt;J71,"Loss","Tie"))))))," ")</f>
        <v>Loss</v>
      </c>
      <c r="N77" s="15"/>
      <c r="O77" s="15"/>
      <c r="P77" s="59"/>
      <c r="Q77" s="59"/>
      <c r="R77" s="59"/>
      <c r="S77" s="59"/>
      <c r="T77" s="59"/>
      <c r="W77" s="15"/>
      <c r="X77" s="15"/>
      <c r="Y77" s="15"/>
      <c r="Z77" s="15"/>
      <c r="AA77" s="15"/>
    </row>
    <row r="78" spans="1:27" s="16" customFormat="1" x14ac:dyDescent="0.2">
      <c r="A78" s="26"/>
      <c r="B78" s="15"/>
      <c r="C78" s="15"/>
      <c r="D78" s="15"/>
      <c r="E78" s="15"/>
      <c r="F78" s="15"/>
      <c r="G78" s="15"/>
      <c r="H78" s="15"/>
      <c r="I78" s="15"/>
      <c r="J78" s="15"/>
      <c r="K78" s="15"/>
      <c r="N78" s="15"/>
      <c r="O78" s="15"/>
      <c r="P78" s="59"/>
      <c r="Q78" s="59"/>
      <c r="R78" s="59"/>
      <c r="S78" s="59"/>
      <c r="T78" s="59"/>
      <c r="W78" s="15"/>
      <c r="X78" s="15"/>
      <c r="Y78" s="15"/>
      <c r="Z78" s="15"/>
      <c r="AA78" s="15"/>
    </row>
    <row r="79" spans="1:27" s="16" customFormat="1" ht="13.5" thickBot="1" x14ac:dyDescent="0.25">
      <c r="A79" s="24" t="s">
        <v>11</v>
      </c>
      <c r="B79" s="2"/>
      <c r="C79" s="2"/>
      <c r="D79" s="2"/>
      <c r="E79" s="2"/>
      <c r="F79" s="2"/>
      <c r="G79" s="2"/>
      <c r="H79" s="2"/>
      <c r="I79" s="2"/>
      <c r="J79" s="2"/>
      <c r="K79" s="2"/>
      <c r="N79" s="15"/>
      <c r="O79" s="15"/>
      <c r="P79" s="59"/>
      <c r="Q79" s="59"/>
      <c r="R79" s="59"/>
      <c r="S79" s="59"/>
      <c r="T79" s="59"/>
      <c r="W79" s="15"/>
      <c r="X79" s="15"/>
      <c r="Y79" s="15"/>
      <c r="Z79" s="15"/>
      <c r="AA79" s="15"/>
    </row>
    <row r="80" spans="1:27" s="16" customFormat="1" x14ac:dyDescent="0.2">
      <c r="A80" s="29" t="str">
        <f t="shared" ref="A80:J80" si="32">A18</f>
        <v>Tony W</v>
      </c>
      <c r="B80" s="17">
        <f t="shared" si="32"/>
        <v>8</v>
      </c>
      <c r="C80" s="3">
        <f t="shared" si="32"/>
        <v>6</v>
      </c>
      <c r="D80" s="3">
        <f t="shared" si="32"/>
        <v>6</v>
      </c>
      <c r="E80" s="3">
        <f t="shared" si="32"/>
        <v>3</v>
      </c>
      <c r="F80" s="3">
        <f t="shared" si="32"/>
        <v>6</v>
      </c>
      <c r="G80" s="3">
        <f t="shared" si="32"/>
        <v>3</v>
      </c>
      <c r="H80" s="3">
        <f t="shared" si="32"/>
        <v>5</v>
      </c>
      <c r="I80" s="3">
        <f t="shared" si="32"/>
        <v>7</v>
      </c>
      <c r="J80" s="4">
        <f t="shared" si="32"/>
        <v>8</v>
      </c>
      <c r="K80" s="12">
        <f>SUM(B80:J80)</f>
        <v>52</v>
      </c>
      <c r="N80" s="15"/>
      <c r="O80" s="15"/>
      <c r="P80" s="59"/>
      <c r="Q80" s="59"/>
      <c r="R80" s="59"/>
      <c r="S80" s="59"/>
      <c r="T80" s="59"/>
      <c r="W80" s="15"/>
      <c r="X80" s="15"/>
      <c r="Y80" s="15"/>
      <c r="Z80" s="15"/>
      <c r="AA80" s="15"/>
    </row>
    <row r="81" spans="1:27" s="16" customFormat="1" x14ac:dyDescent="0.2">
      <c r="A81" s="30">
        <f>A19</f>
        <v>10</v>
      </c>
      <c r="B81" s="18">
        <f>IF(AND(ISNUMBER($A81),ISNUMBER($A87)),IF((RANK(B$4,$B$4:$J$4,1))&lt;=($A81-$A87),1,0),"")</f>
        <v>0</v>
      </c>
      <c r="C81" s="6">
        <f t="shared" ref="C81:J82" si="33">IF(AND(ISNUMBER($A81),ISNUMBER($A87)),IF((RANK(C$4,$B$4:$J$4,1))&lt;=($A81-$A87),1,0),"")</f>
        <v>0</v>
      </c>
      <c r="D81" s="6">
        <f t="shared" si="33"/>
        <v>0</v>
      </c>
      <c r="E81" s="6">
        <f t="shared" si="33"/>
        <v>0</v>
      </c>
      <c r="F81" s="6">
        <f t="shared" si="33"/>
        <v>0</v>
      </c>
      <c r="G81" s="6">
        <f t="shared" si="33"/>
        <v>0</v>
      </c>
      <c r="H81" s="6">
        <f t="shared" si="33"/>
        <v>0</v>
      </c>
      <c r="I81" s="6">
        <f t="shared" si="33"/>
        <v>0</v>
      </c>
      <c r="J81" s="7">
        <f t="shared" si="33"/>
        <v>0</v>
      </c>
      <c r="K81" s="13">
        <f>SUM(B81:J81)</f>
        <v>0</v>
      </c>
      <c r="N81" s="15"/>
      <c r="O81" s="15"/>
      <c r="P81" s="59"/>
      <c r="Q81" s="59"/>
      <c r="R81" s="59"/>
      <c r="S81" s="59"/>
      <c r="T81" s="59"/>
      <c r="W81" s="15"/>
      <c r="X81" s="15"/>
      <c r="Y81" s="15"/>
      <c r="Z81" s="15"/>
      <c r="AA81" s="15"/>
    </row>
    <row r="82" spans="1:27" s="16" customFormat="1" x14ac:dyDescent="0.2">
      <c r="A82" s="30">
        <f>IF((A81-A87)&gt;9,(A81-A87-9),0)</f>
        <v>0</v>
      </c>
      <c r="B82" s="18">
        <f>IF(AND(ISNUMBER($A82),ISNUMBER($A88)),IF((RANK(B$4,$B$4:$J$4,1))&lt;=($A82-$A88),1,0),"")</f>
        <v>0</v>
      </c>
      <c r="C82" s="6">
        <f t="shared" si="33"/>
        <v>0</v>
      </c>
      <c r="D82" s="6">
        <f t="shared" si="33"/>
        <v>0</v>
      </c>
      <c r="E82" s="6">
        <f t="shared" si="33"/>
        <v>0</v>
      </c>
      <c r="F82" s="6">
        <f t="shared" si="33"/>
        <v>0</v>
      </c>
      <c r="G82" s="6">
        <f t="shared" si="33"/>
        <v>0</v>
      </c>
      <c r="H82" s="6">
        <f t="shared" si="33"/>
        <v>0</v>
      </c>
      <c r="I82" s="6">
        <f t="shared" si="33"/>
        <v>0</v>
      </c>
      <c r="J82" s="7">
        <f t="shared" si="33"/>
        <v>0</v>
      </c>
      <c r="K82" s="13">
        <f>SUM(B82:J82)</f>
        <v>0</v>
      </c>
      <c r="N82" s="15"/>
      <c r="O82" s="15"/>
      <c r="P82" s="59"/>
      <c r="Q82" s="59"/>
      <c r="R82" s="59"/>
      <c r="S82" s="59"/>
      <c r="T82" s="59"/>
      <c r="W82" s="15"/>
      <c r="X82" s="15"/>
      <c r="Y82" s="15"/>
      <c r="Z82" s="15"/>
      <c r="AA82" s="15"/>
    </row>
    <row r="83" spans="1:27" s="16" customFormat="1" x14ac:dyDescent="0.2">
      <c r="A83" s="30"/>
      <c r="B83" s="82">
        <f>IF(AND(ISNUMBER(B80),ISNUMBER(B81)),B80-B81-B82," ")</f>
        <v>8</v>
      </c>
      <c r="C83" s="83">
        <f t="shared" ref="C83:J83" si="34">IF(AND(ISNUMBER(C80),ISNUMBER(C81)),C80-C81-C82," ")</f>
        <v>6</v>
      </c>
      <c r="D83" s="83">
        <f t="shared" si="34"/>
        <v>6</v>
      </c>
      <c r="E83" s="83">
        <f t="shared" si="34"/>
        <v>3</v>
      </c>
      <c r="F83" s="83">
        <f t="shared" si="34"/>
        <v>6</v>
      </c>
      <c r="G83" s="83">
        <f t="shared" si="34"/>
        <v>3</v>
      </c>
      <c r="H83" s="83">
        <f t="shared" si="34"/>
        <v>5</v>
      </c>
      <c r="I83" s="83">
        <f t="shared" si="34"/>
        <v>7</v>
      </c>
      <c r="J83" s="84">
        <f t="shared" si="34"/>
        <v>8</v>
      </c>
      <c r="K83" s="13">
        <f>IF(ISNUMBER(FIND("Wins",K84)), 2, IF(ISNUMBER(FIND("Tie",K84)), 1, 0))</f>
        <v>0</v>
      </c>
      <c r="N83" s="15"/>
      <c r="O83" s="15"/>
      <c r="P83" s="59"/>
      <c r="Q83" s="59"/>
      <c r="R83" s="59"/>
      <c r="S83" s="59"/>
      <c r="T83" s="59"/>
      <c r="W83" s="15"/>
      <c r="X83" s="15"/>
      <c r="Y83" s="15"/>
      <c r="Z83" s="15"/>
      <c r="AA83" s="15"/>
    </row>
    <row r="84" spans="1:27" s="16" customFormat="1" ht="13.5" thickBot="1" x14ac:dyDescent="0.25">
      <c r="A84" s="31"/>
      <c r="B84" s="19">
        <f>IF(AND(ISNUMBER(B83),ISNUMBER(B89)),IF(B83&lt;B89, 0+1, (IF(B83&gt;B89, 0-1, 0)))," ")</f>
        <v>-1</v>
      </c>
      <c r="C84" s="9">
        <f t="shared" ref="C84:J84" si="35">IF(AND(ISNUMBER(C83),ISNUMBER(C89)),IF(C83&lt;C89, +B84+1, (IF(C83&gt;C89, +B84-1, +B84)))," ")</f>
        <v>-1</v>
      </c>
      <c r="D84" s="9">
        <f t="shared" si="35"/>
        <v>0</v>
      </c>
      <c r="E84" s="9">
        <f t="shared" si="35"/>
        <v>1</v>
      </c>
      <c r="F84" s="9">
        <f t="shared" si="35"/>
        <v>1</v>
      </c>
      <c r="G84" s="9">
        <f t="shared" si="35"/>
        <v>1</v>
      </c>
      <c r="H84" s="9">
        <f t="shared" si="35"/>
        <v>0</v>
      </c>
      <c r="I84" s="9">
        <f t="shared" si="35"/>
        <v>-1</v>
      </c>
      <c r="J84" s="10">
        <f t="shared" si="35"/>
        <v>-2</v>
      </c>
      <c r="K84" s="14" t="str">
        <f>IF(ISNUMBER(J84),IF(F84&gt;4,"Wins " &amp; F84 &amp; " &amp; 4",IF(G84&gt;3,"Wins " &amp; G84 &amp; " &amp; 3",IF(H84&gt;2,"Wins " &amp; H84 &amp; " &amp; 2",IF(I84&gt;1,"Wins " &amp; I84 &amp; " &amp; 1",IF(J84&gt;J90,"Wins " &amp; J84 &amp; " Up",IF(J84&lt;J90,"Loss","Tie"))))))," ")</f>
        <v>Loss</v>
      </c>
      <c r="N84" s="15"/>
      <c r="O84" s="15"/>
      <c r="P84" s="59"/>
      <c r="Q84" s="59"/>
      <c r="R84" s="59"/>
      <c r="S84" s="59"/>
      <c r="T84" s="59"/>
      <c r="W84" s="15"/>
      <c r="X84" s="15"/>
      <c r="Y84" s="15"/>
      <c r="Z84" s="15"/>
      <c r="AA84" s="15"/>
    </row>
    <row r="85" spans="1:27" s="16" customFormat="1" ht="13.5" thickBot="1" x14ac:dyDescent="0.2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N85" s="15"/>
      <c r="O85" s="15"/>
      <c r="P85" s="59"/>
      <c r="Q85" s="59"/>
      <c r="R85" s="59"/>
      <c r="S85" s="59"/>
      <c r="T85" s="59"/>
      <c r="W85" s="15"/>
      <c r="X85" s="15"/>
      <c r="Y85" s="15"/>
      <c r="Z85" s="15"/>
      <c r="AA85" s="15"/>
    </row>
    <row r="86" spans="1:27" s="16" customFormat="1" x14ac:dyDescent="0.2">
      <c r="A86" s="79" t="str">
        <f t="shared" ref="A86:J86" si="36">A16</f>
        <v>Keith</v>
      </c>
      <c r="B86" s="17">
        <f t="shared" si="36"/>
        <v>7</v>
      </c>
      <c r="C86" s="3">
        <f t="shared" si="36"/>
        <v>7</v>
      </c>
      <c r="D86" s="3">
        <f t="shared" si="36"/>
        <v>8</v>
      </c>
      <c r="E86" s="3">
        <f t="shared" si="36"/>
        <v>5</v>
      </c>
      <c r="F86" s="3">
        <f t="shared" si="36"/>
        <v>7</v>
      </c>
      <c r="G86" s="3">
        <f t="shared" si="36"/>
        <v>3</v>
      </c>
      <c r="H86" s="3">
        <f t="shared" si="36"/>
        <v>5</v>
      </c>
      <c r="I86" s="3">
        <f t="shared" si="36"/>
        <v>6</v>
      </c>
      <c r="J86" s="4">
        <f t="shared" si="36"/>
        <v>7</v>
      </c>
      <c r="K86" s="12">
        <f>SUM(B86:J86)</f>
        <v>55</v>
      </c>
      <c r="N86" s="15"/>
      <c r="O86" s="15"/>
      <c r="P86" s="59"/>
      <c r="Q86" s="59"/>
      <c r="R86" s="59"/>
      <c r="S86" s="59"/>
      <c r="T86" s="59"/>
      <c r="W86" s="15"/>
      <c r="X86" s="15"/>
      <c r="Y86" s="15"/>
      <c r="Z86" s="15"/>
      <c r="AA86" s="15"/>
    </row>
    <row r="87" spans="1:27" s="16" customFormat="1" x14ac:dyDescent="0.2">
      <c r="A87" s="80">
        <f>A17</f>
        <v>16</v>
      </c>
      <c r="B87" s="18">
        <f>IF(AND(ISNUMBER($A81),ISNUMBER($A87)),IF((RANK(B$4,$B$4:$J$4,1))&lt;=($A87-$A81),1,0),"")</f>
        <v>1</v>
      </c>
      <c r="C87" s="6">
        <f t="shared" ref="C87:J88" si="37">IF(AND(ISNUMBER($A81),ISNUMBER($A87)),IF((RANK(C$4,$B$4:$J$4,1))&lt;=($A87-$A81),1,0),"")</f>
        <v>1</v>
      </c>
      <c r="D87" s="6">
        <f t="shared" si="37"/>
        <v>0</v>
      </c>
      <c r="E87" s="6">
        <f t="shared" si="37"/>
        <v>1</v>
      </c>
      <c r="F87" s="6">
        <f t="shared" si="37"/>
        <v>1</v>
      </c>
      <c r="G87" s="6">
        <f t="shared" si="37"/>
        <v>0</v>
      </c>
      <c r="H87" s="6">
        <f t="shared" si="37"/>
        <v>1</v>
      </c>
      <c r="I87" s="6">
        <f t="shared" si="37"/>
        <v>1</v>
      </c>
      <c r="J87" s="7">
        <f t="shared" si="37"/>
        <v>0</v>
      </c>
      <c r="K87" s="13">
        <f>SUM(B87:J87)</f>
        <v>6</v>
      </c>
      <c r="N87" s="15"/>
      <c r="O87" s="15"/>
      <c r="P87" s="59"/>
      <c r="Q87" s="59"/>
      <c r="R87" s="59"/>
      <c r="S87" s="59"/>
      <c r="T87" s="59"/>
      <c r="W87" s="15"/>
      <c r="X87" s="15"/>
      <c r="Y87" s="15"/>
      <c r="Z87" s="15"/>
      <c r="AA87" s="15"/>
    </row>
    <row r="88" spans="1:27" s="16" customFormat="1" x14ac:dyDescent="0.2">
      <c r="A88" s="80">
        <f>IF((A87-A81)&gt;9,(A87-A81-9),0)</f>
        <v>0</v>
      </c>
      <c r="B88" s="18">
        <f>IF(AND(ISNUMBER($A82),ISNUMBER($A88)),IF((RANK(B$4,$B$4:$J$4,1))&lt;=($A88-$A82),1,0),"")</f>
        <v>0</v>
      </c>
      <c r="C88" s="6">
        <f t="shared" si="37"/>
        <v>0</v>
      </c>
      <c r="D88" s="6">
        <f t="shared" si="37"/>
        <v>0</v>
      </c>
      <c r="E88" s="6">
        <f t="shared" si="37"/>
        <v>0</v>
      </c>
      <c r="F88" s="6">
        <f t="shared" si="37"/>
        <v>0</v>
      </c>
      <c r="G88" s="6">
        <f t="shared" si="37"/>
        <v>0</v>
      </c>
      <c r="H88" s="6">
        <f t="shared" si="37"/>
        <v>0</v>
      </c>
      <c r="I88" s="6">
        <f t="shared" si="37"/>
        <v>0</v>
      </c>
      <c r="J88" s="7">
        <f t="shared" si="37"/>
        <v>0</v>
      </c>
      <c r="K88" s="13">
        <f>SUM(B88:J88)</f>
        <v>0</v>
      </c>
      <c r="N88" s="15"/>
      <c r="O88" s="15"/>
      <c r="P88" s="59"/>
      <c r="Q88" s="59"/>
      <c r="R88" s="59"/>
      <c r="S88" s="59"/>
      <c r="T88" s="59"/>
      <c r="W88" s="15"/>
      <c r="X88" s="15"/>
      <c r="Y88" s="15"/>
      <c r="Z88" s="15"/>
      <c r="AA88" s="15"/>
    </row>
    <row r="89" spans="1:27" s="16" customFormat="1" x14ac:dyDescent="0.2">
      <c r="A89" s="80"/>
      <c r="B89" s="82">
        <f>IF(AND(ISNUMBER(B86),ISNUMBER(B87)),B86-B87-B88," ")</f>
        <v>6</v>
      </c>
      <c r="C89" s="83">
        <f t="shared" ref="C89:J89" si="38">IF(AND(ISNUMBER(C86),ISNUMBER(C87)),C86-C87-C88," ")</f>
        <v>6</v>
      </c>
      <c r="D89" s="83">
        <f t="shared" si="38"/>
        <v>8</v>
      </c>
      <c r="E89" s="83">
        <f t="shared" si="38"/>
        <v>4</v>
      </c>
      <c r="F89" s="83">
        <f t="shared" si="38"/>
        <v>6</v>
      </c>
      <c r="G89" s="83">
        <f t="shared" si="38"/>
        <v>3</v>
      </c>
      <c r="H89" s="83">
        <f t="shared" si="38"/>
        <v>4</v>
      </c>
      <c r="I89" s="83">
        <f t="shared" si="38"/>
        <v>5</v>
      </c>
      <c r="J89" s="84">
        <f t="shared" si="38"/>
        <v>7</v>
      </c>
      <c r="K89" s="13">
        <f>IF(ISNUMBER(FIND("Wins",K90)), 2, IF(ISNUMBER(FIND("Tie",K90)), 1, 0))</f>
        <v>2</v>
      </c>
      <c r="N89" s="15"/>
      <c r="O89" s="15"/>
      <c r="P89" s="59"/>
      <c r="Q89" s="59"/>
      <c r="R89" s="59"/>
      <c r="S89" s="59"/>
      <c r="T89" s="59"/>
      <c r="W89" s="15"/>
      <c r="X89" s="15"/>
      <c r="Y89" s="15"/>
      <c r="Z89" s="15"/>
      <c r="AA89" s="15"/>
    </row>
    <row r="90" spans="1:27" s="16" customFormat="1" ht="13.5" thickBot="1" x14ac:dyDescent="0.25">
      <c r="A90" s="81"/>
      <c r="B90" s="19">
        <f>IF(AND(ISNUMBER(B83),ISNUMBER(B89)),IF(B89&lt;B83, 0+1, (IF(B89&gt;B83, 0-1, 0)))," ")</f>
        <v>1</v>
      </c>
      <c r="C90" s="9">
        <f t="shared" ref="C90:J90" si="39">IF(AND(ISNUMBER(C83),ISNUMBER(C89)),IF(C89&lt;C83, +B90+1, (IF(C89&gt;C83, +B90-1, +B90)))," ")</f>
        <v>1</v>
      </c>
      <c r="D90" s="9">
        <f t="shared" si="39"/>
        <v>0</v>
      </c>
      <c r="E90" s="9">
        <f t="shared" si="39"/>
        <v>-1</v>
      </c>
      <c r="F90" s="9">
        <f t="shared" si="39"/>
        <v>-1</v>
      </c>
      <c r="G90" s="9">
        <f t="shared" si="39"/>
        <v>-1</v>
      </c>
      <c r="H90" s="9">
        <f t="shared" si="39"/>
        <v>0</v>
      </c>
      <c r="I90" s="9">
        <f t="shared" si="39"/>
        <v>1</v>
      </c>
      <c r="J90" s="10">
        <f t="shared" si="39"/>
        <v>2</v>
      </c>
      <c r="K90" s="14" t="str">
        <f>IF(ISNUMBER(J90),IF(F90&gt;4,"Wins " &amp; F90 &amp; " &amp; 4",IF(G90&gt;3,"Wins " &amp; G90 &amp; " &amp; 3",IF(H90&gt;2,"Wins " &amp; H90 &amp; " &amp; 2",IF(I90&gt;1,"Wins " &amp; I90 &amp; " &amp; 1",IF(J90&gt;J84,"Wins " &amp; J90 &amp; " Up",IF(J90&lt;J84,"Loss","Tie"))))))," ")</f>
        <v>Wins 2 Up</v>
      </c>
      <c r="N90" s="15"/>
      <c r="O90" s="15"/>
      <c r="P90" s="59"/>
      <c r="Q90" s="59"/>
      <c r="R90" s="59"/>
      <c r="S90" s="59"/>
      <c r="T90" s="59"/>
      <c r="W90" s="15"/>
      <c r="X90" s="15"/>
      <c r="Y90" s="15"/>
      <c r="Z90" s="15"/>
      <c r="AA90" s="15"/>
    </row>
    <row r="91" spans="1:27" s="16" customFormat="1" x14ac:dyDescent="0.2">
      <c r="A91" s="26"/>
      <c r="B91" s="15"/>
      <c r="C91" s="15"/>
      <c r="D91" s="15"/>
      <c r="E91" s="15"/>
      <c r="F91" s="15"/>
      <c r="G91" s="15"/>
      <c r="H91" s="15"/>
      <c r="I91" s="15"/>
      <c r="J91" s="15"/>
      <c r="K91" s="15"/>
      <c r="N91" s="15"/>
      <c r="O91" s="15"/>
      <c r="P91" s="59"/>
      <c r="Q91" s="59"/>
      <c r="R91" s="59"/>
      <c r="S91" s="59"/>
      <c r="T91" s="59"/>
      <c r="W91" s="15"/>
      <c r="X91" s="15"/>
      <c r="Y91" s="15"/>
      <c r="Z91" s="15"/>
      <c r="AA91" s="15"/>
    </row>
    <row r="92" spans="1:27" s="16" customFormat="1" ht="13.5" thickBot="1" x14ac:dyDescent="0.25">
      <c r="A92" s="24" t="s">
        <v>12</v>
      </c>
      <c r="B92" s="2"/>
      <c r="C92" s="2"/>
      <c r="D92" s="2"/>
      <c r="E92" s="2"/>
      <c r="F92" s="2"/>
      <c r="G92" s="2"/>
      <c r="H92" s="2"/>
      <c r="I92" s="2"/>
      <c r="J92" s="2"/>
      <c r="K92" s="2"/>
      <c r="N92" s="15"/>
      <c r="O92" s="15"/>
      <c r="P92" s="59"/>
      <c r="Q92" s="59"/>
      <c r="R92" s="59"/>
      <c r="S92" s="59"/>
      <c r="T92" s="59"/>
      <c r="W92" s="15"/>
      <c r="X92" s="15"/>
      <c r="Y92" s="15"/>
      <c r="Z92" s="15"/>
      <c r="AA92" s="15"/>
    </row>
    <row r="93" spans="1:27" s="16" customFormat="1" x14ac:dyDescent="0.2">
      <c r="A93" s="29" t="str">
        <f t="shared" ref="A93:J93" si="40">A22</f>
        <v>Tommy</v>
      </c>
      <c r="B93" s="17">
        <f t="shared" si="40"/>
        <v>7</v>
      </c>
      <c r="C93" s="3">
        <f t="shared" si="40"/>
        <v>6</v>
      </c>
      <c r="D93" s="3">
        <f t="shared" si="40"/>
        <v>7</v>
      </c>
      <c r="E93" s="3">
        <f t="shared" si="40"/>
        <v>4</v>
      </c>
      <c r="F93" s="3">
        <f t="shared" si="40"/>
        <v>5</v>
      </c>
      <c r="G93" s="3">
        <f t="shared" si="40"/>
        <v>3</v>
      </c>
      <c r="H93" s="3">
        <f t="shared" si="40"/>
        <v>4</v>
      </c>
      <c r="I93" s="3">
        <f t="shared" si="40"/>
        <v>4</v>
      </c>
      <c r="J93" s="4">
        <f t="shared" si="40"/>
        <v>4</v>
      </c>
      <c r="K93" s="12">
        <f>SUM(B93:J93)</f>
        <v>44</v>
      </c>
      <c r="N93" s="15"/>
      <c r="O93" s="15"/>
      <c r="P93" s="59"/>
      <c r="Q93" s="59"/>
      <c r="R93" s="59"/>
      <c r="S93" s="59"/>
      <c r="T93" s="59"/>
      <c r="W93" s="15"/>
      <c r="X93" s="15"/>
      <c r="Y93" s="15"/>
      <c r="Z93" s="15"/>
      <c r="AA93" s="15"/>
    </row>
    <row r="94" spans="1:27" s="16" customFormat="1" x14ac:dyDescent="0.2">
      <c r="A94" s="30">
        <f>A23</f>
        <v>5</v>
      </c>
      <c r="B94" s="18">
        <f>IF(AND(ISNUMBER($A94),ISNUMBER($A100)),IF((RANK(B$4,$B$4:$J$4,1))&lt;=($A94-$A100),1,0),"")</f>
        <v>0</v>
      </c>
      <c r="C94" s="6">
        <f t="shared" ref="C94:J95" si="41">IF(AND(ISNUMBER($A94),ISNUMBER($A100)),IF((RANK(C$4,$B$4:$J$4,1))&lt;=($A94-$A100),1,0),"")</f>
        <v>0</v>
      </c>
      <c r="D94" s="6">
        <f t="shared" si="41"/>
        <v>0</v>
      </c>
      <c r="E94" s="6">
        <f t="shared" si="41"/>
        <v>0</v>
      </c>
      <c r="F94" s="6">
        <f t="shared" si="41"/>
        <v>0</v>
      </c>
      <c r="G94" s="6">
        <f t="shared" si="41"/>
        <v>0</v>
      </c>
      <c r="H94" s="6">
        <f t="shared" si="41"/>
        <v>0</v>
      </c>
      <c r="I94" s="6">
        <f t="shared" si="41"/>
        <v>0</v>
      </c>
      <c r="J94" s="7">
        <f t="shared" si="41"/>
        <v>0</v>
      </c>
      <c r="K94" s="13">
        <f>SUM(B94:J94)</f>
        <v>0</v>
      </c>
      <c r="N94" s="15"/>
      <c r="O94" s="15"/>
      <c r="P94" s="59"/>
      <c r="Q94" s="59"/>
      <c r="R94" s="59"/>
      <c r="S94" s="59"/>
      <c r="T94" s="59"/>
      <c r="W94" s="15"/>
      <c r="X94" s="15"/>
      <c r="Y94" s="15"/>
      <c r="Z94" s="15"/>
      <c r="AA94" s="15"/>
    </row>
    <row r="95" spans="1:27" s="16" customFormat="1" x14ac:dyDescent="0.2">
      <c r="A95" s="30">
        <f>IF((A94-A100)&gt;9,(A94-A100-9),0)</f>
        <v>0</v>
      </c>
      <c r="B95" s="18">
        <f>IF(AND(ISNUMBER($A95),ISNUMBER($A101)),IF((RANK(B$4,$B$4:$J$4,1))&lt;=($A95-$A101),1,0),"")</f>
        <v>0</v>
      </c>
      <c r="C95" s="6">
        <f t="shared" si="41"/>
        <v>0</v>
      </c>
      <c r="D95" s="6">
        <f t="shared" si="41"/>
        <v>0</v>
      </c>
      <c r="E95" s="6">
        <f t="shared" si="41"/>
        <v>0</v>
      </c>
      <c r="F95" s="6">
        <f t="shared" si="41"/>
        <v>0</v>
      </c>
      <c r="G95" s="6">
        <f t="shared" si="41"/>
        <v>0</v>
      </c>
      <c r="H95" s="6">
        <f t="shared" si="41"/>
        <v>0</v>
      </c>
      <c r="I95" s="6">
        <f t="shared" si="41"/>
        <v>0</v>
      </c>
      <c r="J95" s="7">
        <f t="shared" si="41"/>
        <v>0</v>
      </c>
      <c r="K95" s="13">
        <f>SUM(B95:J95)</f>
        <v>0</v>
      </c>
      <c r="N95" s="15"/>
      <c r="O95" s="15"/>
      <c r="P95" s="59"/>
      <c r="Q95" s="59"/>
      <c r="R95" s="59"/>
      <c r="S95" s="59"/>
      <c r="T95" s="59"/>
      <c r="W95" s="15"/>
      <c r="X95" s="15"/>
      <c r="Y95" s="15"/>
      <c r="Z95" s="15"/>
      <c r="AA95" s="15"/>
    </row>
    <row r="96" spans="1:27" s="16" customFormat="1" x14ac:dyDescent="0.2">
      <c r="A96" s="30"/>
      <c r="B96" s="82">
        <f>IF(AND(ISNUMBER(B93),ISNUMBER(B94)),B93-B94-B95," ")</f>
        <v>7</v>
      </c>
      <c r="C96" s="83">
        <f t="shared" ref="C96:J96" si="42">IF(AND(ISNUMBER(C93),ISNUMBER(C94)),C93-C94-C95," ")</f>
        <v>6</v>
      </c>
      <c r="D96" s="83">
        <f t="shared" si="42"/>
        <v>7</v>
      </c>
      <c r="E96" s="83">
        <f t="shared" si="42"/>
        <v>4</v>
      </c>
      <c r="F96" s="83">
        <f t="shared" si="42"/>
        <v>5</v>
      </c>
      <c r="G96" s="83">
        <f t="shared" si="42"/>
        <v>3</v>
      </c>
      <c r="H96" s="83">
        <f t="shared" si="42"/>
        <v>4</v>
      </c>
      <c r="I96" s="83">
        <f t="shared" si="42"/>
        <v>4</v>
      </c>
      <c r="J96" s="84">
        <f t="shared" si="42"/>
        <v>4</v>
      </c>
      <c r="K96" s="13">
        <f>IF(ISNUMBER(FIND("Wins",K97)), 2, IF(ISNUMBER(FIND("Tie",K97)), 1, 0))</f>
        <v>2</v>
      </c>
      <c r="N96" s="15"/>
      <c r="O96" s="15"/>
      <c r="P96" s="59"/>
      <c r="Q96" s="59"/>
      <c r="R96" s="59"/>
      <c r="S96" s="59"/>
      <c r="T96" s="59"/>
      <c r="W96" s="15"/>
      <c r="X96" s="15"/>
      <c r="Y96" s="15"/>
      <c r="Z96" s="15"/>
      <c r="AA96" s="15"/>
    </row>
    <row r="97" spans="1:27" s="16" customFormat="1" ht="13.5" thickBot="1" x14ac:dyDescent="0.25">
      <c r="A97" s="31"/>
      <c r="B97" s="19">
        <f>IF(AND(ISNUMBER(B96),ISNUMBER(B102)),IF(B96&lt;B102, 0+1, (IF(B96&gt;B102, 0-1, 0)))," ")</f>
        <v>-1</v>
      </c>
      <c r="C97" s="9">
        <f t="shared" ref="C97:J97" si="43">IF(AND(ISNUMBER(C96),ISNUMBER(C102)),IF(C96&lt;C102, +B97+1, (IF(C96&gt;C102, +B97-1, +B97)))," ")</f>
        <v>0</v>
      </c>
      <c r="D97" s="9">
        <f t="shared" si="43"/>
        <v>-1</v>
      </c>
      <c r="E97" s="9">
        <f t="shared" si="43"/>
        <v>0</v>
      </c>
      <c r="F97" s="9">
        <f t="shared" si="43"/>
        <v>1</v>
      </c>
      <c r="G97" s="9">
        <f t="shared" si="43"/>
        <v>1</v>
      </c>
      <c r="H97" s="9">
        <f t="shared" si="43"/>
        <v>1</v>
      </c>
      <c r="I97" s="9">
        <f t="shared" si="43"/>
        <v>1</v>
      </c>
      <c r="J97" s="10">
        <f t="shared" si="43"/>
        <v>2</v>
      </c>
      <c r="K97" s="14" t="str">
        <f>IF(ISNUMBER(J97),IF(F97&gt;4,"Wins " &amp; F97 &amp; " &amp; 4",IF(G97&gt;3,"Wins " &amp; G97 &amp; " &amp; 3",IF(H97&gt;2,"Wins " &amp; H97 &amp; " &amp; 2",IF(I97&gt;1,"Wins " &amp; I97 &amp; " &amp; 1",IF(J97&gt;J103,"Wins " &amp; J97 &amp; " Up",IF(J97&lt;J103,"Loss","Tie"))))))," ")</f>
        <v>Wins 2 Up</v>
      </c>
      <c r="N97" s="15"/>
      <c r="O97" s="15"/>
      <c r="P97" s="59"/>
      <c r="Q97" s="59"/>
      <c r="R97" s="59"/>
      <c r="S97" s="59"/>
      <c r="T97" s="59"/>
      <c r="W97" s="15"/>
      <c r="X97" s="15"/>
      <c r="Y97" s="15"/>
      <c r="Z97" s="15"/>
      <c r="AA97" s="15"/>
    </row>
    <row r="98" spans="1:27" s="16" customFormat="1" ht="13.5" thickBot="1" x14ac:dyDescent="0.25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N98" s="15"/>
      <c r="O98" s="15"/>
      <c r="P98" s="59"/>
      <c r="Q98" s="59"/>
      <c r="R98" s="59"/>
      <c r="S98" s="59"/>
      <c r="T98" s="59"/>
      <c r="W98" s="15"/>
      <c r="X98" s="15"/>
      <c r="Y98" s="15"/>
      <c r="Z98" s="15"/>
      <c r="AA98" s="15"/>
    </row>
    <row r="99" spans="1:27" s="16" customFormat="1" x14ac:dyDescent="0.2">
      <c r="A99" s="79" t="str">
        <f t="shared" ref="A99:J99" si="44">A28</f>
        <v>Gerald C</v>
      </c>
      <c r="B99" s="17">
        <f t="shared" si="44"/>
        <v>6</v>
      </c>
      <c r="C99" s="3">
        <f t="shared" si="44"/>
        <v>8</v>
      </c>
      <c r="D99" s="3">
        <f t="shared" si="44"/>
        <v>7</v>
      </c>
      <c r="E99" s="3">
        <f t="shared" si="44"/>
        <v>6</v>
      </c>
      <c r="F99" s="3">
        <f t="shared" si="44"/>
        <v>8</v>
      </c>
      <c r="G99" s="3">
        <f t="shared" si="44"/>
        <v>3</v>
      </c>
      <c r="H99" s="3">
        <f t="shared" si="44"/>
        <v>5</v>
      </c>
      <c r="I99" s="3">
        <f t="shared" si="44"/>
        <v>5</v>
      </c>
      <c r="J99" s="4">
        <f t="shared" si="44"/>
        <v>6</v>
      </c>
      <c r="K99" s="12">
        <f>SUM(B99:J99)</f>
        <v>54</v>
      </c>
      <c r="N99" s="15"/>
      <c r="O99" s="15"/>
      <c r="P99" s="59"/>
      <c r="Q99" s="59"/>
      <c r="R99" s="59"/>
      <c r="S99" s="59"/>
      <c r="T99" s="59"/>
      <c r="W99" s="15"/>
      <c r="X99" s="15"/>
      <c r="Y99" s="15"/>
      <c r="Z99" s="15"/>
      <c r="AA99" s="15"/>
    </row>
    <row r="100" spans="1:27" s="16" customFormat="1" x14ac:dyDescent="0.2">
      <c r="A100" s="80">
        <f>A29</f>
        <v>12</v>
      </c>
      <c r="B100" s="18">
        <f>IF(AND(ISNUMBER($A94),ISNUMBER($A100)),IF((RANK(B$4,$B$4:$J$4,1))&lt;=($A100-$A94),1,0),"")</f>
        <v>1</v>
      </c>
      <c r="C100" s="6">
        <f t="shared" ref="C100:J101" si="45">IF(AND(ISNUMBER($A94),ISNUMBER($A100)),IF((RANK(C$4,$B$4:$J$4,1))&lt;=($A100-$A94),1,0),"")</f>
        <v>1</v>
      </c>
      <c r="D100" s="6">
        <f t="shared" si="45"/>
        <v>1</v>
      </c>
      <c r="E100" s="6">
        <f t="shared" si="45"/>
        <v>1</v>
      </c>
      <c r="F100" s="6">
        <f t="shared" si="45"/>
        <v>1</v>
      </c>
      <c r="G100" s="6">
        <f t="shared" si="45"/>
        <v>0</v>
      </c>
      <c r="H100" s="6">
        <f t="shared" si="45"/>
        <v>1</v>
      </c>
      <c r="I100" s="6">
        <f t="shared" si="45"/>
        <v>1</v>
      </c>
      <c r="J100" s="7">
        <f t="shared" si="45"/>
        <v>0</v>
      </c>
      <c r="K100" s="13">
        <f>SUM(B100:J100)</f>
        <v>7</v>
      </c>
      <c r="N100" s="15"/>
      <c r="O100" s="15"/>
      <c r="P100" s="59"/>
      <c r="Q100" s="59"/>
      <c r="R100" s="59"/>
      <c r="S100" s="59"/>
      <c r="T100" s="59"/>
      <c r="W100" s="15"/>
      <c r="X100" s="15"/>
      <c r="Y100" s="15"/>
      <c r="Z100" s="15"/>
      <c r="AA100" s="15"/>
    </row>
    <row r="101" spans="1:27" s="16" customFormat="1" x14ac:dyDescent="0.2">
      <c r="A101" s="80">
        <f>IF((A100-A94)&gt;9,(A100-A94-9),0)</f>
        <v>0</v>
      </c>
      <c r="B101" s="18">
        <f>IF(AND(ISNUMBER($A95),ISNUMBER($A101)),IF((RANK(B$4,$B$4:$J$4,1))&lt;=($A101-$A95),1,0),"")</f>
        <v>0</v>
      </c>
      <c r="C101" s="6">
        <f t="shared" si="45"/>
        <v>0</v>
      </c>
      <c r="D101" s="6">
        <f t="shared" si="45"/>
        <v>0</v>
      </c>
      <c r="E101" s="6">
        <f t="shared" si="45"/>
        <v>0</v>
      </c>
      <c r="F101" s="6">
        <f t="shared" si="45"/>
        <v>0</v>
      </c>
      <c r="G101" s="6">
        <f t="shared" si="45"/>
        <v>0</v>
      </c>
      <c r="H101" s="6">
        <f t="shared" si="45"/>
        <v>0</v>
      </c>
      <c r="I101" s="6">
        <f t="shared" si="45"/>
        <v>0</v>
      </c>
      <c r="J101" s="7">
        <f t="shared" si="45"/>
        <v>0</v>
      </c>
      <c r="K101" s="13">
        <f>SUM(B101:J101)</f>
        <v>0</v>
      </c>
      <c r="N101" s="15"/>
      <c r="O101" s="15"/>
      <c r="P101" s="59"/>
      <c r="Q101" s="59"/>
      <c r="R101" s="59"/>
      <c r="S101" s="59"/>
      <c r="T101" s="59"/>
      <c r="W101" s="15"/>
      <c r="X101" s="15"/>
      <c r="Y101" s="15"/>
      <c r="Z101" s="15"/>
      <c r="AA101" s="15"/>
    </row>
    <row r="102" spans="1:27" s="16" customFormat="1" x14ac:dyDescent="0.2">
      <c r="A102" s="80"/>
      <c r="B102" s="82">
        <f>IF(AND(ISNUMBER(B99),ISNUMBER(B100)),B99-B100-B101," ")</f>
        <v>5</v>
      </c>
      <c r="C102" s="83">
        <f t="shared" ref="C102:J102" si="46">IF(AND(ISNUMBER(C99),ISNUMBER(C100)),C99-C100-C101," ")</f>
        <v>7</v>
      </c>
      <c r="D102" s="83">
        <f t="shared" si="46"/>
        <v>6</v>
      </c>
      <c r="E102" s="83">
        <f t="shared" si="46"/>
        <v>5</v>
      </c>
      <c r="F102" s="83">
        <f t="shared" si="46"/>
        <v>7</v>
      </c>
      <c r="G102" s="83">
        <f t="shared" si="46"/>
        <v>3</v>
      </c>
      <c r="H102" s="83">
        <f t="shared" si="46"/>
        <v>4</v>
      </c>
      <c r="I102" s="83">
        <f t="shared" si="46"/>
        <v>4</v>
      </c>
      <c r="J102" s="84">
        <f t="shared" si="46"/>
        <v>6</v>
      </c>
      <c r="K102" s="13">
        <f>IF(ISNUMBER(FIND("Wins",K103)), 2, IF(ISNUMBER(FIND("Tie",K103)), 1, 0))</f>
        <v>0</v>
      </c>
      <c r="N102" s="15"/>
      <c r="O102" s="15"/>
      <c r="P102" s="59"/>
      <c r="Q102" s="59"/>
      <c r="R102" s="59"/>
      <c r="S102" s="59"/>
      <c r="T102" s="59"/>
      <c r="W102" s="15"/>
      <c r="X102" s="15"/>
      <c r="Y102" s="15"/>
      <c r="Z102" s="15"/>
      <c r="AA102" s="15"/>
    </row>
    <row r="103" spans="1:27" s="16" customFormat="1" ht="13.5" thickBot="1" x14ac:dyDescent="0.25">
      <c r="A103" s="81"/>
      <c r="B103" s="19">
        <f>IF(AND(ISNUMBER(B96),ISNUMBER(B102)),IF(B102&lt;B96, 0+1, (IF(B102&gt;B96, 0-1, 0)))," ")</f>
        <v>1</v>
      </c>
      <c r="C103" s="9">
        <f t="shared" ref="C103:J103" si="47">IF(AND(ISNUMBER(C96),ISNUMBER(C102)),IF(C102&lt;C96, +B103+1, (IF(C102&gt;C96, +B103-1, +B103)))," ")</f>
        <v>0</v>
      </c>
      <c r="D103" s="9">
        <f t="shared" si="47"/>
        <v>1</v>
      </c>
      <c r="E103" s="9">
        <f t="shared" si="47"/>
        <v>0</v>
      </c>
      <c r="F103" s="9">
        <f t="shared" si="47"/>
        <v>-1</v>
      </c>
      <c r="G103" s="9">
        <f t="shared" si="47"/>
        <v>-1</v>
      </c>
      <c r="H103" s="9">
        <f t="shared" si="47"/>
        <v>-1</v>
      </c>
      <c r="I103" s="9">
        <f t="shared" si="47"/>
        <v>-1</v>
      </c>
      <c r="J103" s="10">
        <f t="shared" si="47"/>
        <v>-2</v>
      </c>
      <c r="K103" s="14" t="str">
        <f>IF(ISNUMBER(J103),IF(F103&gt;4,"Wins " &amp; F103 &amp; " &amp; 4",IF(G103&gt;3,"Wins " &amp; G103 &amp; " &amp; 3",IF(H103&gt;2,"Wins " &amp; H103 &amp; " &amp; 2",IF(I103&gt;1,"Wins " &amp; I103 &amp; " &amp; 1",IF(J103&gt;J97,"Wins " &amp; J103 &amp; " Up",IF(J103&lt;J97,"Loss","Tie"))))))," ")</f>
        <v>Loss</v>
      </c>
      <c r="N103" s="15"/>
      <c r="O103" s="15"/>
      <c r="P103" s="59"/>
      <c r="Q103" s="59"/>
      <c r="R103" s="59"/>
      <c r="S103" s="59"/>
      <c r="T103" s="59"/>
      <c r="W103" s="15"/>
      <c r="X103" s="15"/>
      <c r="Y103" s="15"/>
      <c r="Z103" s="15"/>
      <c r="AA103" s="15"/>
    </row>
    <row r="104" spans="1:27" s="16" customFormat="1" x14ac:dyDescent="0.2">
      <c r="A104" s="2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N104" s="15"/>
      <c r="O104" s="15"/>
      <c r="P104" s="59"/>
      <c r="Q104" s="59"/>
      <c r="R104" s="59"/>
      <c r="S104" s="59"/>
      <c r="T104" s="59"/>
      <c r="W104" s="15"/>
      <c r="X104" s="15"/>
      <c r="Y104" s="15"/>
      <c r="Z104" s="15"/>
      <c r="AA104" s="15"/>
    </row>
    <row r="105" spans="1:27" s="16" customFormat="1" ht="13.5" thickBot="1" x14ac:dyDescent="0.25">
      <c r="A105" s="24" t="s">
        <v>13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N105" s="15"/>
      <c r="O105" s="15"/>
      <c r="P105" s="59"/>
      <c r="Q105" s="59"/>
      <c r="R105" s="59"/>
      <c r="S105" s="59"/>
      <c r="T105" s="59"/>
      <c r="W105" s="15"/>
      <c r="X105" s="15"/>
      <c r="Y105" s="15"/>
      <c r="Z105" s="15"/>
      <c r="AA105" s="15"/>
    </row>
    <row r="106" spans="1:27" s="16" customFormat="1" x14ac:dyDescent="0.2">
      <c r="A106" s="29" t="str">
        <f t="shared" ref="A106:J106" si="48">A26</f>
        <v>Hunter</v>
      </c>
      <c r="B106" s="17">
        <f t="shared" si="48"/>
        <v>5</v>
      </c>
      <c r="C106" s="3">
        <f t="shared" si="48"/>
        <v>6</v>
      </c>
      <c r="D106" s="3">
        <f t="shared" si="48"/>
        <v>7</v>
      </c>
      <c r="E106" s="3">
        <f t="shared" si="48"/>
        <v>6</v>
      </c>
      <c r="F106" s="3">
        <f t="shared" si="48"/>
        <v>7</v>
      </c>
      <c r="G106" s="3">
        <f t="shared" si="48"/>
        <v>4</v>
      </c>
      <c r="H106" s="3">
        <f t="shared" si="48"/>
        <v>5</v>
      </c>
      <c r="I106" s="3">
        <f t="shared" si="48"/>
        <v>9</v>
      </c>
      <c r="J106" s="4">
        <f t="shared" si="48"/>
        <v>9</v>
      </c>
      <c r="K106" s="12">
        <f>SUM(B106:J106)</f>
        <v>58</v>
      </c>
      <c r="N106" s="15"/>
      <c r="O106" s="15"/>
      <c r="P106" s="59"/>
      <c r="Q106" s="59"/>
      <c r="R106" s="59"/>
      <c r="S106" s="59"/>
      <c r="T106" s="59"/>
      <c r="W106" s="15"/>
      <c r="X106" s="15"/>
      <c r="Y106" s="15"/>
      <c r="Z106" s="15"/>
      <c r="AA106" s="15"/>
    </row>
    <row r="107" spans="1:27" s="16" customFormat="1" x14ac:dyDescent="0.2">
      <c r="A107" s="30">
        <f>A27</f>
        <v>7</v>
      </c>
      <c r="B107" s="18">
        <f>IF(AND(ISNUMBER($A107),ISNUMBER($A113)),IF((RANK(B$4,$B$4:$J$4,1))&lt;=($A107-$A113),1,0),"")</f>
        <v>0</v>
      </c>
      <c r="C107" s="6">
        <f t="shared" ref="C107:J108" si="49">IF(AND(ISNUMBER($A107),ISNUMBER($A113)),IF((RANK(C$4,$B$4:$J$4,1))&lt;=($A107-$A113),1,0),"")</f>
        <v>1</v>
      </c>
      <c r="D107" s="6">
        <f t="shared" si="49"/>
        <v>0</v>
      </c>
      <c r="E107" s="6">
        <f t="shared" si="49"/>
        <v>0</v>
      </c>
      <c r="F107" s="6">
        <f t="shared" si="49"/>
        <v>1</v>
      </c>
      <c r="G107" s="6">
        <f t="shared" si="49"/>
        <v>0</v>
      </c>
      <c r="H107" s="6">
        <f t="shared" si="49"/>
        <v>0</v>
      </c>
      <c r="I107" s="6">
        <f t="shared" si="49"/>
        <v>0</v>
      </c>
      <c r="J107" s="7">
        <f t="shared" si="49"/>
        <v>0</v>
      </c>
      <c r="K107" s="13">
        <f>SUM(B107:J107)</f>
        <v>2</v>
      </c>
      <c r="N107" s="15"/>
      <c r="O107" s="15"/>
      <c r="P107" s="59"/>
      <c r="Q107" s="59"/>
      <c r="R107" s="59"/>
      <c r="S107" s="59"/>
      <c r="T107" s="59"/>
      <c r="W107" s="15"/>
      <c r="X107" s="15"/>
      <c r="Y107" s="15"/>
      <c r="Z107" s="15"/>
      <c r="AA107" s="15"/>
    </row>
    <row r="108" spans="1:27" s="16" customFormat="1" x14ac:dyDescent="0.2">
      <c r="A108" s="30">
        <f>IF((A107-A113)&gt;9,(A107-A113-9),0)</f>
        <v>0</v>
      </c>
      <c r="B108" s="18">
        <f>IF(AND(ISNUMBER($A108),ISNUMBER($A114)),IF((RANK(B$4,$B$4:$J$4,1))&lt;=($A108-$A114),1,0),"")</f>
        <v>0</v>
      </c>
      <c r="C108" s="6">
        <f t="shared" si="49"/>
        <v>0</v>
      </c>
      <c r="D108" s="6">
        <f t="shared" si="49"/>
        <v>0</v>
      </c>
      <c r="E108" s="6">
        <f t="shared" si="49"/>
        <v>0</v>
      </c>
      <c r="F108" s="6">
        <f t="shared" si="49"/>
        <v>0</v>
      </c>
      <c r="G108" s="6">
        <f t="shared" si="49"/>
        <v>0</v>
      </c>
      <c r="H108" s="6">
        <f t="shared" si="49"/>
        <v>0</v>
      </c>
      <c r="I108" s="6">
        <f t="shared" si="49"/>
        <v>0</v>
      </c>
      <c r="J108" s="7">
        <f t="shared" si="49"/>
        <v>0</v>
      </c>
      <c r="K108" s="13">
        <f>SUM(B108:J108)</f>
        <v>0</v>
      </c>
      <c r="N108" s="15"/>
      <c r="O108" s="15"/>
      <c r="P108" s="59"/>
      <c r="Q108" s="59"/>
      <c r="R108" s="59"/>
      <c r="S108" s="59"/>
      <c r="T108" s="59"/>
      <c r="W108" s="15"/>
      <c r="X108" s="15"/>
      <c r="Y108" s="15"/>
      <c r="Z108" s="15"/>
      <c r="AA108" s="15"/>
    </row>
    <row r="109" spans="1:27" s="16" customFormat="1" x14ac:dyDescent="0.2">
      <c r="A109" s="30"/>
      <c r="B109" s="82">
        <f>IF(AND(ISNUMBER(B106),ISNUMBER(B107)),B106-B107-B108," ")</f>
        <v>5</v>
      </c>
      <c r="C109" s="83">
        <f t="shared" ref="C109:J109" si="50">IF(AND(ISNUMBER(C106),ISNUMBER(C107)),C106-C107-C108," ")</f>
        <v>5</v>
      </c>
      <c r="D109" s="83">
        <f t="shared" si="50"/>
        <v>7</v>
      </c>
      <c r="E109" s="83">
        <f t="shared" si="50"/>
        <v>6</v>
      </c>
      <c r="F109" s="83">
        <f t="shared" si="50"/>
        <v>6</v>
      </c>
      <c r="G109" s="83">
        <f t="shared" si="50"/>
        <v>4</v>
      </c>
      <c r="H109" s="83">
        <f t="shared" si="50"/>
        <v>5</v>
      </c>
      <c r="I109" s="83">
        <f t="shared" si="50"/>
        <v>9</v>
      </c>
      <c r="J109" s="84">
        <f t="shared" si="50"/>
        <v>9</v>
      </c>
      <c r="K109" s="13">
        <f>IF(ISNUMBER(FIND("Wins",K110)), 2, IF(ISNUMBER(FIND("Tie",K110)), 1, 0))</f>
        <v>0</v>
      </c>
      <c r="N109" s="15"/>
      <c r="O109" s="15"/>
      <c r="P109" s="59"/>
      <c r="Q109" s="59"/>
      <c r="R109" s="59"/>
      <c r="S109" s="59"/>
      <c r="T109" s="59"/>
      <c r="W109" s="15"/>
      <c r="X109" s="15"/>
      <c r="Y109" s="15"/>
      <c r="Z109" s="15"/>
      <c r="AA109" s="15"/>
    </row>
    <row r="110" spans="1:27" s="16" customFormat="1" ht="13.5" thickBot="1" x14ac:dyDescent="0.25">
      <c r="A110" s="31"/>
      <c r="B110" s="19">
        <f>IF(AND(ISNUMBER(B109),ISNUMBER(B115)),IF(B109&lt;B115, 0+1, (IF(B109&gt;B115, 0-1, 0)))," ")</f>
        <v>1</v>
      </c>
      <c r="C110" s="9">
        <f t="shared" ref="C110:J110" si="51">IF(AND(ISNUMBER(C109),ISNUMBER(C115)),IF(C109&lt;C115, +B110+1, (IF(C109&gt;C115, +B110-1, +B110)))," ")</f>
        <v>1</v>
      </c>
      <c r="D110" s="9">
        <f t="shared" si="51"/>
        <v>0</v>
      </c>
      <c r="E110" s="9">
        <f t="shared" si="51"/>
        <v>-1</v>
      </c>
      <c r="F110" s="9">
        <f t="shared" si="51"/>
        <v>-2</v>
      </c>
      <c r="G110" s="9">
        <f t="shared" si="51"/>
        <v>-3</v>
      </c>
      <c r="H110" s="9">
        <f t="shared" si="51"/>
        <v>-3</v>
      </c>
      <c r="I110" s="9">
        <f t="shared" si="51"/>
        <v>-4</v>
      </c>
      <c r="J110" s="10">
        <f t="shared" si="51"/>
        <v>-5</v>
      </c>
      <c r="K110" s="14" t="str">
        <f>IF(ISNUMBER(J110),IF(F110&gt;4,"Wins " &amp; F110 &amp; " &amp; 4",IF(G110&gt;3,"Wins " &amp; G110 &amp; " &amp; 3",IF(H110&gt;2,"Wins " &amp; H110 &amp; " &amp; 2",IF(I110&gt;1,"Wins " &amp; I110 &amp; " &amp; 1",IF(J110&gt;J116,"Wins " &amp; J110 &amp; " Up",IF(J110&lt;J116,"Loss","Tie"))))))," ")</f>
        <v>Loss</v>
      </c>
      <c r="N110" s="15"/>
      <c r="O110" s="15"/>
      <c r="P110" s="59"/>
      <c r="Q110" s="59"/>
      <c r="R110" s="59"/>
      <c r="S110" s="59"/>
      <c r="T110" s="59"/>
      <c r="W110" s="15"/>
      <c r="X110" s="15"/>
      <c r="Y110" s="15"/>
      <c r="Z110" s="15"/>
      <c r="AA110" s="15"/>
    </row>
    <row r="111" spans="1:27" s="16" customFormat="1" ht="13.5" thickBot="1" x14ac:dyDescent="0.25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N111" s="15"/>
      <c r="O111" s="15"/>
      <c r="P111" s="59"/>
      <c r="Q111" s="59"/>
      <c r="R111" s="59"/>
      <c r="S111" s="59"/>
      <c r="T111" s="59"/>
      <c r="W111" s="15"/>
      <c r="X111" s="15"/>
      <c r="Y111" s="15"/>
      <c r="Z111" s="15"/>
      <c r="AA111" s="15"/>
    </row>
    <row r="112" spans="1:27" s="16" customFormat="1" x14ac:dyDescent="0.2">
      <c r="A112" s="79" t="str">
        <f t="shared" ref="A112:J112" si="52">A24</f>
        <v>Dave</v>
      </c>
      <c r="B112" s="17">
        <f t="shared" si="52"/>
        <v>8</v>
      </c>
      <c r="C112" s="3">
        <f t="shared" si="52"/>
        <v>5</v>
      </c>
      <c r="D112" s="3">
        <f t="shared" si="52"/>
        <v>6</v>
      </c>
      <c r="E112" s="3">
        <f t="shared" si="52"/>
        <v>4</v>
      </c>
      <c r="F112" s="3">
        <f t="shared" si="52"/>
        <v>4</v>
      </c>
      <c r="G112" s="3">
        <f t="shared" si="52"/>
        <v>3</v>
      </c>
      <c r="H112" s="3">
        <f t="shared" si="52"/>
        <v>5</v>
      </c>
      <c r="I112" s="3">
        <f t="shared" si="52"/>
        <v>4</v>
      </c>
      <c r="J112" s="4">
        <f t="shared" si="52"/>
        <v>4</v>
      </c>
      <c r="K112" s="12">
        <f>SUM(B112:J112)</f>
        <v>43</v>
      </c>
      <c r="N112" s="15"/>
      <c r="O112" s="15"/>
      <c r="P112" s="59"/>
      <c r="Q112" s="59"/>
      <c r="R112" s="59"/>
      <c r="S112" s="59"/>
      <c r="T112" s="59"/>
      <c r="W112" s="15"/>
      <c r="X112" s="15"/>
      <c r="Y112" s="15"/>
      <c r="Z112" s="15"/>
      <c r="AA112" s="15"/>
    </row>
    <row r="113" spans="1:27" s="16" customFormat="1" x14ac:dyDescent="0.2">
      <c r="A113" s="80">
        <f>A25</f>
        <v>5</v>
      </c>
      <c r="B113" s="18">
        <f>IF(AND(ISNUMBER($A107),ISNUMBER($A113)),IF((RANK(B$4,$B$4:$J$4,1))&lt;=($A113-$A107),1,0),"")</f>
        <v>0</v>
      </c>
      <c r="C113" s="6">
        <f t="shared" ref="C113:J114" si="53">IF(AND(ISNUMBER($A107),ISNUMBER($A113)),IF((RANK(C$4,$B$4:$J$4,1))&lt;=($A113-$A107),1,0),"")</f>
        <v>0</v>
      </c>
      <c r="D113" s="6">
        <f t="shared" si="53"/>
        <v>0</v>
      </c>
      <c r="E113" s="6">
        <f t="shared" si="53"/>
        <v>0</v>
      </c>
      <c r="F113" s="6">
        <f t="shared" si="53"/>
        <v>0</v>
      </c>
      <c r="G113" s="6">
        <f t="shared" si="53"/>
        <v>0</v>
      </c>
      <c r="H113" s="6">
        <f t="shared" si="53"/>
        <v>0</v>
      </c>
      <c r="I113" s="6">
        <f t="shared" si="53"/>
        <v>0</v>
      </c>
      <c r="J113" s="7">
        <f t="shared" si="53"/>
        <v>0</v>
      </c>
      <c r="K113" s="13">
        <f>SUM(B113:J113)</f>
        <v>0</v>
      </c>
      <c r="N113" s="15"/>
      <c r="O113" s="15"/>
      <c r="P113" s="59"/>
      <c r="Q113" s="59"/>
      <c r="R113" s="59"/>
      <c r="S113" s="59"/>
      <c r="T113" s="59"/>
      <c r="W113" s="15"/>
      <c r="X113" s="15"/>
      <c r="Y113" s="15"/>
      <c r="Z113" s="15"/>
      <c r="AA113" s="15"/>
    </row>
    <row r="114" spans="1:27" s="16" customFormat="1" x14ac:dyDescent="0.2">
      <c r="A114" s="80">
        <f>IF((A113-A107)&gt;9,(A113-A107-9),0)</f>
        <v>0</v>
      </c>
      <c r="B114" s="18">
        <f>IF(AND(ISNUMBER($A108),ISNUMBER($A114)),IF((RANK(B$4,$B$4:$J$4,1))&lt;=($A114-$A108),1,0),"")</f>
        <v>0</v>
      </c>
      <c r="C114" s="6">
        <f t="shared" si="53"/>
        <v>0</v>
      </c>
      <c r="D114" s="6">
        <f t="shared" si="53"/>
        <v>0</v>
      </c>
      <c r="E114" s="6">
        <f t="shared" si="53"/>
        <v>0</v>
      </c>
      <c r="F114" s="6">
        <f t="shared" si="53"/>
        <v>0</v>
      </c>
      <c r="G114" s="6">
        <f t="shared" si="53"/>
        <v>0</v>
      </c>
      <c r="H114" s="6">
        <f t="shared" si="53"/>
        <v>0</v>
      </c>
      <c r="I114" s="6">
        <f t="shared" si="53"/>
        <v>0</v>
      </c>
      <c r="J114" s="7">
        <f t="shared" si="53"/>
        <v>0</v>
      </c>
      <c r="K114" s="13">
        <f>SUM(B114:J114)</f>
        <v>0</v>
      </c>
      <c r="N114" s="15"/>
      <c r="O114" s="15"/>
      <c r="P114" s="59"/>
      <c r="Q114" s="59"/>
      <c r="R114" s="59"/>
      <c r="S114" s="59"/>
      <c r="T114" s="59"/>
      <c r="W114" s="15"/>
      <c r="X114" s="15"/>
      <c r="Y114" s="15"/>
      <c r="Z114" s="15"/>
      <c r="AA114" s="15"/>
    </row>
    <row r="115" spans="1:27" s="16" customFormat="1" x14ac:dyDescent="0.2">
      <c r="A115" s="80"/>
      <c r="B115" s="82">
        <f>IF(AND(ISNUMBER(B112),ISNUMBER(B113)),B112-B113-B114," ")</f>
        <v>8</v>
      </c>
      <c r="C115" s="83">
        <f t="shared" ref="C115:J115" si="54">IF(AND(ISNUMBER(C112),ISNUMBER(C113)),C112-C113-C114," ")</f>
        <v>5</v>
      </c>
      <c r="D115" s="83">
        <f t="shared" si="54"/>
        <v>6</v>
      </c>
      <c r="E115" s="83">
        <f t="shared" si="54"/>
        <v>4</v>
      </c>
      <c r="F115" s="83">
        <f t="shared" si="54"/>
        <v>4</v>
      </c>
      <c r="G115" s="83">
        <f t="shared" si="54"/>
        <v>3</v>
      </c>
      <c r="H115" s="83">
        <f t="shared" si="54"/>
        <v>5</v>
      </c>
      <c r="I115" s="83">
        <f t="shared" si="54"/>
        <v>4</v>
      </c>
      <c r="J115" s="84">
        <f t="shared" si="54"/>
        <v>4</v>
      </c>
      <c r="K115" s="13">
        <f>IF(ISNUMBER(FIND("Wins",K116)), 2, IF(ISNUMBER(FIND("Tie",K116)), 1, 0))</f>
        <v>2</v>
      </c>
      <c r="N115" s="15"/>
      <c r="O115" s="15"/>
      <c r="P115" s="59"/>
      <c r="Q115" s="59"/>
      <c r="R115" s="59"/>
      <c r="S115" s="59"/>
      <c r="T115" s="59"/>
      <c r="W115" s="15"/>
      <c r="X115" s="15"/>
      <c r="Y115" s="15"/>
      <c r="Z115" s="15"/>
      <c r="AA115" s="15"/>
    </row>
    <row r="116" spans="1:27" s="16" customFormat="1" ht="13.5" thickBot="1" x14ac:dyDescent="0.25">
      <c r="A116" s="81"/>
      <c r="B116" s="19">
        <f>IF(AND(ISNUMBER(B109),ISNUMBER(B115)),IF(B115&lt;B109, 0+1, (IF(B115&gt;B109, 0-1, 0)))," ")</f>
        <v>-1</v>
      </c>
      <c r="C116" s="9">
        <f t="shared" ref="C116:J116" si="55">IF(AND(ISNUMBER(C109),ISNUMBER(C115)),IF(C115&lt;C109, +B116+1, (IF(C115&gt;C109, +B116-1, +B116)))," ")</f>
        <v>-1</v>
      </c>
      <c r="D116" s="9">
        <f t="shared" si="55"/>
        <v>0</v>
      </c>
      <c r="E116" s="9">
        <f t="shared" si="55"/>
        <v>1</v>
      </c>
      <c r="F116" s="9">
        <f t="shared" si="55"/>
        <v>2</v>
      </c>
      <c r="G116" s="9">
        <f t="shared" si="55"/>
        <v>3</v>
      </c>
      <c r="H116" s="9">
        <f t="shared" si="55"/>
        <v>3</v>
      </c>
      <c r="I116" s="9">
        <f t="shared" si="55"/>
        <v>4</v>
      </c>
      <c r="J116" s="10">
        <f t="shared" si="55"/>
        <v>5</v>
      </c>
      <c r="K116" s="14" t="str">
        <f>IF(ISNUMBER(J116),IF(F116&gt;4,"Wins " &amp; F116 &amp; " &amp; 4",IF(G116&gt;3,"Wins " &amp; G116 &amp; " &amp; 3",IF(H116&gt;2,"Wins " &amp; H116 &amp; " &amp; 2",IF(I116&gt;1,"Wins " &amp; I116 &amp; " &amp; 1",IF(J116&gt;J110,"Wins " &amp; J116 &amp; " Up",IF(J116&lt;J110,"Loss","Tie"))))))," ")</f>
        <v>Wins 3 &amp; 2</v>
      </c>
      <c r="N116" s="15"/>
      <c r="O116" s="15"/>
      <c r="P116" s="59"/>
      <c r="Q116" s="59"/>
      <c r="R116" s="59"/>
      <c r="S116" s="59"/>
      <c r="T116" s="59"/>
      <c r="W116" s="15"/>
      <c r="X116" s="15"/>
      <c r="Y116" s="15"/>
      <c r="Z116" s="15"/>
      <c r="AA116" s="15"/>
    </row>
    <row r="117" spans="1:27" s="16" customFormat="1" x14ac:dyDescent="0.2">
      <c r="A117" s="26"/>
      <c r="B117" s="85"/>
      <c r="C117" s="85"/>
      <c r="D117" s="85"/>
      <c r="E117" s="85"/>
      <c r="F117" s="85"/>
      <c r="G117" s="85"/>
      <c r="H117" s="85"/>
      <c r="I117" s="85"/>
      <c r="J117" s="85"/>
      <c r="K117" s="15"/>
      <c r="N117" s="15"/>
      <c r="O117" s="15"/>
      <c r="P117" s="59"/>
      <c r="Q117" s="59"/>
      <c r="R117" s="59"/>
      <c r="S117" s="59"/>
      <c r="T117" s="59"/>
      <c r="W117" s="15"/>
      <c r="X117" s="15"/>
      <c r="Y117" s="15"/>
      <c r="Z117" s="15"/>
      <c r="AA117" s="15"/>
    </row>
    <row r="118" spans="1:27" ht="13.5" thickBot="1" x14ac:dyDescent="0.25">
      <c r="A118" s="24" t="s">
        <v>82</v>
      </c>
    </row>
    <row r="119" spans="1:27" x14ac:dyDescent="0.2">
      <c r="A119" s="79" t="str">
        <f t="shared" ref="A119:J119" si="56">A30</f>
        <v>Bob</v>
      </c>
      <c r="B119" s="17">
        <f t="shared" si="56"/>
        <v>6</v>
      </c>
      <c r="C119" s="3">
        <f t="shared" si="56"/>
        <v>7</v>
      </c>
      <c r="D119" s="3">
        <f t="shared" si="56"/>
        <v>7</v>
      </c>
      <c r="E119" s="3">
        <f t="shared" si="56"/>
        <v>3</v>
      </c>
      <c r="F119" s="3">
        <f t="shared" si="56"/>
        <v>7</v>
      </c>
      <c r="G119" s="3">
        <f t="shared" si="56"/>
        <v>4</v>
      </c>
      <c r="H119" s="3">
        <f t="shared" si="56"/>
        <v>8</v>
      </c>
      <c r="I119" s="3">
        <f t="shared" si="56"/>
        <v>4</v>
      </c>
      <c r="J119" s="4">
        <f t="shared" si="56"/>
        <v>5</v>
      </c>
      <c r="K119" s="12">
        <f>SUM(B119:J119)</f>
        <v>51</v>
      </c>
    </row>
    <row r="120" spans="1:27" x14ac:dyDescent="0.2">
      <c r="A120" s="80">
        <f>A31</f>
        <v>10</v>
      </c>
      <c r="B120" s="18">
        <f>IF(AND(ISNUMBER($A120),ISNUMBER($A126)),IF((RANK(B$4,$B$4:$J$4,1))&lt;=($A120-$A126),1,0),"")</f>
        <v>0</v>
      </c>
      <c r="C120" s="6">
        <f t="shared" ref="C120:J120" si="57">IF(AND(ISNUMBER($A120),ISNUMBER($A126)),IF((RANK(C$4,$B$4:$J$4,1))&lt;=($A120-$A126),1,0),"")</f>
        <v>0</v>
      </c>
      <c r="D120" s="6">
        <f t="shared" si="57"/>
        <v>0</v>
      </c>
      <c r="E120" s="6">
        <f t="shared" si="57"/>
        <v>0</v>
      </c>
      <c r="F120" s="6">
        <f t="shared" si="57"/>
        <v>0</v>
      </c>
      <c r="G120" s="6">
        <f t="shared" si="57"/>
        <v>0</v>
      </c>
      <c r="H120" s="6">
        <f t="shared" si="57"/>
        <v>0</v>
      </c>
      <c r="I120" s="6">
        <f t="shared" si="57"/>
        <v>0</v>
      </c>
      <c r="J120" s="7">
        <f t="shared" si="57"/>
        <v>0</v>
      </c>
      <c r="K120" s="13">
        <f>SUM(B120:J120)</f>
        <v>0</v>
      </c>
    </row>
    <row r="121" spans="1:27" x14ac:dyDescent="0.2">
      <c r="A121" s="80">
        <f>IF((A120-A126)&gt;9,(A120-A126-9),0)</f>
        <v>0</v>
      </c>
      <c r="B121" s="18">
        <f>IF(AND(ISNUMBER($A121),ISNUMBER($A127)),IF((RANK(B$4,$B$4:$J$4,1))&lt;=($A121-$A127),1,0),"")</f>
        <v>0</v>
      </c>
      <c r="C121" s="6">
        <f t="shared" ref="C121:J121" si="58">IF(AND(ISNUMBER($A121),ISNUMBER($A127)),IF((RANK(C$4,$B$4:$J$4,1))&lt;=($A121-$A127),1,0),"")</f>
        <v>0</v>
      </c>
      <c r="D121" s="6">
        <f t="shared" si="58"/>
        <v>0</v>
      </c>
      <c r="E121" s="6">
        <f t="shared" si="58"/>
        <v>0</v>
      </c>
      <c r="F121" s="6">
        <f t="shared" si="58"/>
        <v>0</v>
      </c>
      <c r="G121" s="6">
        <f t="shared" si="58"/>
        <v>0</v>
      </c>
      <c r="H121" s="6">
        <f t="shared" si="58"/>
        <v>0</v>
      </c>
      <c r="I121" s="6">
        <f t="shared" si="58"/>
        <v>0</v>
      </c>
      <c r="J121" s="7">
        <f t="shared" si="58"/>
        <v>0</v>
      </c>
      <c r="K121" s="13">
        <f>SUM(B121:J121)</f>
        <v>0</v>
      </c>
    </row>
    <row r="122" spans="1:27" x14ac:dyDescent="0.2">
      <c r="A122" s="80"/>
      <c r="B122" s="82">
        <f>IF(AND(ISNUMBER(B119),ISNUMBER(B120)),B119-B120-B121," ")</f>
        <v>6</v>
      </c>
      <c r="C122" s="83">
        <f t="shared" ref="C122:J122" si="59">IF(AND(ISNUMBER(C119),ISNUMBER(C120)),C119-C120-C121," ")</f>
        <v>7</v>
      </c>
      <c r="D122" s="83">
        <f t="shared" si="59"/>
        <v>7</v>
      </c>
      <c r="E122" s="83">
        <f t="shared" si="59"/>
        <v>3</v>
      </c>
      <c r="F122" s="83">
        <f t="shared" si="59"/>
        <v>7</v>
      </c>
      <c r="G122" s="83">
        <f t="shared" si="59"/>
        <v>4</v>
      </c>
      <c r="H122" s="83">
        <f t="shared" si="59"/>
        <v>8</v>
      </c>
      <c r="I122" s="83">
        <f t="shared" si="59"/>
        <v>4</v>
      </c>
      <c r="J122" s="84">
        <f t="shared" si="59"/>
        <v>5</v>
      </c>
      <c r="K122" s="13">
        <f>IF(ISNUMBER(FIND("Wins",K123)), 2, IF(ISNUMBER(FIND("Tie",K123)), 1, 0))</f>
        <v>2</v>
      </c>
    </row>
    <row r="123" spans="1:27" ht="13.5" thickBot="1" x14ac:dyDescent="0.25">
      <c r="A123" s="81"/>
      <c r="B123" s="19">
        <f>IF(AND(ISNUMBER(B122),ISNUMBER(B128)),IF(B122&lt;B128, 0+1, (IF(B122&gt;B128, 0-1, 0)))," ")</f>
        <v>1</v>
      </c>
      <c r="C123" s="9">
        <f t="shared" ref="C123:J123" si="60">IF(AND(ISNUMBER(C122),ISNUMBER(C128)),IF(C122&lt;C128, +B123+1, (IF(C122&gt;C128, +B123-1, +B123)))," ")</f>
        <v>0</v>
      </c>
      <c r="D123" s="9">
        <f t="shared" si="60"/>
        <v>1</v>
      </c>
      <c r="E123" s="9">
        <f t="shared" si="60"/>
        <v>1</v>
      </c>
      <c r="F123" s="9">
        <f t="shared" si="60"/>
        <v>0</v>
      </c>
      <c r="G123" s="9">
        <f t="shared" si="60"/>
        <v>1</v>
      </c>
      <c r="H123" s="9">
        <f t="shared" si="60"/>
        <v>0</v>
      </c>
      <c r="I123" s="9">
        <f t="shared" si="60"/>
        <v>1</v>
      </c>
      <c r="J123" s="10">
        <f t="shared" si="60"/>
        <v>2</v>
      </c>
      <c r="K123" s="14" t="str">
        <f>IF(ISNUMBER(J123),IF(F123&gt;4,"Wins " &amp; F123 &amp; " &amp; 4",IF(G123&gt;3,"Wins " &amp; G123 &amp; " &amp; 3",IF(H123&gt;2,"Wins " &amp; H123 &amp; " &amp; 2",IF(I123&gt;1,"Wins " &amp; I123 &amp; " &amp; 1",IF(J123&gt;J129,"Wins " &amp; J123 &amp; " Up",IF(J123&lt;J129,"Loss","Tie"))))))," ")</f>
        <v>Wins 2 Up</v>
      </c>
    </row>
    <row r="124" spans="1:27" ht="13.5" thickBot="1" x14ac:dyDescent="0.25">
      <c r="A124" s="32"/>
    </row>
    <row r="125" spans="1:27" x14ac:dyDescent="0.2">
      <c r="A125" s="79" t="str">
        <f t="shared" ref="A125:J125" si="61">A36</f>
        <v>Chris</v>
      </c>
      <c r="B125" s="17">
        <f t="shared" si="61"/>
        <v>9</v>
      </c>
      <c r="C125" s="3">
        <f t="shared" si="61"/>
        <v>5</v>
      </c>
      <c r="D125" s="3">
        <f t="shared" si="61"/>
        <v>8</v>
      </c>
      <c r="E125" s="3">
        <f t="shared" si="61"/>
        <v>4</v>
      </c>
      <c r="F125" s="3">
        <f t="shared" si="61"/>
        <v>6</v>
      </c>
      <c r="G125" s="3">
        <f t="shared" si="61"/>
        <v>5</v>
      </c>
      <c r="H125" s="3">
        <f t="shared" si="61"/>
        <v>5</v>
      </c>
      <c r="I125" s="3">
        <f t="shared" si="61"/>
        <v>6</v>
      </c>
      <c r="J125" s="4">
        <f t="shared" si="61"/>
        <v>7</v>
      </c>
      <c r="K125" s="12">
        <f>SUM(B125:J125)</f>
        <v>55</v>
      </c>
    </row>
    <row r="126" spans="1:27" x14ac:dyDescent="0.2">
      <c r="A126" s="80">
        <f>A37</f>
        <v>15</v>
      </c>
      <c r="B126" s="18">
        <f>IF(AND(ISNUMBER($A120),ISNUMBER($A126)),IF((RANK(B$4,$B$4:$J$4,1))&lt;=($A126-$A120),1,0),"")</f>
        <v>0</v>
      </c>
      <c r="C126" s="6">
        <f t="shared" ref="C126:J126" si="62">IF(AND(ISNUMBER($A120),ISNUMBER($A126)),IF((RANK(C$4,$B$4:$J$4,1))&lt;=($A126-$A120),1,0),"")</f>
        <v>1</v>
      </c>
      <c r="D126" s="6">
        <f t="shared" si="62"/>
        <v>0</v>
      </c>
      <c r="E126" s="6">
        <f t="shared" si="62"/>
        <v>1</v>
      </c>
      <c r="F126" s="6">
        <f t="shared" si="62"/>
        <v>1</v>
      </c>
      <c r="G126" s="6">
        <f t="shared" si="62"/>
        <v>0</v>
      </c>
      <c r="H126" s="6">
        <f t="shared" si="62"/>
        <v>1</v>
      </c>
      <c r="I126" s="6">
        <f t="shared" si="62"/>
        <v>1</v>
      </c>
      <c r="J126" s="7">
        <f t="shared" si="62"/>
        <v>0</v>
      </c>
      <c r="K126" s="13">
        <f>SUM(B126:J126)</f>
        <v>5</v>
      </c>
    </row>
    <row r="127" spans="1:27" x14ac:dyDescent="0.2">
      <c r="A127" s="80">
        <f>IF((A126-A120)&gt;9,(A126-A120-9),0)</f>
        <v>0</v>
      </c>
      <c r="B127" s="18">
        <f>IF(AND(ISNUMBER($A121),ISNUMBER($A127)),IF((RANK(B$4,$B$4:$J$4,1))&lt;=($A127-$A121),1,0),"")</f>
        <v>0</v>
      </c>
      <c r="C127" s="6">
        <f t="shared" ref="C127:J127" si="63">IF(AND(ISNUMBER($A121),ISNUMBER($A127)),IF((RANK(C$4,$B$4:$J$4,1))&lt;=($A127-$A121),1,0),"")</f>
        <v>0</v>
      </c>
      <c r="D127" s="6">
        <f t="shared" si="63"/>
        <v>0</v>
      </c>
      <c r="E127" s="6">
        <f t="shared" si="63"/>
        <v>0</v>
      </c>
      <c r="F127" s="6">
        <f t="shared" si="63"/>
        <v>0</v>
      </c>
      <c r="G127" s="6">
        <f t="shared" si="63"/>
        <v>0</v>
      </c>
      <c r="H127" s="6">
        <f t="shared" si="63"/>
        <v>0</v>
      </c>
      <c r="I127" s="6">
        <f t="shared" si="63"/>
        <v>0</v>
      </c>
      <c r="J127" s="7">
        <f t="shared" si="63"/>
        <v>0</v>
      </c>
      <c r="K127" s="13">
        <f>SUM(B127:J127)</f>
        <v>0</v>
      </c>
    </row>
    <row r="128" spans="1:27" x14ac:dyDescent="0.2">
      <c r="A128" s="80"/>
      <c r="B128" s="82">
        <f>IF(AND(ISNUMBER(B125),ISNUMBER(B126)),B125-B126-B127," ")</f>
        <v>9</v>
      </c>
      <c r="C128" s="83">
        <f t="shared" ref="C128:J128" si="64">IF(AND(ISNUMBER(C125),ISNUMBER(C126)),C125-C126-C127," ")</f>
        <v>4</v>
      </c>
      <c r="D128" s="83">
        <f t="shared" si="64"/>
        <v>8</v>
      </c>
      <c r="E128" s="83">
        <f t="shared" si="64"/>
        <v>3</v>
      </c>
      <c r="F128" s="83">
        <f t="shared" si="64"/>
        <v>5</v>
      </c>
      <c r="G128" s="83">
        <f t="shared" si="64"/>
        <v>5</v>
      </c>
      <c r="H128" s="83">
        <f t="shared" si="64"/>
        <v>4</v>
      </c>
      <c r="I128" s="83">
        <f t="shared" si="64"/>
        <v>5</v>
      </c>
      <c r="J128" s="84">
        <f t="shared" si="64"/>
        <v>7</v>
      </c>
      <c r="K128" s="13">
        <f>IF(ISNUMBER(FIND("Wins",K129)), 2, IF(ISNUMBER(FIND("Tie",K129)), 1, 0))</f>
        <v>0</v>
      </c>
    </row>
    <row r="129" spans="1:11" ht="13.5" thickBot="1" x14ac:dyDescent="0.25">
      <c r="A129" s="81"/>
      <c r="B129" s="19">
        <f>IF(AND(ISNUMBER(B122),ISNUMBER(B128)),IF(B128&lt;B122, 0+1, (IF(B128&gt;B122, 0-1, 0)))," ")</f>
        <v>-1</v>
      </c>
      <c r="C129" s="9">
        <f t="shared" ref="C129:J129" si="65">IF(AND(ISNUMBER(C122),ISNUMBER(C128)),IF(C128&lt;C122, +B129+1, (IF(C128&gt;C122, +B129-1, +B129)))," ")</f>
        <v>0</v>
      </c>
      <c r="D129" s="9">
        <f t="shared" si="65"/>
        <v>-1</v>
      </c>
      <c r="E129" s="9">
        <f t="shared" si="65"/>
        <v>-1</v>
      </c>
      <c r="F129" s="9">
        <f t="shared" si="65"/>
        <v>0</v>
      </c>
      <c r="G129" s="9">
        <f t="shared" si="65"/>
        <v>-1</v>
      </c>
      <c r="H129" s="9">
        <f t="shared" si="65"/>
        <v>0</v>
      </c>
      <c r="I129" s="9">
        <f t="shared" si="65"/>
        <v>-1</v>
      </c>
      <c r="J129" s="10">
        <f t="shared" si="65"/>
        <v>-2</v>
      </c>
      <c r="K129" s="14" t="str">
        <f>IF(ISNUMBER(J129),IF(F129&gt;4,"Wins " &amp; F129 &amp; " &amp; 4",IF(G129&gt;3,"Wins " &amp; G129 &amp; " &amp; 3",IF(H129&gt;2,"Wins " &amp; H129 &amp; " &amp; 2",IF(I129&gt;1,"Wins " &amp; I129 &amp; " &amp; 1",IF(J129&gt;J123,"Wins " &amp; J129 &amp; " Up",IF(J129&lt;J123,"Loss","Tie"))))))," ")</f>
        <v>Loss</v>
      </c>
    </row>
    <row r="130" spans="1:11" x14ac:dyDescent="0.2">
      <c r="A130" s="26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ht="13.5" thickBot="1" x14ac:dyDescent="0.25">
      <c r="A131" s="24" t="s">
        <v>133</v>
      </c>
    </row>
    <row r="132" spans="1:11" x14ac:dyDescent="0.2">
      <c r="A132" s="29" t="str">
        <f t="shared" ref="A132:J132" si="66">A32</f>
        <v>Patrick</v>
      </c>
      <c r="B132" s="17">
        <f t="shared" si="66"/>
        <v>9</v>
      </c>
      <c r="C132" s="3">
        <f t="shared" si="66"/>
        <v>5</v>
      </c>
      <c r="D132" s="3">
        <f t="shared" si="66"/>
        <v>10</v>
      </c>
      <c r="E132" s="3">
        <f t="shared" si="66"/>
        <v>3</v>
      </c>
      <c r="F132" s="3">
        <f t="shared" si="66"/>
        <v>5</v>
      </c>
      <c r="G132" s="3">
        <f t="shared" si="66"/>
        <v>4</v>
      </c>
      <c r="H132" s="3">
        <f t="shared" si="66"/>
        <v>5</v>
      </c>
      <c r="I132" s="3">
        <f t="shared" si="66"/>
        <v>5</v>
      </c>
      <c r="J132" s="4">
        <f t="shared" si="66"/>
        <v>5</v>
      </c>
      <c r="K132" s="12">
        <f>SUM(B132:J132)</f>
        <v>51</v>
      </c>
    </row>
    <row r="133" spans="1:11" x14ac:dyDescent="0.2">
      <c r="A133" s="30">
        <f>A33</f>
        <v>8</v>
      </c>
      <c r="B133" s="18">
        <f>IF(AND(ISNUMBER($A133),ISNUMBER($A139)),IF((RANK(B$4,$B$4:$J$4,1))&lt;=($A133-$A139),1,0),"")</f>
        <v>0</v>
      </c>
      <c r="C133" s="6">
        <f t="shared" ref="C133:J133" si="67">IF(AND(ISNUMBER($A133),ISNUMBER($A139)),IF((RANK(C$4,$B$4:$J$4,1))&lt;=($A133-$A139),1,0),"")</f>
        <v>0</v>
      </c>
      <c r="D133" s="6">
        <f t="shared" si="67"/>
        <v>0</v>
      </c>
      <c r="E133" s="6">
        <f t="shared" si="67"/>
        <v>0</v>
      </c>
      <c r="F133" s="6">
        <f t="shared" si="67"/>
        <v>0</v>
      </c>
      <c r="G133" s="6">
        <f t="shared" si="67"/>
        <v>0</v>
      </c>
      <c r="H133" s="6">
        <f t="shared" si="67"/>
        <v>0</v>
      </c>
      <c r="I133" s="6">
        <f t="shared" si="67"/>
        <v>0</v>
      </c>
      <c r="J133" s="7">
        <f t="shared" si="67"/>
        <v>0</v>
      </c>
      <c r="K133" s="13">
        <f>SUM(B133:J133)</f>
        <v>0</v>
      </c>
    </row>
    <row r="134" spans="1:11" x14ac:dyDescent="0.2">
      <c r="A134" s="30">
        <f>IF((A133-A139)&gt;9,(A133-A139-9),0)</f>
        <v>0</v>
      </c>
      <c r="B134" s="18">
        <f>IF(AND(ISNUMBER($A134),ISNUMBER($A140)),IF((RANK(B$4,$B$4:$J$4,1))&lt;=($A134-$A140),1,0),"")</f>
        <v>0</v>
      </c>
      <c r="C134" s="6">
        <f t="shared" ref="C134:J134" si="68">IF(AND(ISNUMBER($A134),ISNUMBER($A140)),IF((RANK(C$4,$B$4:$J$4,1))&lt;=($A134-$A140),1,0),"")</f>
        <v>0</v>
      </c>
      <c r="D134" s="6">
        <f t="shared" si="68"/>
        <v>0</v>
      </c>
      <c r="E134" s="6">
        <f t="shared" si="68"/>
        <v>0</v>
      </c>
      <c r="F134" s="6">
        <f t="shared" si="68"/>
        <v>0</v>
      </c>
      <c r="G134" s="6">
        <f t="shared" si="68"/>
        <v>0</v>
      </c>
      <c r="H134" s="6">
        <f t="shared" si="68"/>
        <v>0</v>
      </c>
      <c r="I134" s="6">
        <f t="shared" si="68"/>
        <v>0</v>
      </c>
      <c r="J134" s="7">
        <f t="shared" si="68"/>
        <v>0</v>
      </c>
      <c r="K134" s="13">
        <f>SUM(B134:J134)</f>
        <v>0</v>
      </c>
    </row>
    <row r="135" spans="1:11" x14ac:dyDescent="0.2">
      <c r="A135" s="30"/>
      <c r="B135" s="82">
        <f>IF(AND(ISNUMBER(B132),ISNUMBER(B133)),B132-B133-B134," ")</f>
        <v>9</v>
      </c>
      <c r="C135" s="83">
        <f t="shared" ref="C135:J135" si="69">IF(AND(ISNUMBER(C132),ISNUMBER(C133)),C132-C133-C134," ")</f>
        <v>5</v>
      </c>
      <c r="D135" s="83">
        <f t="shared" si="69"/>
        <v>10</v>
      </c>
      <c r="E135" s="83">
        <f t="shared" si="69"/>
        <v>3</v>
      </c>
      <c r="F135" s="83">
        <f t="shared" si="69"/>
        <v>5</v>
      </c>
      <c r="G135" s="83">
        <f t="shared" si="69"/>
        <v>4</v>
      </c>
      <c r="H135" s="83">
        <f t="shared" si="69"/>
        <v>5</v>
      </c>
      <c r="I135" s="83">
        <f t="shared" si="69"/>
        <v>5</v>
      </c>
      <c r="J135" s="84">
        <f t="shared" si="69"/>
        <v>5</v>
      </c>
      <c r="K135" s="13">
        <f>IF(ISNUMBER(FIND("Wins",K136)), 2, IF(ISNUMBER(FIND("Tie",K136)), 1, 0))</f>
        <v>0</v>
      </c>
    </row>
    <row r="136" spans="1:11" ht="13.5" thickBot="1" x14ac:dyDescent="0.25">
      <c r="A136" s="31"/>
      <c r="B136" s="19">
        <f>IF(AND(ISNUMBER(B135),ISNUMBER(B141)),IF(B135&lt;B141, 0+1, (IF(B135&gt;B141, 0-1, 0)))," ")</f>
        <v>-1</v>
      </c>
      <c r="C136" s="9">
        <f t="shared" ref="C136:J136" si="70">IF(AND(ISNUMBER(C135),ISNUMBER(C141)),IF(C135&lt;C141, +B136+1, (IF(C135&gt;C141, +B136-1, +B136)))," ")</f>
        <v>0</v>
      </c>
      <c r="D136" s="9">
        <f t="shared" si="70"/>
        <v>0</v>
      </c>
      <c r="E136" s="9">
        <f t="shared" si="70"/>
        <v>0</v>
      </c>
      <c r="F136" s="9">
        <f t="shared" si="70"/>
        <v>-1</v>
      </c>
      <c r="G136" s="9">
        <f t="shared" si="70"/>
        <v>-2</v>
      </c>
      <c r="H136" s="9">
        <f t="shared" si="70"/>
        <v>-3</v>
      </c>
      <c r="I136" s="9">
        <f t="shared" si="70"/>
        <v>-3</v>
      </c>
      <c r="J136" s="10">
        <f t="shared" si="70"/>
        <v>-3</v>
      </c>
      <c r="K136" s="14" t="str">
        <f>IF(ISNUMBER(J136),IF(F136&gt;4,"Wins " &amp; F136 &amp; " &amp; 4",IF(G136&gt;3,"Wins " &amp; G136 &amp; " &amp; 3",IF(H136&gt;2,"Wins " &amp; H136 &amp; " &amp; 2",IF(I136&gt;1,"Wins " &amp; I136 &amp; " &amp; 1",IF(J136&gt;J142,"Wins " &amp; J136 &amp; " Up",IF(J136&lt;J142,"Loss","Tie"))))))," ")</f>
        <v>Loss</v>
      </c>
    </row>
    <row r="137" spans="1:11" ht="13.5" thickBot="1" x14ac:dyDescent="0.25">
      <c r="A137" s="32"/>
    </row>
    <row r="138" spans="1:11" x14ac:dyDescent="0.2">
      <c r="A138" s="79" t="str">
        <f t="shared" ref="A138:J138" si="71">A34</f>
        <v>Brian S</v>
      </c>
      <c r="B138" s="17">
        <f t="shared" si="71"/>
        <v>7</v>
      </c>
      <c r="C138" s="3">
        <f t="shared" si="71"/>
        <v>9</v>
      </c>
      <c r="D138" s="3">
        <f t="shared" si="71"/>
        <v>10</v>
      </c>
      <c r="E138" s="3">
        <f t="shared" si="71"/>
        <v>4</v>
      </c>
      <c r="F138" s="3">
        <f t="shared" si="71"/>
        <v>5</v>
      </c>
      <c r="G138" s="3">
        <f t="shared" si="71"/>
        <v>3</v>
      </c>
      <c r="H138" s="3">
        <f t="shared" si="71"/>
        <v>5</v>
      </c>
      <c r="I138" s="3">
        <f t="shared" si="71"/>
        <v>6</v>
      </c>
      <c r="J138" s="4">
        <f t="shared" si="71"/>
        <v>5</v>
      </c>
      <c r="K138" s="12">
        <f>SUM(B138:J138)</f>
        <v>54</v>
      </c>
    </row>
    <row r="139" spans="1:11" x14ac:dyDescent="0.2">
      <c r="A139" s="80">
        <f>A35</f>
        <v>13</v>
      </c>
      <c r="B139" s="18">
        <f>IF(AND(ISNUMBER($A133),ISNUMBER($A139)),IF((RANK(B$4,$B$4:$J$4,1))&lt;=($A139-$A133),1,0),"")</f>
        <v>0</v>
      </c>
      <c r="C139" s="6">
        <f t="shared" ref="C139:J139" si="72">IF(AND(ISNUMBER($A133),ISNUMBER($A139)),IF((RANK(C$4,$B$4:$J$4,1))&lt;=($A139-$A133),1,0),"")</f>
        <v>1</v>
      </c>
      <c r="D139" s="6">
        <f t="shared" si="72"/>
        <v>0</v>
      </c>
      <c r="E139" s="6">
        <f t="shared" si="72"/>
        <v>1</v>
      </c>
      <c r="F139" s="6">
        <f t="shared" si="72"/>
        <v>1</v>
      </c>
      <c r="G139" s="6">
        <f t="shared" si="72"/>
        <v>0</v>
      </c>
      <c r="H139" s="6">
        <f t="shared" si="72"/>
        <v>1</v>
      </c>
      <c r="I139" s="6">
        <f t="shared" si="72"/>
        <v>1</v>
      </c>
      <c r="J139" s="7">
        <f t="shared" si="72"/>
        <v>0</v>
      </c>
      <c r="K139" s="13">
        <f>SUM(B139:J139)</f>
        <v>5</v>
      </c>
    </row>
    <row r="140" spans="1:11" x14ac:dyDescent="0.2">
      <c r="A140" s="80">
        <f>IF((A139-A133)&gt;9,(A139-A133-9),0)</f>
        <v>0</v>
      </c>
      <c r="B140" s="18">
        <f>IF(AND(ISNUMBER($A134),ISNUMBER($A140)),IF((RANK(B$4,$B$4:$J$4,1))&lt;=($A140-$A134),1,0),"")</f>
        <v>0</v>
      </c>
      <c r="C140" s="6">
        <f t="shared" ref="C140:J140" si="73">IF(AND(ISNUMBER($A134),ISNUMBER($A140)),IF((RANK(C$4,$B$4:$J$4,1))&lt;=($A140-$A134),1,0),"")</f>
        <v>0</v>
      </c>
      <c r="D140" s="6">
        <f t="shared" si="73"/>
        <v>0</v>
      </c>
      <c r="E140" s="6">
        <f t="shared" si="73"/>
        <v>0</v>
      </c>
      <c r="F140" s="6">
        <f t="shared" si="73"/>
        <v>0</v>
      </c>
      <c r="G140" s="6">
        <f t="shared" si="73"/>
        <v>0</v>
      </c>
      <c r="H140" s="6">
        <f t="shared" si="73"/>
        <v>0</v>
      </c>
      <c r="I140" s="6">
        <f t="shared" si="73"/>
        <v>0</v>
      </c>
      <c r="J140" s="7">
        <f t="shared" si="73"/>
        <v>0</v>
      </c>
      <c r="K140" s="13">
        <f>SUM(B140:J140)</f>
        <v>0</v>
      </c>
    </row>
    <row r="141" spans="1:11" x14ac:dyDescent="0.2">
      <c r="A141" s="80"/>
      <c r="B141" s="82">
        <f>IF(AND(ISNUMBER(B138),ISNUMBER(B139)),B138-B139-B140," ")</f>
        <v>7</v>
      </c>
      <c r="C141" s="83">
        <f t="shared" ref="C141:J141" si="74">IF(AND(ISNUMBER(C138),ISNUMBER(C139)),C138-C139-C140," ")</f>
        <v>8</v>
      </c>
      <c r="D141" s="83">
        <f t="shared" si="74"/>
        <v>10</v>
      </c>
      <c r="E141" s="83">
        <f t="shared" si="74"/>
        <v>3</v>
      </c>
      <c r="F141" s="83">
        <f t="shared" si="74"/>
        <v>4</v>
      </c>
      <c r="G141" s="83">
        <f t="shared" si="74"/>
        <v>3</v>
      </c>
      <c r="H141" s="83">
        <f t="shared" si="74"/>
        <v>4</v>
      </c>
      <c r="I141" s="83">
        <f t="shared" si="74"/>
        <v>5</v>
      </c>
      <c r="J141" s="84">
        <f t="shared" si="74"/>
        <v>5</v>
      </c>
      <c r="K141" s="13">
        <f>IF(ISNUMBER(FIND("Wins",K142)), 2, IF(ISNUMBER(FIND("Tie",K142)), 1, 0))</f>
        <v>2</v>
      </c>
    </row>
    <row r="142" spans="1:11" ht="13.5" thickBot="1" x14ac:dyDescent="0.25">
      <c r="A142" s="81"/>
      <c r="B142" s="19">
        <f>IF(AND(ISNUMBER(B135),ISNUMBER(B141)),IF(B141&lt;B135, 0+1, (IF(B141&gt;B135, 0-1, 0)))," ")</f>
        <v>1</v>
      </c>
      <c r="C142" s="9">
        <f t="shared" ref="C142:J142" si="75">IF(AND(ISNUMBER(C135),ISNUMBER(C141)),IF(C141&lt;C135, +B142+1, (IF(C141&gt;C135, +B142-1, +B142)))," ")</f>
        <v>0</v>
      </c>
      <c r="D142" s="9">
        <f t="shared" si="75"/>
        <v>0</v>
      </c>
      <c r="E142" s="9">
        <f t="shared" si="75"/>
        <v>0</v>
      </c>
      <c r="F142" s="9">
        <f t="shared" si="75"/>
        <v>1</v>
      </c>
      <c r="G142" s="9">
        <f t="shared" si="75"/>
        <v>2</v>
      </c>
      <c r="H142" s="9">
        <f t="shared" si="75"/>
        <v>3</v>
      </c>
      <c r="I142" s="9">
        <f t="shared" si="75"/>
        <v>3</v>
      </c>
      <c r="J142" s="10">
        <f t="shared" si="75"/>
        <v>3</v>
      </c>
      <c r="K142" s="14" t="str">
        <f>IF(ISNUMBER(J142),IF(F142&gt;4,"Wins " &amp; F142 &amp; " &amp; 4",IF(G142&gt;3,"Wins " &amp; G142 &amp; " &amp; 3",IF(H142&gt;2,"Wins " &amp; H142 &amp; " &amp; 2",IF(I142&gt;1,"Wins " &amp; I142 &amp; " &amp; 1",IF(J142&gt;J136,"Wins " &amp; J142 &amp; " Up",IF(J142&lt;J136,"Loss","Tie"))))))," ")</f>
        <v>Wins 3 &amp; 2</v>
      </c>
    </row>
    <row r="143" spans="1:11" x14ac:dyDescent="0.2">
      <c r="A143" s="26"/>
      <c r="B143" s="85"/>
      <c r="C143" s="85"/>
      <c r="D143" s="85"/>
      <c r="E143" s="85"/>
      <c r="F143" s="85"/>
      <c r="G143" s="85"/>
      <c r="H143" s="85"/>
      <c r="I143" s="85"/>
      <c r="J143" s="85"/>
      <c r="K143" s="15"/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43"/>
  <sheetViews>
    <sheetView zoomScaleNormal="100" workbookViewId="0">
      <pane xSplit="1" ySplit="4" topLeftCell="B5" activePane="bottomRight" state="frozen"/>
      <selection activeCell="A144" sqref="A144:XFD169"/>
      <selection pane="topRight" activeCell="A144" sqref="A144:XFD169"/>
      <selection pane="bottomLeft" activeCell="A144" sqref="A144:XFD169"/>
      <selection pane="bottomRight" activeCell="S38" sqref="S38"/>
    </sheetView>
  </sheetViews>
  <sheetFormatPr defaultColWidth="9.140625" defaultRowHeight="12.75" x14ac:dyDescent="0.2"/>
  <cols>
    <col min="1" max="1" width="19.7109375" style="20" customWidth="1"/>
    <col min="2" max="10" width="9.140625" style="2"/>
    <col min="11" max="11" width="13.42578125" style="2" customWidth="1"/>
    <col min="12" max="12" width="9.140625" style="1"/>
    <col min="13" max="13" width="11.140625" style="1" customWidth="1"/>
    <col min="14" max="15" width="11.140625" style="2" customWidth="1"/>
    <col min="16" max="20" width="11.85546875" style="52" customWidth="1"/>
    <col min="21" max="22" width="9.140625" style="1"/>
    <col min="23" max="26" width="9.140625" style="2"/>
    <col min="27" max="27" width="9.85546875" style="2" customWidth="1"/>
    <col min="28" max="16384" width="9.140625" style="1"/>
  </cols>
  <sheetData>
    <row r="1" spans="1:27" ht="13.5" thickBot="1" x14ac:dyDescent="0.25"/>
    <row r="2" spans="1:27" x14ac:dyDescent="0.2">
      <c r="A2" s="21" t="s">
        <v>1</v>
      </c>
      <c r="B2" s="76">
        <f>Courses!C16</f>
        <v>1</v>
      </c>
      <c r="C2" s="34">
        <f>Courses!D16</f>
        <v>2</v>
      </c>
      <c r="D2" s="34">
        <f>Courses!E16</f>
        <v>3</v>
      </c>
      <c r="E2" s="34">
        <f>Courses!F16</f>
        <v>4</v>
      </c>
      <c r="F2" s="34">
        <f>Courses!G16</f>
        <v>5</v>
      </c>
      <c r="G2" s="34">
        <f>Courses!H16</f>
        <v>6</v>
      </c>
      <c r="H2" s="34">
        <f>Courses!I16</f>
        <v>7</v>
      </c>
      <c r="I2" s="34">
        <f>Courses!J16</f>
        <v>8</v>
      </c>
      <c r="J2" s="35">
        <f>Courses!K16</f>
        <v>9</v>
      </c>
      <c r="K2" s="73"/>
    </row>
    <row r="3" spans="1:27" x14ac:dyDescent="0.2">
      <c r="A3" s="22" t="s">
        <v>2</v>
      </c>
      <c r="B3" s="77">
        <f>Courses!C17</f>
        <v>4</v>
      </c>
      <c r="C3" s="39">
        <f>Courses!D17</f>
        <v>5</v>
      </c>
      <c r="D3" s="39">
        <f>Courses!E17</f>
        <v>3</v>
      </c>
      <c r="E3" s="39">
        <f>Courses!F17</f>
        <v>4</v>
      </c>
      <c r="F3" s="39">
        <f>Courses!G17</f>
        <v>3</v>
      </c>
      <c r="G3" s="39">
        <f>Courses!H17</f>
        <v>4</v>
      </c>
      <c r="H3" s="39">
        <f>Courses!I17</f>
        <v>4</v>
      </c>
      <c r="I3" s="39">
        <f>Courses!J17</f>
        <v>5</v>
      </c>
      <c r="J3" s="40">
        <f>Courses!K17</f>
        <v>4</v>
      </c>
      <c r="K3" s="74">
        <f>SUM(B3:J3)</f>
        <v>36</v>
      </c>
      <c r="P3" s="55" t="s">
        <v>32</v>
      </c>
    </row>
    <row r="4" spans="1:27" ht="13.5" thickBot="1" x14ac:dyDescent="0.25">
      <c r="A4" s="23" t="s">
        <v>3</v>
      </c>
      <c r="B4" s="78">
        <f>Courses!C18</f>
        <v>13</v>
      </c>
      <c r="C4" s="44">
        <f>Courses!D18</f>
        <v>3</v>
      </c>
      <c r="D4" s="44">
        <f>Courses!E18</f>
        <v>17</v>
      </c>
      <c r="E4" s="44">
        <f>Courses!F18</f>
        <v>9</v>
      </c>
      <c r="F4" s="44">
        <f>Courses!G18</f>
        <v>15</v>
      </c>
      <c r="G4" s="44">
        <f>Courses!H18</f>
        <v>7</v>
      </c>
      <c r="H4" s="44">
        <f>Courses!I18</f>
        <v>11</v>
      </c>
      <c r="I4" s="44">
        <f>Courses!J18</f>
        <v>1</v>
      </c>
      <c r="J4" s="45">
        <f>Courses!K18</f>
        <v>5</v>
      </c>
      <c r="K4" s="75"/>
      <c r="P4" s="52" t="s">
        <v>126</v>
      </c>
      <c r="Q4" s="52" t="s">
        <v>128</v>
      </c>
      <c r="R4" s="52" t="s">
        <v>33</v>
      </c>
      <c r="T4" s="52" t="s">
        <v>129</v>
      </c>
    </row>
    <row r="5" spans="1:27" ht="13.5" thickBot="1" x14ac:dyDescent="0.25">
      <c r="A5" s="26"/>
      <c r="M5" s="167" t="s">
        <v>16</v>
      </c>
      <c r="N5" s="232" t="s">
        <v>17</v>
      </c>
      <c r="O5" s="232" t="s">
        <v>36</v>
      </c>
      <c r="P5" s="161" t="str">
        <f>Results!C40</f>
        <v>Long Drive</v>
      </c>
      <c r="Q5" s="50" t="str">
        <f>Results!D40</f>
        <v>Closest to Pin</v>
      </c>
      <c r="R5" s="50" t="str">
        <f>Results!E40</f>
        <v>Long Putt</v>
      </c>
      <c r="S5" s="50" t="str">
        <f>Results!F40</f>
        <v>Secret Snowman</v>
      </c>
      <c r="T5" s="51" t="str">
        <f>Results!G40</f>
        <v>Closest to Pin</v>
      </c>
      <c r="V5" s="2">
        <v>1</v>
      </c>
      <c r="W5" s="2">
        <v>2</v>
      </c>
      <c r="X5" s="2">
        <v>3</v>
      </c>
      <c r="Y5" s="2">
        <v>4</v>
      </c>
      <c r="Z5" s="2">
        <v>5</v>
      </c>
    </row>
    <row r="6" spans="1:27" x14ac:dyDescent="0.2">
      <c r="A6" s="21" t="str">
        <f>Matchups!D3</f>
        <v>Rick</v>
      </c>
      <c r="B6" s="115">
        <v>4</v>
      </c>
      <c r="C6" s="116">
        <v>7</v>
      </c>
      <c r="D6" s="116">
        <v>4</v>
      </c>
      <c r="E6" s="116">
        <v>5</v>
      </c>
      <c r="F6" s="116">
        <v>3</v>
      </c>
      <c r="G6" s="116">
        <v>5</v>
      </c>
      <c r="H6" s="116">
        <v>4</v>
      </c>
      <c r="I6" s="116">
        <v>6</v>
      </c>
      <c r="J6" s="117">
        <v>4</v>
      </c>
      <c r="K6" s="5">
        <f>SUM(B6:J6)</f>
        <v>42</v>
      </c>
      <c r="M6" s="90">
        <f>A8</f>
        <v>5</v>
      </c>
      <c r="N6" s="5">
        <f>K8</f>
        <v>50</v>
      </c>
      <c r="O6" s="5">
        <f>K50</f>
        <v>0</v>
      </c>
      <c r="P6" s="162"/>
      <c r="Q6" s="65"/>
      <c r="R6" s="65"/>
      <c r="S6" s="65"/>
      <c r="T6" s="153"/>
      <c r="V6" s="2">
        <f t="shared" ref="V6:V37" si="0">IF($S$39=V$5,S6*V$5,"")</f>
        <v>0</v>
      </c>
      <c r="W6" s="2" t="str">
        <f t="shared" ref="W6:W37" si="1">IF($S$39=W$5,S6*W$5,"")</f>
        <v/>
      </c>
      <c r="X6" s="2" t="str">
        <f t="shared" ref="X6:X37" si="2">IF($S$39=X$5,S6*X$5,"")</f>
        <v/>
      </c>
      <c r="Y6" s="2" t="str">
        <f t="shared" ref="Y6:Y37" si="3">IF($S$39=Y$5,S6*Y$5,"")</f>
        <v/>
      </c>
      <c r="Z6" s="2" t="str">
        <f t="shared" ref="Z6:Z37" si="4">IF($S$39=Z$5,S6*Z$5,"")</f>
        <v/>
      </c>
      <c r="AA6" s="144">
        <f>IF(SUM(V6:Z6)=0,0,Setup!F$44/SUM(V6:Z6))</f>
        <v>0</v>
      </c>
    </row>
    <row r="7" spans="1:27" hidden="1" x14ac:dyDescent="0.2">
      <c r="A7" s="22">
        <f>Matchups!D4</f>
        <v>7</v>
      </c>
      <c r="B7" s="118"/>
      <c r="C7" s="119"/>
      <c r="D7" s="119"/>
      <c r="E7" s="119"/>
      <c r="F7" s="119"/>
      <c r="G7" s="119"/>
      <c r="H7" s="119"/>
      <c r="I7" s="119"/>
      <c r="J7" s="120"/>
      <c r="K7" s="8"/>
      <c r="M7" s="91"/>
      <c r="N7" s="8"/>
      <c r="O7" s="8"/>
      <c r="P7" s="164"/>
      <c r="Q7" s="66"/>
      <c r="R7" s="66"/>
      <c r="S7" s="66"/>
      <c r="T7" s="154"/>
      <c r="V7" s="2">
        <f t="shared" si="0"/>
        <v>0</v>
      </c>
      <c r="W7" s="2" t="str">
        <f t="shared" si="1"/>
        <v/>
      </c>
      <c r="X7" s="2" t="str">
        <f t="shared" si="2"/>
        <v/>
      </c>
      <c r="Y7" s="2" t="str">
        <f t="shared" si="3"/>
        <v/>
      </c>
      <c r="Z7" s="2" t="str">
        <f t="shared" si="4"/>
        <v/>
      </c>
      <c r="AA7" s="144">
        <f>IF(SUM(V7:Z7)=0,0,Setup!F$44/SUM(V7:Z7))</f>
        <v>0</v>
      </c>
    </row>
    <row r="8" spans="1:27" x14ac:dyDescent="0.2">
      <c r="A8" s="22">
        <v>5</v>
      </c>
      <c r="B8" s="118">
        <v>3</v>
      </c>
      <c r="C8" s="119">
        <v>10</v>
      </c>
      <c r="D8" s="119">
        <v>3</v>
      </c>
      <c r="E8" s="119">
        <v>7</v>
      </c>
      <c r="F8" s="119">
        <v>4</v>
      </c>
      <c r="G8" s="119">
        <v>5</v>
      </c>
      <c r="H8" s="119">
        <v>5</v>
      </c>
      <c r="I8" s="119">
        <v>7</v>
      </c>
      <c r="J8" s="120">
        <v>6</v>
      </c>
      <c r="K8" s="8">
        <f t="shared" ref="K8:K28" si="5">SUM(B8:J8)</f>
        <v>50</v>
      </c>
      <c r="M8" s="91" t="str">
        <f>A18</f>
        <v>John</v>
      </c>
      <c r="N8" s="8">
        <f>K18</f>
        <v>47</v>
      </c>
      <c r="O8" s="8">
        <f>K83</f>
        <v>2</v>
      </c>
      <c r="P8" s="164"/>
      <c r="Q8" s="66"/>
      <c r="R8" s="66"/>
      <c r="S8" s="66"/>
      <c r="T8" s="154"/>
      <c r="V8" s="2">
        <f t="shared" si="0"/>
        <v>0</v>
      </c>
      <c r="W8" s="2" t="str">
        <f t="shared" si="1"/>
        <v/>
      </c>
      <c r="X8" s="2" t="str">
        <f t="shared" si="2"/>
        <v/>
      </c>
      <c r="Y8" s="2" t="str">
        <f t="shared" si="3"/>
        <v/>
      </c>
      <c r="Z8" s="2" t="str">
        <f t="shared" si="4"/>
        <v/>
      </c>
      <c r="AA8" s="144">
        <f>IF(SUM(V8:Z8)=0,0,Setup!F$44/SUM(V8:Z8))</f>
        <v>0</v>
      </c>
    </row>
    <row r="9" spans="1:27" hidden="1" x14ac:dyDescent="0.2">
      <c r="A9" s="22">
        <f>Matchups!D6</f>
        <v>6</v>
      </c>
      <c r="B9" s="118"/>
      <c r="C9" s="119"/>
      <c r="D9" s="119"/>
      <c r="E9" s="119"/>
      <c r="F9" s="119"/>
      <c r="G9" s="119"/>
      <c r="H9" s="119"/>
      <c r="I9" s="119"/>
      <c r="J9" s="120"/>
      <c r="K9" s="8"/>
      <c r="M9" s="91"/>
      <c r="N9" s="8"/>
      <c r="O9" s="8"/>
      <c r="P9" s="164"/>
      <c r="Q9" s="66"/>
      <c r="R9" s="66"/>
      <c r="S9" s="66"/>
      <c r="T9" s="154"/>
      <c r="V9" s="2">
        <f t="shared" si="0"/>
        <v>0</v>
      </c>
      <c r="W9" s="2" t="str">
        <f t="shared" si="1"/>
        <v/>
      </c>
      <c r="X9" s="2" t="str">
        <f t="shared" si="2"/>
        <v/>
      </c>
      <c r="Y9" s="2" t="str">
        <f t="shared" si="3"/>
        <v/>
      </c>
      <c r="Z9" s="2" t="str">
        <f t="shared" si="4"/>
        <v/>
      </c>
      <c r="AA9" s="144">
        <f>IF(SUM(V9:Z9)=0,0,Setup!F$44/SUM(V9:Z9))</f>
        <v>0</v>
      </c>
    </row>
    <row r="10" spans="1:27" x14ac:dyDescent="0.2">
      <c r="A10" s="22" t="str">
        <f>Matchups!D7</f>
        <v>Tommy</v>
      </c>
      <c r="B10" s="118">
        <v>3</v>
      </c>
      <c r="C10" s="119">
        <v>5</v>
      </c>
      <c r="D10" s="119">
        <v>3</v>
      </c>
      <c r="E10" s="119">
        <v>6</v>
      </c>
      <c r="F10" s="119">
        <v>3</v>
      </c>
      <c r="G10" s="119">
        <v>5</v>
      </c>
      <c r="H10" s="119">
        <v>5</v>
      </c>
      <c r="I10" s="119">
        <v>5</v>
      </c>
      <c r="J10" s="120">
        <v>6</v>
      </c>
      <c r="K10" s="8">
        <f t="shared" si="5"/>
        <v>41</v>
      </c>
      <c r="M10" s="91" t="str">
        <f>A22</f>
        <v>Brian P</v>
      </c>
      <c r="N10" s="8">
        <f>K22</f>
        <v>45</v>
      </c>
      <c r="O10" s="8">
        <f>K96</f>
        <v>2</v>
      </c>
      <c r="P10" s="164"/>
      <c r="Q10" s="66"/>
      <c r="R10" s="66"/>
      <c r="S10" s="66"/>
      <c r="T10" s="154"/>
      <c r="V10" s="2">
        <f t="shared" si="0"/>
        <v>0</v>
      </c>
      <c r="W10" s="2" t="str">
        <f t="shared" si="1"/>
        <v/>
      </c>
      <c r="X10" s="2" t="str">
        <f t="shared" si="2"/>
        <v/>
      </c>
      <c r="Y10" s="2" t="str">
        <f t="shared" si="3"/>
        <v/>
      </c>
      <c r="Z10" s="2" t="str">
        <f t="shared" si="4"/>
        <v/>
      </c>
      <c r="AA10" s="144">
        <f>IF(SUM(V10:Z10)=0,0,Setup!F$44/SUM(V10:Z10))</f>
        <v>0</v>
      </c>
    </row>
    <row r="11" spans="1:27" hidden="1" x14ac:dyDescent="0.2">
      <c r="A11" s="22">
        <f>Matchups!D8</f>
        <v>5</v>
      </c>
      <c r="B11" s="118"/>
      <c r="C11" s="119"/>
      <c r="D11" s="119"/>
      <c r="E11" s="119"/>
      <c r="F11" s="119"/>
      <c r="G11" s="119"/>
      <c r="H11" s="119"/>
      <c r="I11" s="119"/>
      <c r="J11" s="120"/>
      <c r="K11" s="8"/>
      <c r="M11" s="91"/>
      <c r="N11" s="8"/>
      <c r="O11" s="8"/>
      <c r="P11" s="164"/>
      <c r="Q11" s="66"/>
      <c r="R11" s="66"/>
      <c r="S11" s="66"/>
      <c r="T11" s="154"/>
      <c r="V11" s="2">
        <f t="shared" si="0"/>
        <v>0</v>
      </c>
      <c r="W11" s="2" t="str">
        <f t="shared" si="1"/>
        <v/>
      </c>
      <c r="X11" s="2" t="str">
        <f t="shared" si="2"/>
        <v/>
      </c>
      <c r="Y11" s="2" t="str">
        <f t="shared" si="3"/>
        <v/>
      </c>
      <c r="Z11" s="2" t="str">
        <f t="shared" si="4"/>
        <v/>
      </c>
      <c r="AA11" s="144">
        <f>IF(SUM(V11:Z11)=0,0,Setup!F$44/SUM(V11:Z11))</f>
        <v>0</v>
      </c>
    </row>
    <row r="12" spans="1:27" ht="13.5" thickBot="1" x14ac:dyDescent="0.25">
      <c r="A12" s="23" t="str">
        <f>Matchups!D9</f>
        <v>Bob</v>
      </c>
      <c r="B12" s="121">
        <v>4</v>
      </c>
      <c r="C12" s="122">
        <v>8</v>
      </c>
      <c r="D12" s="122">
        <v>6</v>
      </c>
      <c r="E12" s="122">
        <v>4</v>
      </c>
      <c r="F12" s="122">
        <v>4</v>
      </c>
      <c r="G12" s="122">
        <v>6</v>
      </c>
      <c r="H12" s="122">
        <v>4</v>
      </c>
      <c r="I12" s="122">
        <v>9</v>
      </c>
      <c r="J12" s="123">
        <v>4</v>
      </c>
      <c r="K12" s="11">
        <f t="shared" si="5"/>
        <v>49</v>
      </c>
      <c r="M12" s="91" t="str">
        <f>A30</f>
        <v xml:space="preserve">Pat </v>
      </c>
      <c r="N12" s="8">
        <f>K30</f>
        <v>44</v>
      </c>
      <c r="O12" s="8">
        <f>K122</f>
        <v>2</v>
      </c>
      <c r="P12" s="164">
        <v>1</v>
      </c>
      <c r="Q12" s="66"/>
      <c r="R12" s="66"/>
      <c r="S12" s="66"/>
      <c r="T12" s="154"/>
      <c r="V12" s="2">
        <f t="shared" si="0"/>
        <v>0</v>
      </c>
      <c r="W12" s="2" t="str">
        <f t="shared" si="1"/>
        <v/>
      </c>
      <c r="X12" s="2" t="str">
        <f t="shared" si="2"/>
        <v/>
      </c>
      <c r="Y12" s="2" t="str">
        <f t="shared" si="3"/>
        <v/>
      </c>
      <c r="Z12" s="2" t="str">
        <f t="shared" si="4"/>
        <v/>
      </c>
      <c r="AA12" s="144">
        <f>IF(SUM(V12:Z12)=0,0,Setup!F$44/SUM(V12:Z12))</f>
        <v>0</v>
      </c>
    </row>
    <row r="13" spans="1:27" ht="13.5" hidden="1" thickBot="1" x14ac:dyDescent="0.25">
      <c r="A13" s="686">
        <f>Matchups!D10</f>
        <v>10</v>
      </c>
      <c r="B13" s="124"/>
      <c r="C13" s="125"/>
      <c r="D13" s="125"/>
      <c r="E13" s="125"/>
      <c r="F13" s="125"/>
      <c r="G13" s="125"/>
      <c r="H13" s="125"/>
      <c r="I13" s="125"/>
      <c r="J13" s="126"/>
      <c r="K13" s="89"/>
      <c r="M13" s="133"/>
      <c r="N13" s="70"/>
      <c r="O13" s="70"/>
      <c r="P13" s="165"/>
      <c r="Q13" s="155"/>
      <c r="R13" s="155"/>
      <c r="S13" s="155"/>
      <c r="T13" s="156"/>
      <c r="V13" s="2">
        <f t="shared" si="0"/>
        <v>0</v>
      </c>
      <c r="W13" s="2" t="str">
        <f t="shared" si="1"/>
        <v/>
      </c>
      <c r="X13" s="2" t="str">
        <f t="shared" si="2"/>
        <v/>
      </c>
      <c r="Y13" s="2" t="str">
        <f t="shared" si="3"/>
        <v/>
      </c>
      <c r="Z13" s="2" t="str">
        <f t="shared" si="4"/>
        <v/>
      </c>
      <c r="AA13" s="144">
        <f>IF(SUM(V13:Z13)=0,0,Setup!F$44/SUM(V13:Z13))</f>
        <v>0</v>
      </c>
    </row>
    <row r="14" spans="1:27" x14ac:dyDescent="0.2">
      <c r="A14" s="21" t="str">
        <f>Matchups!D11</f>
        <v>Dave</v>
      </c>
      <c r="B14" s="339">
        <v>5</v>
      </c>
      <c r="C14" s="116">
        <v>5</v>
      </c>
      <c r="D14" s="116">
        <v>6</v>
      </c>
      <c r="E14" s="116">
        <v>5</v>
      </c>
      <c r="F14" s="116">
        <v>3</v>
      </c>
      <c r="G14" s="116">
        <v>5</v>
      </c>
      <c r="H14" s="116">
        <v>4</v>
      </c>
      <c r="I14" s="116">
        <v>6</v>
      </c>
      <c r="J14" s="117">
        <v>4</v>
      </c>
      <c r="K14" s="12">
        <f t="shared" si="5"/>
        <v>43</v>
      </c>
      <c r="M14" s="226" t="str">
        <f>A6</f>
        <v>Rick</v>
      </c>
      <c r="N14" s="5">
        <f>K6</f>
        <v>42</v>
      </c>
      <c r="O14" s="547">
        <f>K44</f>
        <v>2</v>
      </c>
      <c r="P14" s="297"/>
      <c r="Q14" s="65"/>
      <c r="R14" s="65"/>
      <c r="S14" s="65"/>
      <c r="T14" s="153"/>
      <c r="V14" s="2">
        <f t="shared" si="0"/>
        <v>0</v>
      </c>
      <c r="W14" s="2" t="str">
        <f t="shared" si="1"/>
        <v/>
      </c>
      <c r="X14" s="2" t="str">
        <f t="shared" si="2"/>
        <v/>
      </c>
      <c r="Y14" s="2" t="str">
        <f t="shared" si="3"/>
        <v/>
      </c>
      <c r="Z14" s="2" t="str">
        <f t="shared" si="4"/>
        <v/>
      </c>
      <c r="AA14" s="144">
        <f>IF(SUM(V14:Z14)=0,0,Setup!F$44/SUM(V14:Z14))</f>
        <v>0</v>
      </c>
    </row>
    <row r="15" spans="1:27" hidden="1" x14ac:dyDescent="0.2">
      <c r="A15" s="22">
        <f>Matchups!D12</f>
        <v>5</v>
      </c>
      <c r="B15" s="341"/>
      <c r="C15" s="119"/>
      <c r="D15" s="119"/>
      <c r="E15" s="119"/>
      <c r="F15" s="119"/>
      <c r="G15" s="119"/>
      <c r="H15" s="119"/>
      <c r="I15" s="119"/>
      <c r="J15" s="120"/>
      <c r="K15" s="13"/>
      <c r="M15" s="227"/>
      <c r="N15" s="8"/>
      <c r="O15" s="548"/>
      <c r="P15" s="191"/>
      <c r="Q15" s="66"/>
      <c r="R15" s="66"/>
      <c r="S15" s="66"/>
      <c r="T15" s="154"/>
      <c r="V15" s="2">
        <f t="shared" si="0"/>
        <v>0</v>
      </c>
      <c r="W15" s="2" t="str">
        <f t="shared" si="1"/>
        <v/>
      </c>
      <c r="X15" s="2" t="str">
        <f t="shared" si="2"/>
        <v/>
      </c>
      <c r="Y15" s="2" t="str">
        <f t="shared" si="3"/>
        <v/>
      </c>
      <c r="Z15" s="2" t="str">
        <f t="shared" si="4"/>
        <v/>
      </c>
      <c r="AA15" s="144">
        <f>IF(SUM(V15:Z15)=0,0,Setup!F$44/SUM(V15:Z15))</f>
        <v>0</v>
      </c>
    </row>
    <row r="16" spans="1:27" x14ac:dyDescent="0.2">
      <c r="A16" s="22" t="str">
        <f>Matchups!D13</f>
        <v>Keith</v>
      </c>
      <c r="B16" s="341">
        <v>4</v>
      </c>
      <c r="C16" s="119">
        <v>10</v>
      </c>
      <c r="D16" s="119">
        <v>4</v>
      </c>
      <c r="E16" s="119">
        <v>7</v>
      </c>
      <c r="F16" s="119">
        <v>4</v>
      </c>
      <c r="G16" s="119">
        <v>5</v>
      </c>
      <c r="H16" s="119">
        <v>6</v>
      </c>
      <c r="I16" s="119">
        <v>9</v>
      </c>
      <c r="J16" s="120">
        <v>6</v>
      </c>
      <c r="K16" s="13">
        <f t="shared" si="5"/>
        <v>55</v>
      </c>
      <c r="M16" s="227" t="str">
        <f>A16</f>
        <v>Keith</v>
      </c>
      <c r="N16" s="8">
        <f>K16</f>
        <v>55</v>
      </c>
      <c r="O16" s="548">
        <f>K76</f>
        <v>0</v>
      </c>
      <c r="P16" s="191"/>
      <c r="Q16" s="66"/>
      <c r="R16" s="66"/>
      <c r="S16" s="66"/>
      <c r="T16" s="154"/>
      <c r="V16" s="2">
        <f t="shared" si="0"/>
        <v>0</v>
      </c>
      <c r="W16" s="2" t="str">
        <f t="shared" si="1"/>
        <v/>
      </c>
      <c r="X16" s="2" t="str">
        <f t="shared" si="2"/>
        <v/>
      </c>
      <c r="Y16" s="2" t="str">
        <f t="shared" si="3"/>
        <v/>
      </c>
      <c r="Z16" s="2" t="str">
        <f t="shared" si="4"/>
        <v/>
      </c>
      <c r="AA16" s="144">
        <f>IF(SUM(V16:Z16)=0,0,Setup!F$44/SUM(V16:Z16))</f>
        <v>0</v>
      </c>
    </row>
    <row r="17" spans="1:27" hidden="1" x14ac:dyDescent="0.2">
      <c r="A17" s="22">
        <f>Matchups!D14</f>
        <v>16</v>
      </c>
      <c r="B17" s="341"/>
      <c r="C17" s="119"/>
      <c r="D17" s="119"/>
      <c r="E17" s="119"/>
      <c r="F17" s="119"/>
      <c r="G17" s="119"/>
      <c r="H17" s="119"/>
      <c r="I17" s="119"/>
      <c r="J17" s="120"/>
      <c r="K17" s="13"/>
      <c r="M17" s="227"/>
      <c r="N17" s="8"/>
      <c r="O17" s="548"/>
      <c r="P17" s="191"/>
      <c r="Q17" s="66"/>
      <c r="R17" s="66"/>
      <c r="S17" s="66"/>
      <c r="T17" s="154"/>
      <c r="V17" s="2">
        <f t="shared" si="0"/>
        <v>0</v>
      </c>
      <c r="W17" s="2" t="str">
        <f t="shared" si="1"/>
        <v/>
      </c>
      <c r="X17" s="2" t="str">
        <f t="shared" si="2"/>
        <v/>
      </c>
      <c r="Y17" s="2" t="str">
        <f t="shared" si="3"/>
        <v/>
      </c>
      <c r="Z17" s="2" t="str">
        <f t="shared" si="4"/>
        <v/>
      </c>
      <c r="AA17" s="144">
        <f>IF(SUM(V17:Z17)=0,0,Setup!F$44/SUM(V17:Z17))</f>
        <v>0</v>
      </c>
    </row>
    <row r="18" spans="1:27" x14ac:dyDescent="0.2">
      <c r="A18" s="22" t="str">
        <f>Matchups!D15</f>
        <v>John</v>
      </c>
      <c r="B18" s="341">
        <v>5</v>
      </c>
      <c r="C18" s="119">
        <v>6</v>
      </c>
      <c r="D18" s="119">
        <v>3</v>
      </c>
      <c r="E18" s="119">
        <v>7</v>
      </c>
      <c r="F18" s="119">
        <v>3</v>
      </c>
      <c r="G18" s="119">
        <v>6</v>
      </c>
      <c r="H18" s="119">
        <v>5</v>
      </c>
      <c r="I18" s="119">
        <v>8</v>
      </c>
      <c r="J18" s="120">
        <v>4</v>
      </c>
      <c r="K18" s="13">
        <f t="shared" si="5"/>
        <v>47</v>
      </c>
      <c r="M18" s="227" t="str">
        <f>A28</f>
        <v>Tony W</v>
      </c>
      <c r="N18" s="8">
        <f>K28</f>
        <v>50</v>
      </c>
      <c r="O18" s="548">
        <f>K115</f>
        <v>1</v>
      </c>
      <c r="P18" s="191"/>
      <c r="Q18" s="66"/>
      <c r="R18" s="66"/>
      <c r="S18" s="66"/>
      <c r="T18" s="154"/>
      <c r="V18" s="2">
        <f t="shared" si="0"/>
        <v>0</v>
      </c>
      <c r="W18" s="2" t="str">
        <f t="shared" si="1"/>
        <v/>
      </c>
      <c r="X18" s="2" t="str">
        <f t="shared" si="2"/>
        <v/>
      </c>
      <c r="Y18" s="2" t="str">
        <f t="shared" si="3"/>
        <v/>
      </c>
      <c r="Z18" s="2" t="str">
        <f t="shared" si="4"/>
        <v/>
      </c>
      <c r="AA18" s="144">
        <f>IF(SUM(V18:Z18)=0,0,Setup!F$44/SUM(V18:Z18))</f>
        <v>0</v>
      </c>
    </row>
    <row r="19" spans="1:27" hidden="1" x14ac:dyDescent="0.2">
      <c r="A19" s="22">
        <f>Matchups!D16</f>
        <v>7</v>
      </c>
      <c r="B19" s="341"/>
      <c r="C19" s="119"/>
      <c r="D19" s="119"/>
      <c r="E19" s="119"/>
      <c r="F19" s="119"/>
      <c r="G19" s="119"/>
      <c r="H19" s="119"/>
      <c r="I19" s="119"/>
      <c r="J19" s="120"/>
      <c r="K19" s="13"/>
      <c r="M19" s="334"/>
      <c r="N19" s="70"/>
      <c r="O19" s="549"/>
      <c r="P19" s="404"/>
      <c r="Q19" s="155"/>
      <c r="R19" s="155"/>
      <c r="S19" s="155"/>
      <c r="T19" s="156"/>
      <c r="V19" s="2">
        <f t="shared" si="0"/>
        <v>0</v>
      </c>
      <c r="W19" s="2" t="str">
        <f t="shared" si="1"/>
        <v/>
      </c>
      <c r="X19" s="2" t="str">
        <f t="shared" si="2"/>
        <v/>
      </c>
      <c r="Y19" s="2" t="str">
        <f t="shared" si="3"/>
        <v/>
      </c>
      <c r="Z19" s="2" t="str">
        <f t="shared" si="4"/>
        <v/>
      </c>
      <c r="AA19" s="144">
        <f>IF(SUM(V19:Z19)=0,0,Setup!F$44/SUM(V19:Z19))</f>
        <v>0</v>
      </c>
    </row>
    <row r="20" spans="1:27" ht="13.5" thickBot="1" x14ac:dyDescent="0.25">
      <c r="A20" s="22" t="str">
        <f>Matchups!D17</f>
        <v>Patrick</v>
      </c>
      <c r="B20" s="341">
        <v>5</v>
      </c>
      <c r="C20" s="119">
        <v>9</v>
      </c>
      <c r="D20" s="119">
        <v>5</v>
      </c>
      <c r="E20" s="119">
        <v>7</v>
      </c>
      <c r="F20" s="119">
        <v>3</v>
      </c>
      <c r="G20" s="119">
        <v>5</v>
      </c>
      <c r="H20" s="119">
        <v>6</v>
      </c>
      <c r="I20" s="119">
        <v>5</v>
      </c>
      <c r="J20" s="120">
        <v>8</v>
      </c>
      <c r="K20" s="13">
        <f t="shared" si="5"/>
        <v>53</v>
      </c>
      <c r="M20" s="227" t="str">
        <f>A36</f>
        <v>Manny</v>
      </c>
      <c r="N20" s="8">
        <f>K36</f>
        <v>50</v>
      </c>
      <c r="O20" s="548">
        <f>K141</f>
        <v>2</v>
      </c>
      <c r="P20" s="191"/>
      <c r="Q20" s="66"/>
      <c r="R20" s="66"/>
      <c r="S20" s="66"/>
      <c r="T20" s="154"/>
      <c r="V20" s="2">
        <f t="shared" si="0"/>
        <v>0</v>
      </c>
      <c r="W20" s="2" t="str">
        <f t="shared" si="1"/>
        <v/>
      </c>
      <c r="X20" s="2" t="str">
        <f t="shared" si="2"/>
        <v/>
      </c>
      <c r="Y20" s="2" t="str">
        <f t="shared" si="3"/>
        <v/>
      </c>
      <c r="Z20" s="2" t="str">
        <f t="shared" si="4"/>
        <v/>
      </c>
      <c r="AA20" s="144">
        <f>IF(SUM(V20:Z20)=0,0,Setup!F$44/SUM(V20:Z20))</f>
        <v>0</v>
      </c>
    </row>
    <row r="21" spans="1:27" ht="13.5" hidden="1" thickBot="1" x14ac:dyDescent="0.25">
      <c r="A21" s="409">
        <f>Matchups!D18</f>
        <v>8</v>
      </c>
      <c r="B21" s="342"/>
      <c r="C21" s="337"/>
      <c r="D21" s="337"/>
      <c r="E21" s="337"/>
      <c r="F21" s="337"/>
      <c r="G21" s="337"/>
      <c r="H21" s="337"/>
      <c r="I21" s="337"/>
      <c r="J21" s="338"/>
      <c r="K21" s="229"/>
      <c r="M21" s="334"/>
      <c r="N21" s="70"/>
      <c r="O21" s="549"/>
      <c r="P21" s="404"/>
      <c r="Q21" s="155"/>
      <c r="R21" s="155"/>
      <c r="S21" s="155"/>
      <c r="T21" s="156"/>
      <c r="V21" s="2">
        <f t="shared" si="0"/>
        <v>0</v>
      </c>
      <c r="W21" s="2" t="str">
        <f t="shared" si="1"/>
        <v/>
      </c>
      <c r="X21" s="2" t="str">
        <f t="shared" si="2"/>
        <v/>
      </c>
      <c r="Y21" s="2" t="str">
        <f t="shared" si="3"/>
        <v/>
      </c>
      <c r="Z21" s="2" t="str">
        <f t="shared" si="4"/>
        <v/>
      </c>
      <c r="AA21" s="144">
        <f>IF(SUM(V21:Z21)=0,0,Setup!F$44/SUM(V21:Z21))</f>
        <v>0</v>
      </c>
    </row>
    <row r="22" spans="1:27" x14ac:dyDescent="0.2">
      <c r="A22" s="21" t="str">
        <f>Matchups!D19</f>
        <v>Brian P</v>
      </c>
      <c r="B22" s="339">
        <v>4</v>
      </c>
      <c r="C22" s="116">
        <v>10</v>
      </c>
      <c r="D22" s="116">
        <v>2</v>
      </c>
      <c r="E22" s="116">
        <v>4</v>
      </c>
      <c r="F22" s="116">
        <v>4</v>
      </c>
      <c r="G22" s="116">
        <v>5</v>
      </c>
      <c r="H22" s="116">
        <v>4</v>
      </c>
      <c r="I22" s="116">
        <v>8</v>
      </c>
      <c r="J22" s="117">
        <v>4</v>
      </c>
      <c r="K22" s="12">
        <f t="shared" si="5"/>
        <v>45</v>
      </c>
      <c r="M22" s="226" t="str">
        <f>A10</f>
        <v>Tommy</v>
      </c>
      <c r="N22" s="5">
        <f>K10</f>
        <v>41</v>
      </c>
      <c r="O22" s="547">
        <f>K57</f>
        <v>2</v>
      </c>
      <c r="P22" s="297"/>
      <c r="Q22" s="65"/>
      <c r="R22" s="65"/>
      <c r="S22" s="65"/>
      <c r="T22" s="153"/>
      <c r="V22" s="2">
        <f t="shared" si="0"/>
        <v>0</v>
      </c>
      <c r="W22" s="2" t="str">
        <f t="shared" si="1"/>
        <v/>
      </c>
      <c r="X22" s="2" t="str">
        <f t="shared" si="2"/>
        <v/>
      </c>
      <c r="Y22" s="2" t="str">
        <f t="shared" si="3"/>
        <v/>
      </c>
      <c r="Z22" s="2" t="str">
        <f t="shared" si="4"/>
        <v/>
      </c>
      <c r="AA22" s="144">
        <f>IF(SUM(V22:Z22)=0,0,Setup!F$44/SUM(V22:Z22))</f>
        <v>0</v>
      </c>
    </row>
    <row r="23" spans="1:27" hidden="1" x14ac:dyDescent="0.2">
      <c r="A23" s="22">
        <f>Matchups!D20</f>
        <v>6</v>
      </c>
      <c r="B23" s="341"/>
      <c r="C23" s="119"/>
      <c r="D23" s="119"/>
      <c r="E23" s="119"/>
      <c r="F23" s="119"/>
      <c r="G23" s="119"/>
      <c r="H23" s="119"/>
      <c r="I23" s="119"/>
      <c r="J23" s="120"/>
      <c r="K23" s="13"/>
      <c r="M23" s="227"/>
      <c r="N23" s="8"/>
      <c r="O23" s="548"/>
      <c r="P23" s="191"/>
      <c r="Q23" s="66"/>
      <c r="R23" s="66"/>
      <c r="S23" s="66"/>
      <c r="T23" s="154"/>
      <c r="V23" s="2">
        <f t="shared" si="0"/>
        <v>0</v>
      </c>
      <c r="W23" s="2" t="str">
        <f t="shared" si="1"/>
        <v/>
      </c>
      <c r="X23" s="2" t="str">
        <f t="shared" si="2"/>
        <v/>
      </c>
      <c r="Y23" s="2" t="str">
        <f t="shared" si="3"/>
        <v/>
      </c>
      <c r="Z23" s="2" t="str">
        <f t="shared" si="4"/>
        <v/>
      </c>
      <c r="AA23" s="144">
        <f>IF(SUM(V23:Z23)=0,0,Setup!F$44/SUM(V23:Z23))</f>
        <v>0</v>
      </c>
    </row>
    <row r="24" spans="1:27" x14ac:dyDescent="0.2">
      <c r="A24" s="22" t="str">
        <f>Matchups!D21</f>
        <v>Hunter</v>
      </c>
      <c r="B24" s="341">
        <v>4</v>
      </c>
      <c r="C24" s="119">
        <v>5</v>
      </c>
      <c r="D24" s="119">
        <v>5</v>
      </c>
      <c r="E24" s="119">
        <v>6</v>
      </c>
      <c r="F24" s="119">
        <v>2</v>
      </c>
      <c r="G24" s="119">
        <v>5</v>
      </c>
      <c r="H24" s="119">
        <v>6</v>
      </c>
      <c r="I24" s="119">
        <v>7</v>
      </c>
      <c r="J24" s="120">
        <v>5</v>
      </c>
      <c r="K24" s="13">
        <f t="shared" si="5"/>
        <v>45</v>
      </c>
      <c r="M24" s="227" t="str">
        <f>A14</f>
        <v>Dave</v>
      </c>
      <c r="N24" s="8">
        <f>K14</f>
        <v>43</v>
      </c>
      <c r="O24" s="548">
        <f>K70</f>
        <v>2</v>
      </c>
      <c r="P24" s="191"/>
      <c r="Q24" s="66"/>
      <c r="R24" s="66"/>
      <c r="S24" s="66"/>
      <c r="T24" s="154"/>
      <c r="V24" s="2">
        <f t="shared" si="0"/>
        <v>0</v>
      </c>
      <c r="W24" s="2" t="str">
        <f t="shared" si="1"/>
        <v/>
      </c>
      <c r="X24" s="2" t="str">
        <f t="shared" si="2"/>
        <v/>
      </c>
      <c r="Y24" s="2" t="str">
        <f t="shared" si="3"/>
        <v/>
      </c>
      <c r="Z24" s="2" t="str">
        <f t="shared" si="4"/>
        <v/>
      </c>
      <c r="AA24" s="144">
        <f>IF(SUM(V24:Z24)=0,0,Setup!F$44/SUM(V24:Z24))</f>
        <v>0</v>
      </c>
    </row>
    <row r="25" spans="1:27" hidden="1" x14ac:dyDescent="0.2">
      <c r="A25" s="22">
        <f>Matchups!D22</f>
        <v>7</v>
      </c>
      <c r="B25" s="341"/>
      <c r="C25" s="119"/>
      <c r="D25" s="119"/>
      <c r="E25" s="119"/>
      <c r="F25" s="119"/>
      <c r="G25" s="119"/>
      <c r="H25" s="119"/>
      <c r="I25" s="119"/>
      <c r="J25" s="120"/>
      <c r="K25" s="13"/>
      <c r="M25" s="227"/>
      <c r="N25" s="8"/>
      <c r="O25" s="548"/>
      <c r="P25" s="191"/>
      <c r="Q25" s="66"/>
      <c r="R25" s="66"/>
      <c r="S25" s="66"/>
      <c r="T25" s="154"/>
      <c r="V25" s="2">
        <f t="shared" si="0"/>
        <v>0</v>
      </c>
      <c r="W25" s="2" t="str">
        <f t="shared" si="1"/>
        <v/>
      </c>
      <c r="X25" s="2" t="str">
        <f t="shared" si="2"/>
        <v/>
      </c>
      <c r="Y25" s="2" t="str">
        <f t="shared" si="3"/>
        <v/>
      </c>
      <c r="Z25" s="2" t="str">
        <f t="shared" si="4"/>
        <v/>
      </c>
      <c r="AA25" s="144">
        <f>IF(SUM(V25:Z25)=0,0,Setup!F$44/SUM(V25:Z25))</f>
        <v>0</v>
      </c>
    </row>
    <row r="26" spans="1:27" x14ac:dyDescent="0.2">
      <c r="A26" s="22" t="str">
        <f>Matchups!D23</f>
        <v>Brian S</v>
      </c>
      <c r="B26" s="341">
        <v>5</v>
      </c>
      <c r="C26" s="119">
        <v>6</v>
      </c>
      <c r="D26" s="119">
        <v>5</v>
      </c>
      <c r="E26" s="119">
        <v>8</v>
      </c>
      <c r="F26" s="119">
        <v>4</v>
      </c>
      <c r="G26" s="119">
        <v>5</v>
      </c>
      <c r="H26" s="119">
        <v>5</v>
      </c>
      <c r="I26" s="119">
        <v>10</v>
      </c>
      <c r="J26" s="120">
        <v>5</v>
      </c>
      <c r="K26" s="13">
        <f t="shared" si="5"/>
        <v>53</v>
      </c>
      <c r="M26" s="227" t="str">
        <f>A24</f>
        <v>Hunter</v>
      </c>
      <c r="N26" s="8">
        <f>K24</f>
        <v>45</v>
      </c>
      <c r="O26" s="548">
        <f>K102</f>
        <v>0</v>
      </c>
      <c r="P26" s="191"/>
      <c r="Q26" s="66">
        <v>1</v>
      </c>
      <c r="R26" s="66"/>
      <c r="S26" s="66"/>
      <c r="T26" s="154"/>
      <c r="V26" s="2">
        <f t="shared" si="0"/>
        <v>0</v>
      </c>
      <c r="W26" s="2" t="str">
        <f t="shared" si="1"/>
        <v/>
      </c>
      <c r="X26" s="2" t="str">
        <f t="shared" si="2"/>
        <v/>
      </c>
      <c r="Y26" s="2" t="str">
        <f t="shared" si="3"/>
        <v/>
      </c>
      <c r="Z26" s="2" t="str">
        <f t="shared" si="4"/>
        <v/>
      </c>
      <c r="AA26" s="144">
        <f>IF(SUM(V26:Z26)=0,0,Setup!F$44/SUM(V26:Z26))</f>
        <v>0</v>
      </c>
    </row>
    <row r="27" spans="1:27" hidden="1" x14ac:dyDescent="0.2">
      <c r="A27" s="22">
        <f>Matchups!D24</f>
        <v>13</v>
      </c>
      <c r="B27" s="341"/>
      <c r="C27" s="119"/>
      <c r="D27" s="119"/>
      <c r="E27" s="119"/>
      <c r="F27" s="119"/>
      <c r="G27" s="119"/>
      <c r="H27" s="119"/>
      <c r="I27" s="119"/>
      <c r="J27" s="120"/>
      <c r="K27" s="13"/>
      <c r="M27" s="227"/>
      <c r="N27" s="8"/>
      <c r="O27" s="548"/>
      <c r="P27" s="191"/>
      <c r="Q27" s="66"/>
      <c r="R27" s="66"/>
      <c r="S27" s="66"/>
      <c r="T27" s="154"/>
      <c r="V27" s="2">
        <f t="shared" si="0"/>
        <v>0</v>
      </c>
      <c r="W27" s="2" t="str">
        <f t="shared" si="1"/>
        <v/>
      </c>
      <c r="X27" s="2" t="str">
        <f t="shared" si="2"/>
        <v/>
      </c>
      <c r="Y27" s="2" t="str">
        <f t="shared" si="3"/>
        <v/>
      </c>
      <c r="Z27" s="2" t="str">
        <f t="shared" si="4"/>
        <v/>
      </c>
      <c r="AA27" s="144">
        <f>IF(SUM(V27:Z27)=0,0,Setup!F$44/SUM(V27:Z27))</f>
        <v>0</v>
      </c>
    </row>
    <row r="28" spans="1:27" ht="13.5" thickBot="1" x14ac:dyDescent="0.25">
      <c r="A28" s="23" t="str">
        <f>Matchups!D25</f>
        <v>Tony W</v>
      </c>
      <c r="B28" s="343">
        <v>5</v>
      </c>
      <c r="C28" s="122">
        <v>8</v>
      </c>
      <c r="D28" s="122">
        <v>4</v>
      </c>
      <c r="E28" s="122">
        <v>8</v>
      </c>
      <c r="F28" s="122">
        <v>4</v>
      </c>
      <c r="G28" s="122">
        <v>6</v>
      </c>
      <c r="H28" s="122">
        <v>4</v>
      </c>
      <c r="I28" s="122">
        <v>6</v>
      </c>
      <c r="J28" s="123">
        <v>5</v>
      </c>
      <c r="K28" s="14">
        <f t="shared" si="5"/>
        <v>50</v>
      </c>
      <c r="M28" s="228" t="str">
        <f>A34</f>
        <v>Gerald C</v>
      </c>
      <c r="N28" s="11">
        <f>K34</f>
        <v>61</v>
      </c>
      <c r="O28" s="553">
        <f>K135</f>
        <v>0</v>
      </c>
      <c r="P28" s="192"/>
      <c r="Q28" s="67"/>
      <c r="R28" s="67"/>
      <c r="S28" s="67"/>
      <c r="T28" s="157"/>
      <c r="V28" s="2">
        <f t="shared" si="0"/>
        <v>0</v>
      </c>
      <c r="W28" s="2" t="str">
        <f t="shared" si="1"/>
        <v/>
      </c>
      <c r="X28" s="2" t="str">
        <f t="shared" si="2"/>
        <v/>
      </c>
      <c r="Y28" s="2" t="str">
        <f t="shared" si="3"/>
        <v/>
      </c>
      <c r="Z28" s="2" t="str">
        <f t="shared" si="4"/>
        <v/>
      </c>
      <c r="AA28" s="144">
        <f>IF(SUM(V28:Z28)=0,0,Setup!F$44/SUM(V28:Z28))</f>
        <v>0</v>
      </c>
    </row>
    <row r="29" spans="1:27" ht="13.5" hidden="1" thickBot="1" x14ac:dyDescent="0.25">
      <c r="A29" s="400">
        <f>Matchups!D26</f>
        <v>10</v>
      </c>
      <c r="B29" s="124"/>
      <c r="C29" s="125"/>
      <c r="D29" s="125"/>
      <c r="E29" s="125"/>
      <c r="F29" s="125"/>
      <c r="G29" s="125"/>
      <c r="H29" s="125"/>
      <c r="I29" s="125"/>
      <c r="J29" s="126"/>
      <c r="K29" s="250"/>
      <c r="M29" s="262"/>
      <c r="N29" s="71"/>
      <c r="O29" s="552"/>
      <c r="P29" s="537"/>
      <c r="Q29" s="158"/>
      <c r="R29" s="158"/>
      <c r="S29" s="158"/>
      <c r="T29" s="159"/>
      <c r="V29" s="2">
        <f t="shared" si="0"/>
        <v>0</v>
      </c>
      <c r="W29" s="2" t="str">
        <f t="shared" si="1"/>
        <v/>
      </c>
      <c r="X29" s="2" t="str">
        <f t="shared" si="2"/>
        <v/>
      </c>
      <c r="Y29" s="2" t="str">
        <f t="shared" si="3"/>
        <v/>
      </c>
      <c r="Z29" s="2" t="str">
        <f t="shared" si="4"/>
        <v/>
      </c>
      <c r="AA29" s="144">
        <f>IF(SUM(V29:Z29)=0,0,Setup!F$44/SUM(V29:Z29))</f>
        <v>0</v>
      </c>
    </row>
    <row r="30" spans="1:27" x14ac:dyDescent="0.2">
      <c r="A30" s="21" t="str">
        <f>Matchups!D27</f>
        <v xml:space="preserve">Pat </v>
      </c>
      <c r="B30" s="339">
        <v>5</v>
      </c>
      <c r="C30" s="116">
        <v>6</v>
      </c>
      <c r="D30" s="116">
        <v>3</v>
      </c>
      <c r="E30" s="116">
        <v>5</v>
      </c>
      <c r="F30" s="116">
        <v>4</v>
      </c>
      <c r="G30" s="116">
        <v>5</v>
      </c>
      <c r="H30" s="116">
        <v>4</v>
      </c>
      <c r="I30" s="116">
        <v>7</v>
      </c>
      <c r="J30" s="401">
        <v>5</v>
      </c>
      <c r="K30" s="5">
        <f>SUM(B30:J30)</f>
        <v>44</v>
      </c>
      <c r="M30" s="227" t="str">
        <f>A12</f>
        <v>Bob</v>
      </c>
      <c r="N30" s="8">
        <f>K12</f>
        <v>49</v>
      </c>
      <c r="O30" s="548">
        <f>K63</f>
        <v>0</v>
      </c>
      <c r="P30" s="191"/>
      <c r="Q30" s="66"/>
      <c r="R30" s="66">
        <v>1</v>
      </c>
      <c r="S30" s="66"/>
      <c r="T30" s="154"/>
      <c r="V30" s="2">
        <f t="shared" si="0"/>
        <v>0</v>
      </c>
      <c r="W30" s="2" t="str">
        <f t="shared" si="1"/>
        <v/>
      </c>
      <c r="X30" s="2" t="str">
        <f t="shared" si="2"/>
        <v/>
      </c>
      <c r="Y30" s="2" t="str">
        <f t="shared" si="3"/>
        <v/>
      </c>
      <c r="Z30" s="2" t="str">
        <f t="shared" si="4"/>
        <v/>
      </c>
      <c r="AA30" s="144">
        <f>IF(SUM(V30:Z30)=0,0,Setup!F$44/SUM(V30:Z30))</f>
        <v>0</v>
      </c>
    </row>
    <row r="31" spans="1:27" hidden="1" x14ac:dyDescent="0.2">
      <c r="A31" s="22">
        <f>Matchups!D28</f>
        <v>6</v>
      </c>
      <c r="B31" s="341"/>
      <c r="C31" s="119"/>
      <c r="D31" s="119"/>
      <c r="E31" s="119"/>
      <c r="F31" s="119"/>
      <c r="G31" s="119"/>
      <c r="H31" s="119"/>
      <c r="I31" s="119"/>
      <c r="J31" s="402"/>
      <c r="K31" s="8"/>
      <c r="M31" s="227"/>
      <c r="N31" s="8"/>
      <c r="O31" s="548"/>
      <c r="P31" s="191"/>
      <c r="Q31" s="66"/>
      <c r="R31" s="66"/>
      <c r="S31" s="66"/>
      <c r="T31" s="154"/>
      <c r="V31" s="2">
        <f t="shared" si="0"/>
        <v>0</v>
      </c>
      <c r="W31" s="2" t="str">
        <f t="shared" si="1"/>
        <v/>
      </c>
      <c r="X31" s="2" t="str">
        <f t="shared" si="2"/>
        <v/>
      </c>
      <c r="Y31" s="2" t="str">
        <f t="shared" si="3"/>
        <v/>
      </c>
      <c r="Z31" s="2" t="str">
        <f t="shared" si="4"/>
        <v/>
      </c>
      <c r="AA31" s="144">
        <f>IF(SUM(V31:Z31)=0,0,Setup!F$44/SUM(V31:Z31))</f>
        <v>0</v>
      </c>
    </row>
    <row r="32" spans="1:27" x14ac:dyDescent="0.2">
      <c r="A32" s="22" t="str">
        <f>Matchups!D29</f>
        <v>Chris</v>
      </c>
      <c r="B32" s="341">
        <v>6</v>
      </c>
      <c r="C32" s="119">
        <v>8</v>
      </c>
      <c r="D32" s="119">
        <v>4</v>
      </c>
      <c r="E32" s="119">
        <v>6</v>
      </c>
      <c r="F32" s="119">
        <v>6</v>
      </c>
      <c r="G32" s="119">
        <v>8</v>
      </c>
      <c r="H32" s="119">
        <v>5</v>
      </c>
      <c r="I32" s="119">
        <v>6</v>
      </c>
      <c r="J32" s="402">
        <v>6</v>
      </c>
      <c r="K32" s="8">
        <f>SUM(B32:J32)</f>
        <v>55</v>
      </c>
      <c r="M32" s="227" t="str">
        <f>A20</f>
        <v>Patrick</v>
      </c>
      <c r="N32" s="8">
        <f>K20</f>
        <v>53</v>
      </c>
      <c r="O32" s="548">
        <f>K89</f>
        <v>0</v>
      </c>
      <c r="P32" s="191"/>
      <c r="Q32" s="66"/>
      <c r="R32" s="66"/>
      <c r="S32" s="66"/>
      <c r="T32" s="154"/>
      <c r="V32" s="2">
        <f t="shared" si="0"/>
        <v>0</v>
      </c>
      <c r="W32" s="2" t="str">
        <f t="shared" si="1"/>
        <v/>
      </c>
      <c r="X32" s="2" t="str">
        <f t="shared" si="2"/>
        <v/>
      </c>
      <c r="Y32" s="2" t="str">
        <f t="shared" si="3"/>
        <v/>
      </c>
      <c r="Z32" s="2" t="str">
        <f t="shared" si="4"/>
        <v/>
      </c>
      <c r="AA32" s="144">
        <f>IF(SUM(V32:Z32)=0,0,Setup!F$44/SUM(V32:Z32))</f>
        <v>0</v>
      </c>
    </row>
    <row r="33" spans="1:27" hidden="1" x14ac:dyDescent="0.2">
      <c r="A33" s="22">
        <f>Matchups!D30</f>
        <v>15</v>
      </c>
      <c r="B33" s="341"/>
      <c r="C33" s="119"/>
      <c r="D33" s="119"/>
      <c r="E33" s="119"/>
      <c r="F33" s="119"/>
      <c r="G33" s="119"/>
      <c r="H33" s="119"/>
      <c r="I33" s="119"/>
      <c r="J33" s="402"/>
      <c r="K33" s="8"/>
      <c r="M33" s="227"/>
      <c r="N33" s="8"/>
      <c r="O33" s="548"/>
      <c r="P33" s="191"/>
      <c r="Q33" s="66"/>
      <c r="R33" s="66"/>
      <c r="S33" s="66"/>
      <c r="T33" s="154"/>
      <c r="V33" s="2">
        <f t="shared" si="0"/>
        <v>0</v>
      </c>
      <c r="W33" s="2" t="str">
        <f t="shared" si="1"/>
        <v/>
      </c>
      <c r="X33" s="2" t="str">
        <f t="shared" si="2"/>
        <v/>
      </c>
      <c r="Y33" s="2" t="str">
        <f t="shared" si="3"/>
        <v/>
      </c>
      <c r="Z33" s="2" t="str">
        <f t="shared" si="4"/>
        <v/>
      </c>
      <c r="AA33" s="144">
        <f>IF(SUM(V33:Z33)=0,0,Setup!F$44/SUM(V33:Z33))</f>
        <v>0</v>
      </c>
    </row>
    <row r="34" spans="1:27" x14ac:dyDescent="0.2">
      <c r="A34" s="22" t="str">
        <f>Matchups!D31</f>
        <v>Gerald C</v>
      </c>
      <c r="B34" s="341">
        <v>8</v>
      </c>
      <c r="C34" s="119">
        <v>6</v>
      </c>
      <c r="D34" s="119">
        <v>5</v>
      </c>
      <c r="E34" s="119">
        <v>9</v>
      </c>
      <c r="F34" s="119">
        <v>7</v>
      </c>
      <c r="G34" s="119">
        <v>6</v>
      </c>
      <c r="H34" s="119">
        <v>6</v>
      </c>
      <c r="I34" s="119">
        <v>9</v>
      </c>
      <c r="J34" s="402">
        <v>5</v>
      </c>
      <c r="K34" s="8">
        <f>SUM(B34:J34)</f>
        <v>61</v>
      </c>
      <c r="L34" s="425"/>
      <c r="M34" s="227" t="str">
        <f>A26</f>
        <v>Brian S</v>
      </c>
      <c r="N34" s="528">
        <f>K26</f>
        <v>53</v>
      </c>
      <c r="O34" s="550">
        <f>K109</f>
        <v>1</v>
      </c>
      <c r="P34" s="191"/>
      <c r="Q34" s="66"/>
      <c r="R34" s="66"/>
      <c r="S34" s="66"/>
      <c r="T34" s="154"/>
      <c r="V34" s="2">
        <f t="shared" si="0"/>
        <v>0</v>
      </c>
      <c r="W34" s="2" t="str">
        <f t="shared" si="1"/>
        <v/>
      </c>
      <c r="X34" s="2" t="str">
        <f t="shared" si="2"/>
        <v/>
      </c>
      <c r="Y34" s="2" t="str">
        <f t="shared" si="3"/>
        <v/>
      </c>
      <c r="Z34" s="2" t="str">
        <f t="shared" si="4"/>
        <v/>
      </c>
      <c r="AA34" s="144">
        <f>IF(SUM(V34:Z34)=0,0,Setup!F$44/SUM(V34:Z34))</f>
        <v>0</v>
      </c>
    </row>
    <row r="35" spans="1:27" hidden="1" x14ac:dyDescent="0.2">
      <c r="A35" s="22">
        <f>Matchups!D32</f>
        <v>12</v>
      </c>
      <c r="B35" s="341"/>
      <c r="C35" s="119"/>
      <c r="D35" s="119"/>
      <c r="E35" s="119"/>
      <c r="F35" s="119"/>
      <c r="G35" s="119"/>
      <c r="H35" s="119"/>
      <c r="I35" s="119"/>
      <c r="J35" s="402"/>
      <c r="K35" s="545"/>
      <c r="L35" s="425"/>
      <c r="M35" s="227"/>
      <c r="N35" s="528"/>
      <c r="O35" s="550"/>
      <c r="P35" s="191"/>
      <c r="Q35" s="66"/>
      <c r="R35" s="66"/>
      <c r="S35" s="66"/>
      <c r="T35" s="154"/>
      <c r="V35" s="2">
        <f t="shared" si="0"/>
        <v>0</v>
      </c>
      <c r="W35" s="2" t="str">
        <f t="shared" si="1"/>
        <v/>
      </c>
      <c r="X35" s="2" t="str">
        <f t="shared" si="2"/>
        <v/>
      </c>
      <c r="Y35" s="2" t="str">
        <f t="shared" si="3"/>
        <v/>
      </c>
      <c r="Z35" s="2" t="str">
        <f t="shared" si="4"/>
        <v/>
      </c>
      <c r="AA35" s="144">
        <f>IF(SUM(V35:Z35)=0,0,Setup!F$44/SUM(V35:Z35))</f>
        <v>0</v>
      </c>
    </row>
    <row r="36" spans="1:27" ht="13.5" thickBot="1" x14ac:dyDescent="0.25">
      <c r="A36" s="23" t="str">
        <f>Matchups!D33</f>
        <v>Manny</v>
      </c>
      <c r="B36" s="343">
        <v>5</v>
      </c>
      <c r="C36" s="122">
        <v>8</v>
      </c>
      <c r="D36" s="122">
        <v>4</v>
      </c>
      <c r="E36" s="122">
        <v>6</v>
      </c>
      <c r="F36" s="122">
        <v>3</v>
      </c>
      <c r="G36" s="122">
        <v>7</v>
      </c>
      <c r="H36" s="122">
        <v>5</v>
      </c>
      <c r="I36" s="122">
        <v>6</v>
      </c>
      <c r="J36" s="403">
        <v>6</v>
      </c>
      <c r="K36" s="11">
        <f>SUM(B36:J36)</f>
        <v>50</v>
      </c>
      <c r="L36" s="425"/>
      <c r="M36" s="228" t="str">
        <f>A32</f>
        <v>Chris</v>
      </c>
      <c r="N36" s="529">
        <f>K32</f>
        <v>55</v>
      </c>
      <c r="O36" s="551">
        <f>K128</f>
        <v>0</v>
      </c>
      <c r="P36" s="192"/>
      <c r="Q36" s="67"/>
      <c r="R36" s="67"/>
      <c r="S36" s="67">
        <v>1</v>
      </c>
      <c r="T36" s="157"/>
      <c r="V36" s="2">
        <f t="shared" si="0"/>
        <v>1</v>
      </c>
      <c r="W36" s="2" t="str">
        <f t="shared" si="1"/>
        <v/>
      </c>
      <c r="X36" s="2" t="str">
        <f t="shared" si="2"/>
        <v/>
      </c>
      <c r="Y36" s="2" t="str">
        <f t="shared" si="3"/>
        <v/>
      </c>
      <c r="Z36" s="2" t="str">
        <f t="shared" si="4"/>
        <v/>
      </c>
      <c r="AA36" s="144">
        <f>IF(SUM(V36:Z36)=0,0,Setup!F$44/SUM(V36:Z36))</f>
        <v>20</v>
      </c>
    </row>
    <row r="37" spans="1:27" ht="13.5" hidden="1" thickBot="1" x14ac:dyDescent="0.25">
      <c r="A37" s="679">
        <f>Matchups!D34</f>
        <v>14</v>
      </c>
      <c r="B37" s="683"/>
      <c r="C37" s="684"/>
      <c r="D37" s="684"/>
      <c r="E37" s="684"/>
      <c r="F37" s="684"/>
      <c r="G37" s="684"/>
      <c r="H37" s="684"/>
      <c r="I37" s="684"/>
      <c r="J37" s="685"/>
      <c r="K37" s="546"/>
      <c r="L37" s="425"/>
      <c r="M37" s="333"/>
      <c r="N37" s="545"/>
      <c r="O37" s="424"/>
      <c r="P37" s="558"/>
      <c r="Q37" s="394"/>
      <c r="R37" s="394"/>
      <c r="S37" s="394"/>
      <c r="T37" s="405"/>
      <c r="V37" s="2">
        <f t="shared" si="0"/>
        <v>0</v>
      </c>
      <c r="W37" s="2" t="str">
        <f t="shared" si="1"/>
        <v/>
      </c>
      <c r="X37" s="2" t="str">
        <f t="shared" si="2"/>
        <v/>
      </c>
      <c r="Y37" s="2" t="str">
        <f t="shared" si="3"/>
        <v/>
      </c>
      <c r="Z37" s="2" t="str">
        <f t="shared" si="4"/>
        <v/>
      </c>
      <c r="AA37" s="144">
        <f>IF(SUM(V37:Z37)=0,0,Setup!F$44/SUM(V37:Z37))</f>
        <v>0</v>
      </c>
    </row>
    <row r="38" spans="1:27" x14ac:dyDescent="0.2">
      <c r="A38" s="26"/>
      <c r="B38" s="15"/>
      <c r="C38" s="15"/>
      <c r="D38" s="15"/>
      <c r="E38" s="15"/>
      <c r="F38" s="15"/>
      <c r="G38" s="15"/>
      <c r="H38" s="15"/>
      <c r="I38" s="15"/>
      <c r="J38" s="15"/>
      <c r="K38" s="15"/>
      <c r="AA38" s="139"/>
    </row>
    <row r="39" spans="1:27" x14ac:dyDescent="0.2">
      <c r="S39" s="52">
        <f>COUNTIF(S6:S37,1)</f>
        <v>1</v>
      </c>
    </row>
    <row r="40" spans="1:27" ht="13.5" thickBot="1" x14ac:dyDescent="0.25">
      <c r="A40" s="24" t="s">
        <v>8</v>
      </c>
    </row>
    <row r="41" spans="1:27" x14ac:dyDescent="0.2">
      <c r="A41" s="79" t="str">
        <f t="shared" ref="A41:J41" si="6">A6</f>
        <v>Rick</v>
      </c>
      <c r="B41" s="17">
        <f t="shared" si="6"/>
        <v>4</v>
      </c>
      <c r="C41" s="3">
        <f t="shared" si="6"/>
        <v>7</v>
      </c>
      <c r="D41" s="3">
        <f t="shared" si="6"/>
        <v>4</v>
      </c>
      <c r="E41" s="3">
        <f t="shared" si="6"/>
        <v>5</v>
      </c>
      <c r="F41" s="3">
        <f t="shared" si="6"/>
        <v>3</v>
      </c>
      <c r="G41" s="3">
        <f t="shared" si="6"/>
        <v>5</v>
      </c>
      <c r="H41" s="3">
        <f t="shared" si="6"/>
        <v>4</v>
      </c>
      <c r="I41" s="3">
        <f t="shared" si="6"/>
        <v>6</v>
      </c>
      <c r="J41" s="4">
        <f t="shared" si="6"/>
        <v>4</v>
      </c>
      <c r="K41" s="12">
        <f>SUM(B41:J41)</f>
        <v>42</v>
      </c>
    </row>
    <row r="42" spans="1:27" x14ac:dyDescent="0.2">
      <c r="A42" s="80">
        <f>A7</f>
        <v>7</v>
      </c>
      <c r="B42" s="18">
        <f>IF(AND(ISNUMBER($A42),ISNUMBER($A48)),IF((RANK(B$4,$B$4:$J$4,1))&lt;=($A42-$A48),1,0),"")</f>
        <v>0</v>
      </c>
      <c r="C42" s="6">
        <f t="shared" ref="C42:J43" si="7">IF(AND(ISNUMBER($A42),ISNUMBER($A48)),IF((RANK(C$4,$B$4:$J$4,1))&lt;=($A42-$A48),1,0),"")</f>
        <v>0</v>
      </c>
      <c r="D42" s="6">
        <f t="shared" si="7"/>
        <v>0</v>
      </c>
      <c r="E42" s="6">
        <f t="shared" si="7"/>
        <v>0</v>
      </c>
      <c r="F42" s="6">
        <f t="shared" si="7"/>
        <v>0</v>
      </c>
      <c r="G42" s="6">
        <f t="shared" si="7"/>
        <v>0</v>
      </c>
      <c r="H42" s="6">
        <f t="shared" si="7"/>
        <v>0</v>
      </c>
      <c r="I42" s="6">
        <f t="shared" si="7"/>
        <v>1</v>
      </c>
      <c r="J42" s="7">
        <f t="shared" si="7"/>
        <v>0</v>
      </c>
      <c r="K42" s="13">
        <f>SUM(B42:J42)</f>
        <v>1</v>
      </c>
    </row>
    <row r="43" spans="1:27" x14ac:dyDescent="0.2">
      <c r="A43" s="80">
        <f>IF((A42-A48)&gt;9,(A42-A48-9),0)</f>
        <v>0</v>
      </c>
      <c r="B43" s="18">
        <f>IF(AND(ISNUMBER($A43),ISNUMBER($A49)),IF((RANK(B$4,$B$4:$J$4,1))&lt;=($A43-$A49),1,0),"")</f>
        <v>0</v>
      </c>
      <c r="C43" s="6">
        <f t="shared" si="7"/>
        <v>0</v>
      </c>
      <c r="D43" s="6">
        <f t="shared" si="7"/>
        <v>0</v>
      </c>
      <c r="E43" s="6">
        <f t="shared" si="7"/>
        <v>0</v>
      </c>
      <c r="F43" s="6">
        <f t="shared" si="7"/>
        <v>0</v>
      </c>
      <c r="G43" s="6">
        <f t="shared" si="7"/>
        <v>0</v>
      </c>
      <c r="H43" s="6">
        <f t="shared" si="7"/>
        <v>0</v>
      </c>
      <c r="I43" s="6">
        <f t="shared" si="7"/>
        <v>0</v>
      </c>
      <c r="J43" s="7">
        <f t="shared" si="7"/>
        <v>0</v>
      </c>
      <c r="K43" s="13">
        <f>SUM(B43:J43)</f>
        <v>0</v>
      </c>
    </row>
    <row r="44" spans="1:27" x14ac:dyDescent="0.2">
      <c r="A44" s="80"/>
      <c r="B44" s="82">
        <f>IF(AND(ISNUMBER(B41),ISNUMBER(B42)),B41-B42-B43," ")</f>
        <v>4</v>
      </c>
      <c r="C44" s="83">
        <f t="shared" ref="C44:J44" si="8">IF(AND(ISNUMBER(C41),ISNUMBER(C42)),C41-C42-C43," ")</f>
        <v>7</v>
      </c>
      <c r="D44" s="83">
        <f t="shared" si="8"/>
        <v>4</v>
      </c>
      <c r="E44" s="83">
        <f t="shared" si="8"/>
        <v>5</v>
      </c>
      <c r="F44" s="83">
        <f t="shared" si="8"/>
        <v>3</v>
      </c>
      <c r="G44" s="83">
        <f t="shared" si="8"/>
        <v>5</v>
      </c>
      <c r="H44" s="83">
        <f t="shared" si="8"/>
        <v>4</v>
      </c>
      <c r="I44" s="83">
        <f t="shared" si="8"/>
        <v>5</v>
      </c>
      <c r="J44" s="84">
        <f t="shared" si="8"/>
        <v>4</v>
      </c>
      <c r="K44" s="13">
        <f>IF(ISNUMBER(FIND("Wins",K45)), 2, IF(ISNUMBER(FIND("Tie",K45)), 1, 0))</f>
        <v>2</v>
      </c>
    </row>
    <row r="45" spans="1:27" ht="13.5" thickBot="1" x14ac:dyDescent="0.25">
      <c r="A45" s="81"/>
      <c r="B45" s="19">
        <f>IF(AND(ISNUMBER(B44),ISNUMBER(B50)),IF(B44&lt;B50, 0+1, (IF(B44&gt;B50, 0-1, 0)))," ")</f>
        <v>-1</v>
      </c>
      <c r="C45" s="9">
        <f t="shared" ref="C45:J45" si="9">IF(AND(ISNUMBER(C44),ISNUMBER(C50)),IF(C44&lt;C50, +B45+1, (IF(C44&gt;C50, +B45-1, +B45)))," ")</f>
        <v>0</v>
      </c>
      <c r="D45" s="9">
        <f t="shared" si="9"/>
        <v>-1</v>
      </c>
      <c r="E45" s="9">
        <f t="shared" si="9"/>
        <v>0</v>
      </c>
      <c r="F45" s="9">
        <f t="shared" si="9"/>
        <v>1</v>
      </c>
      <c r="G45" s="9">
        <f t="shared" si="9"/>
        <v>1</v>
      </c>
      <c r="H45" s="9">
        <f t="shared" si="9"/>
        <v>2</v>
      </c>
      <c r="I45" s="9">
        <f t="shared" si="9"/>
        <v>3</v>
      </c>
      <c r="J45" s="10">
        <f t="shared" si="9"/>
        <v>4</v>
      </c>
      <c r="K45" s="14" t="str">
        <f>IF(ISNUMBER(J45),IF(F45&gt;4,"Wins " &amp; F45 &amp; " &amp; 4",IF(G45&gt;3,"Wins " &amp; G45 &amp; " &amp; 3",IF(H45&gt;2,"Wins " &amp; H45 &amp; " &amp; 2",IF(I45&gt;1,"Wins " &amp; I45 &amp; " &amp; 1",IF(J45&gt;J51,"Wins " &amp; J45 &amp; " Up",IF(J45&lt;J51,"Loss","Tie"))))))," ")</f>
        <v>Wins 3 &amp; 1</v>
      </c>
    </row>
    <row r="46" spans="1:27" ht="13.5" thickBot="1" x14ac:dyDescent="0.25">
      <c r="A46" s="32"/>
    </row>
    <row r="47" spans="1:27" x14ac:dyDescent="0.2">
      <c r="A47" s="29">
        <f t="shared" ref="A47:J47" si="10">A8</f>
        <v>5</v>
      </c>
      <c r="B47" s="17">
        <f t="shared" si="10"/>
        <v>3</v>
      </c>
      <c r="C47" s="3">
        <f t="shared" si="10"/>
        <v>10</v>
      </c>
      <c r="D47" s="3">
        <f t="shared" si="10"/>
        <v>3</v>
      </c>
      <c r="E47" s="3">
        <f t="shared" si="10"/>
        <v>7</v>
      </c>
      <c r="F47" s="3">
        <f t="shared" si="10"/>
        <v>4</v>
      </c>
      <c r="G47" s="3">
        <f t="shared" si="10"/>
        <v>5</v>
      </c>
      <c r="H47" s="3">
        <f t="shared" si="10"/>
        <v>5</v>
      </c>
      <c r="I47" s="3">
        <f t="shared" si="10"/>
        <v>7</v>
      </c>
      <c r="J47" s="4">
        <f t="shared" si="10"/>
        <v>6</v>
      </c>
      <c r="K47" s="12">
        <f>SUM(B47:J47)</f>
        <v>50</v>
      </c>
    </row>
    <row r="48" spans="1:27" x14ac:dyDescent="0.2">
      <c r="A48" s="30">
        <f>A9</f>
        <v>6</v>
      </c>
      <c r="B48" s="18">
        <f>IF(AND(ISNUMBER($A42),ISNUMBER($A48)),IF((RANK(B$4,$B$4:$J$4,1))&lt;=($A48-$A42),1,0),"")</f>
        <v>0</v>
      </c>
      <c r="C48" s="6">
        <f t="shared" ref="C48:J49" si="11">IF(AND(ISNUMBER($A42),ISNUMBER($A48)),IF((RANK(C$4,$B$4:$J$4,1))&lt;=($A48-$A42),1,0),"")</f>
        <v>0</v>
      </c>
      <c r="D48" s="6">
        <f t="shared" si="11"/>
        <v>0</v>
      </c>
      <c r="E48" s="6">
        <f t="shared" si="11"/>
        <v>0</v>
      </c>
      <c r="F48" s="6">
        <f t="shared" si="11"/>
        <v>0</v>
      </c>
      <c r="G48" s="6">
        <f t="shared" si="11"/>
        <v>0</v>
      </c>
      <c r="H48" s="6">
        <f t="shared" si="11"/>
        <v>0</v>
      </c>
      <c r="I48" s="6">
        <f t="shared" si="11"/>
        <v>0</v>
      </c>
      <c r="J48" s="7">
        <f t="shared" si="11"/>
        <v>0</v>
      </c>
      <c r="K48" s="13">
        <f>SUM(B48:J48)</f>
        <v>0</v>
      </c>
    </row>
    <row r="49" spans="1:27" x14ac:dyDescent="0.2">
      <c r="A49" s="30">
        <f>IF((A48-A42)&gt;9,(A48-A42-9),0)</f>
        <v>0</v>
      </c>
      <c r="B49" s="18">
        <f>IF(AND(ISNUMBER($A43),ISNUMBER($A49)),IF((RANK(B$4,$B$4:$J$4,1))&lt;=($A49-$A43),1,0),"")</f>
        <v>0</v>
      </c>
      <c r="C49" s="6">
        <f t="shared" si="11"/>
        <v>0</v>
      </c>
      <c r="D49" s="6">
        <f t="shared" si="11"/>
        <v>0</v>
      </c>
      <c r="E49" s="6">
        <f t="shared" si="11"/>
        <v>0</v>
      </c>
      <c r="F49" s="6">
        <f t="shared" si="11"/>
        <v>0</v>
      </c>
      <c r="G49" s="6">
        <f t="shared" si="11"/>
        <v>0</v>
      </c>
      <c r="H49" s="6">
        <f t="shared" si="11"/>
        <v>0</v>
      </c>
      <c r="I49" s="6">
        <f t="shared" si="11"/>
        <v>0</v>
      </c>
      <c r="J49" s="7">
        <f t="shared" si="11"/>
        <v>0</v>
      </c>
      <c r="K49" s="13">
        <f>SUM(B49:J49)</f>
        <v>0</v>
      </c>
    </row>
    <row r="50" spans="1:27" x14ac:dyDescent="0.2">
      <c r="A50" s="30"/>
      <c r="B50" s="82">
        <f>IF(AND(ISNUMBER(B47),ISNUMBER(B48)),B47-B48-B49," ")</f>
        <v>3</v>
      </c>
      <c r="C50" s="83">
        <f t="shared" ref="C50:J50" si="12">IF(AND(ISNUMBER(C47),ISNUMBER(C48)),C47-C48-C49," ")</f>
        <v>10</v>
      </c>
      <c r="D50" s="83">
        <f t="shared" si="12"/>
        <v>3</v>
      </c>
      <c r="E50" s="83">
        <f t="shared" si="12"/>
        <v>7</v>
      </c>
      <c r="F50" s="83">
        <f t="shared" si="12"/>
        <v>4</v>
      </c>
      <c r="G50" s="83">
        <f t="shared" si="12"/>
        <v>5</v>
      </c>
      <c r="H50" s="83">
        <f t="shared" si="12"/>
        <v>5</v>
      </c>
      <c r="I50" s="83">
        <f t="shared" si="12"/>
        <v>7</v>
      </c>
      <c r="J50" s="84">
        <f t="shared" si="12"/>
        <v>6</v>
      </c>
      <c r="K50" s="13">
        <f>IF(ISNUMBER(FIND("Wins",K51)), 2, IF(ISNUMBER(FIND("Tie",K51)), 1, 0))</f>
        <v>0</v>
      </c>
    </row>
    <row r="51" spans="1:27" ht="13.5" thickBot="1" x14ac:dyDescent="0.25">
      <c r="A51" s="31"/>
      <c r="B51" s="19">
        <f>IF(AND(ISNUMBER(B44),ISNUMBER(B50)),IF(B50&lt;B44, 0+1, (IF(B50&gt;B44, 0-1, 0)))," ")</f>
        <v>1</v>
      </c>
      <c r="C51" s="9">
        <f t="shared" ref="C51:J51" si="13">IF(AND(ISNUMBER(C44),ISNUMBER(C50)),IF(C50&lt;C44, +B51+1, (IF(C50&gt;C44, +B51-1, +B51)))," ")</f>
        <v>0</v>
      </c>
      <c r="D51" s="9">
        <f t="shared" si="13"/>
        <v>1</v>
      </c>
      <c r="E51" s="9">
        <f t="shared" si="13"/>
        <v>0</v>
      </c>
      <c r="F51" s="9">
        <f t="shared" si="13"/>
        <v>-1</v>
      </c>
      <c r="G51" s="9">
        <f t="shared" si="13"/>
        <v>-1</v>
      </c>
      <c r="H51" s="9">
        <f t="shared" si="13"/>
        <v>-2</v>
      </c>
      <c r="I51" s="9">
        <f t="shared" si="13"/>
        <v>-3</v>
      </c>
      <c r="J51" s="10">
        <f t="shared" si="13"/>
        <v>-4</v>
      </c>
      <c r="K51" s="14" t="str">
        <f>IF(ISNUMBER(J51),IF(F51&gt;4,"Wins " &amp; F51 &amp; " &amp; 4",IF(G51&gt;3,"Wins " &amp; G51 &amp; " &amp; 3",IF(H51&gt;2,"Wins " &amp; H51 &amp; " &amp; 2",IF(I51&gt;1,"Wins " &amp; I51 &amp; " &amp; 1",IF(J51&gt;J45,"Wins " &amp; J51 &amp; " Up",IF(J51&lt;J45,"Loss","Tie"))))))," ")</f>
        <v>Loss</v>
      </c>
    </row>
    <row r="53" spans="1:27" s="16" customFormat="1" ht="13.5" thickBot="1" x14ac:dyDescent="0.25">
      <c r="A53" s="24" t="s">
        <v>9</v>
      </c>
      <c r="B53" s="2"/>
      <c r="C53" s="2"/>
      <c r="D53" s="2"/>
      <c r="E53" s="2"/>
      <c r="F53" s="2"/>
      <c r="G53" s="2"/>
      <c r="H53" s="2"/>
      <c r="I53" s="2"/>
      <c r="J53" s="2"/>
      <c r="K53" s="2"/>
      <c r="N53" s="15"/>
      <c r="O53" s="15"/>
      <c r="P53" s="59"/>
      <c r="Q53" s="59"/>
      <c r="R53" s="59"/>
      <c r="S53" s="59"/>
      <c r="T53" s="59"/>
      <c r="W53" s="15"/>
      <c r="X53" s="15"/>
      <c r="Y53" s="15"/>
      <c r="Z53" s="15"/>
      <c r="AA53" s="15"/>
    </row>
    <row r="54" spans="1:27" s="16" customFormat="1" x14ac:dyDescent="0.2">
      <c r="A54" s="29" t="str">
        <f t="shared" ref="A54:J54" si="14">A10</f>
        <v>Tommy</v>
      </c>
      <c r="B54" s="17">
        <f t="shared" si="14"/>
        <v>3</v>
      </c>
      <c r="C54" s="3">
        <f t="shared" si="14"/>
        <v>5</v>
      </c>
      <c r="D54" s="3">
        <f t="shared" si="14"/>
        <v>3</v>
      </c>
      <c r="E54" s="3">
        <f t="shared" si="14"/>
        <v>6</v>
      </c>
      <c r="F54" s="3">
        <f t="shared" si="14"/>
        <v>3</v>
      </c>
      <c r="G54" s="3">
        <f t="shared" si="14"/>
        <v>5</v>
      </c>
      <c r="H54" s="3">
        <f t="shared" si="14"/>
        <v>5</v>
      </c>
      <c r="I54" s="3">
        <f t="shared" si="14"/>
        <v>5</v>
      </c>
      <c r="J54" s="4">
        <f t="shared" si="14"/>
        <v>6</v>
      </c>
      <c r="K54" s="12">
        <f>SUM(B54:J54)</f>
        <v>41</v>
      </c>
      <c r="N54" s="15"/>
      <c r="O54" s="15"/>
      <c r="P54" s="59"/>
      <c r="Q54" s="59"/>
      <c r="R54" s="59"/>
      <c r="S54" s="59"/>
      <c r="T54" s="59"/>
      <c r="W54" s="15"/>
      <c r="X54" s="15"/>
      <c r="Y54" s="15"/>
      <c r="Z54" s="15"/>
      <c r="AA54" s="15"/>
    </row>
    <row r="55" spans="1:27" s="16" customFormat="1" x14ac:dyDescent="0.2">
      <c r="A55" s="30">
        <f>A11</f>
        <v>5</v>
      </c>
      <c r="B55" s="18">
        <f>IF(AND(ISNUMBER($A55),ISNUMBER($A61)),IF((RANK(B$4,$B$4:$J$4,1))&lt;=($A55-$A61),1,0),"")</f>
        <v>0</v>
      </c>
      <c r="C55" s="6">
        <f t="shared" ref="C55:J55" si="15">IF(AND(ISNUMBER($A55),ISNUMBER($A61)),IF((RANK(C$4,$B$4:$J$4,1))&lt;=($A55-$A61),1,0),"")</f>
        <v>0</v>
      </c>
      <c r="D55" s="6">
        <f t="shared" si="15"/>
        <v>0</v>
      </c>
      <c r="E55" s="6">
        <f t="shared" si="15"/>
        <v>0</v>
      </c>
      <c r="F55" s="6">
        <f t="shared" si="15"/>
        <v>0</v>
      </c>
      <c r="G55" s="6">
        <f t="shared" si="15"/>
        <v>0</v>
      </c>
      <c r="H55" s="6">
        <f t="shared" si="15"/>
        <v>0</v>
      </c>
      <c r="I55" s="6">
        <f t="shared" si="15"/>
        <v>0</v>
      </c>
      <c r="J55" s="7">
        <f t="shared" si="15"/>
        <v>0</v>
      </c>
      <c r="K55" s="13">
        <f>SUM(B55:J55)</f>
        <v>0</v>
      </c>
      <c r="N55" s="15"/>
      <c r="O55" s="15"/>
      <c r="P55" s="59"/>
      <c r="Q55" s="59"/>
      <c r="R55" s="59"/>
      <c r="S55" s="59"/>
      <c r="T55" s="59"/>
      <c r="W55" s="15"/>
      <c r="X55" s="15"/>
      <c r="Y55" s="15"/>
      <c r="Z55" s="15"/>
      <c r="AA55" s="15"/>
    </row>
    <row r="56" spans="1:27" s="16" customFormat="1" x14ac:dyDescent="0.2">
      <c r="A56" s="30">
        <f>IF((A55-A61)&gt;9,(A55-A61-9),0)</f>
        <v>0</v>
      </c>
      <c r="B56" s="18">
        <f>IF(AND(ISNUMBER($A56),ISNUMBER($A62)),IF((RANK(B$4,$B$4:$J$4,1))&lt;=($A56-$A62),1,0),"")</f>
        <v>0</v>
      </c>
      <c r="C56" s="6">
        <f t="shared" ref="C56:J56" si="16">IF(AND(ISNUMBER($A56),ISNUMBER($A62)),IF((RANK(C$4,$B$4:$J$4,1))&lt;=($A56-$A62),1,0),"")</f>
        <v>0</v>
      </c>
      <c r="D56" s="6">
        <f t="shared" si="16"/>
        <v>0</v>
      </c>
      <c r="E56" s="6">
        <f t="shared" si="16"/>
        <v>0</v>
      </c>
      <c r="F56" s="6">
        <f t="shared" si="16"/>
        <v>0</v>
      </c>
      <c r="G56" s="6">
        <f t="shared" si="16"/>
        <v>0</v>
      </c>
      <c r="H56" s="6">
        <f t="shared" si="16"/>
        <v>0</v>
      </c>
      <c r="I56" s="6">
        <f t="shared" si="16"/>
        <v>0</v>
      </c>
      <c r="J56" s="7">
        <f t="shared" si="16"/>
        <v>0</v>
      </c>
      <c r="K56" s="13">
        <f>SUM(B56:J56)</f>
        <v>0</v>
      </c>
      <c r="N56" s="15"/>
      <c r="O56" s="15"/>
      <c r="P56" s="59"/>
      <c r="Q56" s="59"/>
      <c r="R56" s="59"/>
      <c r="S56" s="59"/>
      <c r="T56" s="59"/>
      <c r="W56" s="15"/>
      <c r="X56" s="15"/>
      <c r="Y56" s="15"/>
      <c r="Z56" s="15"/>
      <c r="AA56" s="15"/>
    </row>
    <row r="57" spans="1:27" s="16" customFormat="1" x14ac:dyDescent="0.2">
      <c r="A57" s="30"/>
      <c r="B57" s="82">
        <f t="shared" ref="B57:J57" si="17">IF(AND(ISNUMBER(B54),ISNUMBER(B55)),B54-B55-B56," ")</f>
        <v>3</v>
      </c>
      <c r="C57" s="83">
        <f t="shared" si="17"/>
        <v>5</v>
      </c>
      <c r="D57" s="83">
        <f t="shared" si="17"/>
        <v>3</v>
      </c>
      <c r="E57" s="83">
        <f t="shared" si="17"/>
        <v>6</v>
      </c>
      <c r="F57" s="83">
        <f t="shared" si="17"/>
        <v>3</v>
      </c>
      <c r="G57" s="83">
        <f t="shared" si="17"/>
        <v>5</v>
      </c>
      <c r="H57" s="83">
        <f t="shared" si="17"/>
        <v>5</v>
      </c>
      <c r="I57" s="83">
        <f t="shared" si="17"/>
        <v>5</v>
      </c>
      <c r="J57" s="84">
        <f t="shared" si="17"/>
        <v>6</v>
      </c>
      <c r="K57" s="13">
        <f>IF(ISNUMBER(FIND("Wins",K58)), 2, IF(ISNUMBER(FIND("Tie",K58)), 1, 0))</f>
        <v>2</v>
      </c>
      <c r="N57" s="15"/>
      <c r="O57" s="15"/>
      <c r="P57" s="59"/>
      <c r="Q57" s="59"/>
      <c r="R57" s="59"/>
      <c r="S57" s="59"/>
      <c r="T57" s="59"/>
      <c r="W57" s="15"/>
      <c r="X57" s="15"/>
      <c r="Y57" s="15"/>
      <c r="Z57" s="15"/>
      <c r="AA57" s="15"/>
    </row>
    <row r="58" spans="1:27" s="16" customFormat="1" ht="13.5" thickBot="1" x14ac:dyDescent="0.25">
      <c r="A58" s="31"/>
      <c r="B58" s="19">
        <f>IF(AND(ISNUMBER(B57),ISNUMBER(B63)),IF(B57&lt;B63, 0+1, (IF(B57&gt;B63, 0-1, 0)))," ")</f>
        <v>1</v>
      </c>
      <c r="C58" s="9">
        <f t="shared" ref="C58:J58" si="18">IF(AND(ISNUMBER(C57),ISNUMBER(C63)),IF(C57&lt;C63, +B58+1, (IF(C57&gt;C63, +B58-1, +B58)))," ")</f>
        <v>2</v>
      </c>
      <c r="D58" s="9">
        <f t="shared" si="18"/>
        <v>3</v>
      </c>
      <c r="E58" s="9">
        <f t="shared" si="18"/>
        <v>2</v>
      </c>
      <c r="F58" s="9">
        <f t="shared" si="18"/>
        <v>3</v>
      </c>
      <c r="G58" s="9">
        <f t="shared" si="18"/>
        <v>3</v>
      </c>
      <c r="H58" s="9">
        <f t="shared" si="18"/>
        <v>2</v>
      </c>
      <c r="I58" s="9">
        <f t="shared" si="18"/>
        <v>3</v>
      </c>
      <c r="J58" s="10">
        <f t="shared" si="18"/>
        <v>2</v>
      </c>
      <c r="K58" s="14" t="str">
        <f>IF(ISNUMBER(J58),IF(F58&gt;4,"Wins " &amp; F58 &amp; " &amp; 4",IF(G58&gt;3,"Wins " &amp; G58 &amp; " &amp; 3",IF(H58&gt;2,"Wins " &amp; H58 &amp; " &amp; 2",IF(I58&gt;1,"Wins " &amp; I58 &amp; " &amp; 1",IF(J58&gt;J64,"Wins " &amp; J58 &amp; " Up",IF(J58&lt;J64,"Loss","Tie"))))))," ")</f>
        <v>Wins 3 &amp; 1</v>
      </c>
      <c r="N58" s="15"/>
      <c r="O58" s="15"/>
      <c r="P58" s="59"/>
      <c r="Q58" s="59"/>
      <c r="R58" s="59"/>
      <c r="S58" s="59"/>
      <c r="T58" s="59"/>
      <c r="W58" s="15"/>
      <c r="X58" s="15"/>
      <c r="Y58" s="15"/>
      <c r="Z58" s="15"/>
      <c r="AA58" s="15"/>
    </row>
    <row r="59" spans="1:27" s="16" customFormat="1" ht="13.5" thickBot="1" x14ac:dyDescent="0.25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N59" s="15"/>
      <c r="O59" s="15"/>
      <c r="P59" s="59"/>
      <c r="Q59" s="59"/>
      <c r="R59" s="59"/>
      <c r="S59" s="59"/>
      <c r="T59" s="59"/>
      <c r="W59" s="15"/>
      <c r="X59" s="15"/>
      <c r="Y59" s="15"/>
      <c r="Z59" s="15"/>
      <c r="AA59" s="15"/>
    </row>
    <row r="60" spans="1:27" s="16" customFormat="1" x14ac:dyDescent="0.2">
      <c r="A60" s="29" t="str">
        <f t="shared" ref="A60:J60" si="19">A12</f>
        <v>Bob</v>
      </c>
      <c r="B60" s="17">
        <f t="shared" si="19"/>
        <v>4</v>
      </c>
      <c r="C60" s="3">
        <f t="shared" si="19"/>
        <v>8</v>
      </c>
      <c r="D60" s="3">
        <f t="shared" si="19"/>
        <v>6</v>
      </c>
      <c r="E60" s="3">
        <f t="shared" si="19"/>
        <v>4</v>
      </c>
      <c r="F60" s="3">
        <f t="shared" si="19"/>
        <v>4</v>
      </c>
      <c r="G60" s="3">
        <f t="shared" si="19"/>
        <v>6</v>
      </c>
      <c r="H60" s="3">
        <f t="shared" si="19"/>
        <v>4</v>
      </c>
      <c r="I60" s="3">
        <f t="shared" si="19"/>
        <v>9</v>
      </c>
      <c r="J60" s="4">
        <f t="shared" si="19"/>
        <v>4</v>
      </c>
      <c r="K60" s="12">
        <f>SUM(B60:J60)</f>
        <v>49</v>
      </c>
      <c r="N60" s="15"/>
      <c r="O60" s="15"/>
      <c r="P60" s="59"/>
      <c r="Q60" s="59"/>
      <c r="R60" s="59"/>
      <c r="S60" s="59"/>
      <c r="T60" s="59"/>
      <c r="W60" s="15"/>
      <c r="X60" s="15"/>
      <c r="Y60" s="15"/>
      <c r="Z60" s="15"/>
      <c r="AA60" s="15"/>
    </row>
    <row r="61" spans="1:27" s="16" customFormat="1" x14ac:dyDescent="0.2">
      <c r="A61" s="30">
        <f>A13</f>
        <v>10</v>
      </c>
      <c r="B61" s="18">
        <f>IF(AND(ISNUMBER($A55),ISNUMBER($A61)),IF((RANK(B$4,$B$4:$J$4,1))&lt;=($A61-$A55),1,0),"")</f>
        <v>0</v>
      </c>
      <c r="C61" s="6">
        <f t="shared" ref="C61:J61" si="20">IF(AND(ISNUMBER($A55),ISNUMBER($A61)),IF((RANK(C$4,$B$4:$J$4,1))&lt;=($A61-$A55),1,0),"")</f>
        <v>1</v>
      </c>
      <c r="D61" s="6">
        <f t="shared" si="20"/>
        <v>0</v>
      </c>
      <c r="E61" s="6">
        <f t="shared" si="20"/>
        <v>1</v>
      </c>
      <c r="F61" s="6">
        <f t="shared" si="20"/>
        <v>0</v>
      </c>
      <c r="G61" s="6">
        <f t="shared" si="20"/>
        <v>1</v>
      </c>
      <c r="H61" s="6">
        <f t="shared" si="20"/>
        <v>0</v>
      </c>
      <c r="I61" s="6">
        <f t="shared" si="20"/>
        <v>1</v>
      </c>
      <c r="J61" s="7">
        <f t="shared" si="20"/>
        <v>1</v>
      </c>
      <c r="K61" s="13">
        <f>SUM(B61:J61)</f>
        <v>5</v>
      </c>
      <c r="N61" s="15"/>
      <c r="O61" s="15"/>
      <c r="P61" s="59"/>
      <c r="Q61" s="59"/>
      <c r="R61" s="59"/>
      <c r="S61" s="59"/>
      <c r="T61" s="59"/>
      <c r="W61" s="15"/>
      <c r="X61" s="15"/>
      <c r="Y61" s="15"/>
      <c r="Z61" s="15"/>
      <c r="AA61" s="15"/>
    </row>
    <row r="62" spans="1:27" s="16" customFormat="1" x14ac:dyDescent="0.2">
      <c r="A62" s="30">
        <f>IF((A61-A55)&gt;9,(A61-A55-9),0)</f>
        <v>0</v>
      </c>
      <c r="B62" s="18">
        <f>IF(AND(ISNUMBER($A56),ISNUMBER($A62)),IF((RANK(B$4,$B$4:$J$4,1))&lt;=($A62-$A56),1,0),"")</f>
        <v>0</v>
      </c>
      <c r="C62" s="6">
        <f t="shared" ref="C62:J62" si="21">IF(AND(ISNUMBER($A56),ISNUMBER($A62)),IF((RANK(C$4,$B$4:$J$4,1))&lt;=($A62-$A56),1,0),"")</f>
        <v>0</v>
      </c>
      <c r="D62" s="6">
        <f t="shared" si="21"/>
        <v>0</v>
      </c>
      <c r="E62" s="6">
        <f t="shared" si="21"/>
        <v>0</v>
      </c>
      <c r="F62" s="6">
        <f t="shared" si="21"/>
        <v>0</v>
      </c>
      <c r="G62" s="6">
        <f t="shared" si="21"/>
        <v>0</v>
      </c>
      <c r="H62" s="6">
        <f t="shared" si="21"/>
        <v>0</v>
      </c>
      <c r="I62" s="6">
        <f t="shared" si="21"/>
        <v>0</v>
      </c>
      <c r="J62" s="7">
        <f t="shared" si="21"/>
        <v>0</v>
      </c>
      <c r="K62" s="13">
        <f>SUM(B62:J62)</f>
        <v>0</v>
      </c>
      <c r="N62" s="15"/>
      <c r="O62" s="15"/>
      <c r="P62" s="59"/>
      <c r="Q62" s="59"/>
      <c r="R62" s="59"/>
      <c r="S62" s="59"/>
      <c r="T62" s="59"/>
      <c r="W62" s="15"/>
      <c r="X62" s="15"/>
      <c r="Y62" s="15"/>
      <c r="Z62" s="15"/>
      <c r="AA62" s="15"/>
    </row>
    <row r="63" spans="1:27" s="16" customFormat="1" x14ac:dyDescent="0.2">
      <c r="A63" s="30"/>
      <c r="B63" s="82">
        <f t="shared" ref="B63:J63" si="22">IF(AND(ISNUMBER(B60),ISNUMBER(B61)),B60-B61-B62," ")</f>
        <v>4</v>
      </c>
      <c r="C63" s="83">
        <f t="shared" si="22"/>
        <v>7</v>
      </c>
      <c r="D63" s="83">
        <f t="shared" si="22"/>
        <v>6</v>
      </c>
      <c r="E63" s="83">
        <f t="shared" si="22"/>
        <v>3</v>
      </c>
      <c r="F63" s="83">
        <f t="shared" si="22"/>
        <v>4</v>
      </c>
      <c r="G63" s="83">
        <f t="shared" si="22"/>
        <v>5</v>
      </c>
      <c r="H63" s="83">
        <f t="shared" si="22"/>
        <v>4</v>
      </c>
      <c r="I63" s="83">
        <f t="shared" si="22"/>
        <v>8</v>
      </c>
      <c r="J63" s="84">
        <f t="shared" si="22"/>
        <v>3</v>
      </c>
      <c r="K63" s="13">
        <f>IF(ISNUMBER(FIND("Wins",K64)), 2, IF(ISNUMBER(FIND("Tie",K64)), 1, 0))</f>
        <v>0</v>
      </c>
      <c r="N63" s="15"/>
      <c r="O63" s="15"/>
      <c r="P63" s="59"/>
      <c r="Q63" s="59"/>
      <c r="R63" s="59"/>
      <c r="S63" s="59"/>
      <c r="T63" s="59"/>
      <c r="W63" s="15"/>
      <c r="X63" s="15"/>
      <c r="Y63" s="15"/>
      <c r="Z63" s="15"/>
      <c r="AA63" s="15"/>
    </row>
    <row r="64" spans="1:27" s="16" customFormat="1" ht="13.5" thickBot="1" x14ac:dyDescent="0.25">
      <c r="A64" s="31"/>
      <c r="B64" s="19">
        <f>IF(AND(ISNUMBER(B57),ISNUMBER(B63)),IF(B63&lt;B57, 0+1, (IF(B63&gt;B57, 0-1, 0)))," ")</f>
        <v>-1</v>
      </c>
      <c r="C64" s="9">
        <f t="shared" ref="C64:J64" si="23">IF(AND(ISNUMBER(C57),ISNUMBER(C63)),IF(C63&lt;C57, +B64+1, (IF(C63&gt;C57, +B64-1, +B64)))," ")</f>
        <v>-2</v>
      </c>
      <c r="D64" s="9">
        <f t="shared" si="23"/>
        <v>-3</v>
      </c>
      <c r="E64" s="9">
        <f t="shared" si="23"/>
        <v>-2</v>
      </c>
      <c r="F64" s="9">
        <f t="shared" si="23"/>
        <v>-3</v>
      </c>
      <c r="G64" s="9">
        <f t="shared" si="23"/>
        <v>-3</v>
      </c>
      <c r="H64" s="9">
        <f t="shared" si="23"/>
        <v>-2</v>
      </c>
      <c r="I64" s="9">
        <f t="shared" si="23"/>
        <v>-3</v>
      </c>
      <c r="J64" s="10">
        <f t="shared" si="23"/>
        <v>-2</v>
      </c>
      <c r="K64" s="14" t="str">
        <f>IF(ISNUMBER(J64),IF(F64&gt;4,"Wins " &amp; F64 &amp; " &amp; 4",IF(G64&gt;3,"Wins " &amp; G64 &amp; " &amp; 3",IF(H64&gt;2,"Wins " &amp; H64 &amp; " &amp; 2",IF(I64&gt;1,"Wins " &amp; I64 &amp; " &amp; 1",IF(J64&gt;J58,"Wins " &amp; J64 &amp; " Up",IF(J64&lt;J58,"Loss","Tie"))))))," ")</f>
        <v>Loss</v>
      </c>
      <c r="N64" s="15"/>
      <c r="O64" s="15"/>
      <c r="P64" s="59"/>
      <c r="Q64" s="59"/>
      <c r="R64" s="59"/>
      <c r="S64" s="59"/>
      <c r="T64" s="59"/>
      <c r="W64" s="15"/>
      <c r="X64" s="15"/>
      <c r="Y64" s="15"/>
      <c r="Z64" s="15"/>
      <c r="AA64" s="15"/>
    </row>
    <row r="65" spans="1:27" s="16" customFormat="1" x14ac:dyDescent="0.2">
      <c r="A65" s="25"/>
      <c r="B65" s="15"/>
      <c r="C65" s="15"/>
      <c r="D65" s="15"/>
      <c r="E65" s="15"/>
      <c r="F65" s="15"/>
      <c r="G65" s="15"/>
      <c r="H65" s="15"/>
      <c r="I65" s="15"/>
      <c r="J65" s="15"/>
      <c r="K65" s="15"/>
      <c r="N65" s="15"/>
      <c r="O65" s="15"/>
      <c r="P65" s="59"/>
      <c r="Q65" s="59"/>
      <c r="R65" s="59"/>
      <c r="S65" s="59"/>
      <c r="T65" s="59"/>
      <c r="W65" s="15"/>
      <c r="X65" s="15"/>
      <c r="Y65" s="15"/>
      <c r="Z65" s="15"/>
      <c r="AA65" s="15"/>
    </row>
    <row r="66" spans="1:27" s="16" customFormat="1" ht="13.5" thickBot="1" x14ac:dyDescent="0.25">
      <c r="A66" s="24" t="s">
        <v>10</v>
      </c>
      <c r="B66" s="2"/>
      <c r="C66" s="2"/>
      <c r="D66" s="2"/>
      <c r="E66" s="2"/>
      <c r="F66" s="2"/>
      <c r="G66" s="2"/>
      <c r="H66" s="2"/>
      <c r="I66" s="2"/>
      <c r="J66" s="2"/>
      <c r="K66" s="2"/>
      <c r="N66" s="15"/>
      <c r="O66" s="15"/>
      <c r="P66" s="59"/>
      <c r="Q66" s="59"/>
      <c r="R66" s="59"/>
      <c r="S66" s="59"/>
      <c r="T66" s="59"/>
      <c r="W66" s="15"/>
      <c r="X66" s="15"/>
      <c r="Y66" s="15"/>
      <c r="Z66" s="15"/>
      <c r="AA66" s="15"/>
    </row>
    <row r="67" spans="1:27" s="16" customFormat="1" x14ac:dyDescent="0.2">
      <c r="A67" s="79" t="str">
        <f t="shared" ref="A67:J67" si="24">A14</f>
        <v>Dave</v>
      </c>
      <c r="B67" s="17">
        <f t="shared" si="24"/>
        <v>5</v>
      </c>
      <c r="C67" s="3">
        <f t="shared" si="24"/>
        <v>5</v>
      </c>
      <c r="D67" s="3">
        <f t="shared" si="24"/>
        <v>6</v>
      </c>
      <c r="E67" s="3">
        <f t="shared" si="24"/>
        <v>5</v>
      </c>
      <c r="F67" s="3">
        <f t="shared" si="24"/>
        <v>3</v>
      </c>
      <c r="G67" s="3">
        <f t="shared" si="24"/>
        <v>5</v>
      </c>
      <c r="H67" s="3">
        <f t="shared" si="24"/>
        <v>4</v>
      </c>
      <c r="I67" s="3">
        <f t="shared" si="24"/>
        <v>6</v>
      </c>
      <c r="J67" s="4">
        <f t="shared" si="24"/>
        <v>4</v>
      </c>
      <c r="K67" s="12">
        <f>SUM(B67:J67)</f>
        <v>43</v>
      </c>
      <c r="N67" s="15"/>
      <c r="O67" s="15"/>
      <c r="P67" s="59"/>
      <c r="Q67" s="59"/>
      <c r="R67" s="59"/>
      <c r="S67" s="59"/>
      <c r="T67" s="59"/>
      <c r="W67" s="15"/>
      <c r="X67" s="15"/>
      <c r="Y67" s="15"/>
      <c r="Z67" s="15"/>
      <c r="AA67" s="15"/>
    </row>
    <row r="68" spans="1:27" s="16" customFormat="1" x14ac:dyDescent="0.2">
      <c r="A68" s="80">
        <f>A15</f>
        <v>5</v>
      </c>
      <c r="B68" s="18">
        <f>IF(AND(ISNUMBER($A68),ISNUMBER($A74)),IF((RANK(B$4,$B$4:$J$4,1))&lt;=($A68-$A74),1,0),"")</f>
        <v>0</v>
      </c>
      <c r="C68" s="6">
        <f t="shared" ref="C68:J68" si="25">IF(AND(ISNUMBER($A68),ISNUMBER($A74)),IF((RANK(C$4,$B$4:$J$4,1))&lt;=($A68-$A74),1,0),"")</f>
        <v>0</v>
      </c>
      <c r="D68" s="6">
        <f t="shared" si="25"/>
        <v>0</v>
      </c>
      <c r="E68" s="6">
        <f t="shared" si="25"/>
        <v>0</v>
      </c>
      <c r="F68" s="6">
        <f t="shared" si="25"/>
        <v>0</v>
      </c>
      <c r="G68" s="6">
        <f t="shared" si="25"/>
        <v>0</v>
      </c>
      <c r="H68" s="6">
        <f t="shared" si="25"/>
        <v>0</v>
      </c>
      <c r="I68" s="6">
        <f t="shared" si="25"/>
        <v>0</v>
      </c>
      <c r="J68" s="7">
        <f t="shared" si="25"/>
        <v>0</v>
      </c>
      <c r="K68" s="13">
        <f>SUM(B68:J68)</f>
        <v>0</v>
      </c>
      <c r="N68" s="15"/>
      <c r="O68" s="15"/>
      <c r="P68" s="59"/>
      <c r="Q68" s="59"/>
      <c r="R68" s="59"/>
      <c r="S68" s="59"/>
      <c r="T68" s="59"/>
      <c r="W68" s="15"/>
      <c r="X68" s="15"/>
      <c r="Y68" s="15"/>
      <c r="Z68" s="15"/>
      <c r="AA68" s="15"/>
    </row>
    <row r="69" spans="1:27" s="16" customFormat="1" x14ac:dyDescent="0.2">
      <c r="A69" s="80">
        <f>IF((A68-A74)&gt;9,(A68-A74-9),0)</f>
        <v>0</v>
      </c>
      <c r="B69" s="18">
        <f>IF(AND(ISNUMBER($A69),ISNUMBER($A75)),IF((RANK(B$4,$B$4:$J$4,1))&lt;=($A69-$A75),1,0),"")</f>
        <v>0</v>
      </c>
      <c r="C69" s="6">
        <f t="shared" ref="C69:J69" si="26">IF(AND(ISNUMBER($A69),ISNUMBER($A75)),IF((RANK(C$4,$B$4:$J$4,1))&lt;=($A69-$A75),1,0),"")</f>
        <v>0</v>
      </c>
      <c r="D69" s="6">
        <f t="shared" si="26"/>
        <v>0</v>
      </c>
      <c r="E69" s="6">
        <f t="shared" si="26"/>
        <v>0</v>
      </c>
      <c r="F69" s="6">
        <f t="shared" si="26"/>
        <v>0</v>
      </c>
      <c r="G69" s="6">
        <f t="shared" si="26"/>
        <v>0</v>
      </c>
      <c r="H69" s="6">
        <f t="shared" si="26"/>
        <v>0</v>
      </c>
      <c r="I69" s="6">
        <f t="shared" si="26"/>
        <v>0</v>
      </c>
      <c r="J69" s="7">
        <f t="shared" si="26"/>
        <v>0</v>
      </c>
      <c r="K69" s="13">
        <f>SUM(B69:J69)</f>
        <v>0</v>
      </c>
      <c r="N69" s="15"/>
      <c r="O69" s="15"/>
      <c r="P69" s="59"/>
      <c r="Q69" s="59"/>
      <c r="R69" s="59"/>
      <c r="S69" s="59"/>
      <c r="T69" s="59"/>
      <c r="W69" s="15"/>
      <c r="X69" s="15"/>
      <c r="Y69" s="15"/>
      <c r="Z69" s="15"/>
      <c r="AA69" s="15"/>
    </row>
    <row r="70" spans="1:27" s="16" customFormat="1" x14ac:dyDescent="0.2">
      <c r="A70" s="80"/>
      <c r="B70" s="82">
        <f t="shared" ref="B70:J70" si="27">IF(AND(ISNUMBER(B67),ISNUMBER(B68)),B67-B68-B69," ")</f>
        <v>5</v>
      </c>
      <c r="C70" s="83">
        <f t="shared" si="27"/>
        <v>5</v>
      </c>
      <c r="D70" s="83">
        <f t="shared" si="27"/>
        <v>6</v>
      </c>
      <c r="E70" s="83">
        <f t="shared" si="27"/>
        <v>5</v>
      </c>
      <c r="F70" s="83">
        <f t="shared" si="27"/>
        <v>3</v>
      </c>
      <c r="G70" s="83">
        <f t="shared" si="27"/>
        <v>5</v>
      </c>
      <c r="H70" s="83">
        <f t="shared" si="27"/>
        <v>4</v>
      </c>
      <c r="I70" s="83">
        <f t="shared" si="27"/>
        <v>6</v>
      </c>
      <c r="J70" s="84">
        <f t="shared" si="27"/>
        <v>4</v>
      </c>
      <c r="K70" s="13">
        <f>IF(ISNUMBER(FIND("Wins",K71)), 2, IF(ISNUMBER(FIND("Tie",K71)), 1, 0))</f>
        <v>2</v>
      </c>
      <c r="N70" s="15"/>
      <c r="O70" s="15"/>
      <c r="P70" s="59"/>
      <c r="Q70" s="59"/>
      <c r="R70" s="59"/>
      <c r="S70" s="59"/>
      <c r="T70" s="59"/>
      <c r="W70" s="15"/>
      <c r="X70" s="15"/>
      <c r="Y70" s="15"/>
      <c r="Z70" s="15"/>
      <c r="AA70" s="15"/>
    </row>
    <row r="71" spans="1:27" s="16" customFormat="1" ht="13.5" thickBot="1" x14ac:dyDescent="0.25">
      <c r="A71" s="81"/>
      <c r="B71" s="19">
        <f>IF(AND(ISNUMBER(B70),ISNUMBER(B76)),IF(B70&lt;B76, 0+1, (IF(B70&gt;B76, 0-1, 0)))," ")</f>
        <v>-1</v>
      </c>
      <c r="C71" s="9">
        <f t="shared" ref="C71:J71" si="28">IF(AND(ISNUMBER(C70),ISNUMBER(C76)),IF(C70&lt;C76, +B71+1, (IF(C70&gt;C76, +B71-1, +B71)))," ")</f>
        <v>0</v>
      </c>
      <c r="D71" s="9">
        <f t="shared" si="28"/>
        <v>-1</v>
      </c>
      <c r="E71" s="9">
        <f t="shared" si="28"/>
        <v>0</v>
      </c>
      <c r="F71" s="9">
        <f t="shared" si="28"/>
        <v>0</v>
      </c>
      <c r="G71" s="9">
        <f t="shared" si="28"/>
        <v>-1</v>
      </c>
      <c r="H71" s="9">
        <f t="shared" si="28"/>
        <v>0</v>
      </c>
      <c r="I71" s="9">
        <f t="shared" si="28"/>
        <v>1</v>
      </c>
      <c r="J71" s="10">
        <f t="shared" si="28"/>
        <v>2</v>
      </c>
      <c r="K71" s="14" t="str">
        <f>IF(ISNUMBER(J71),IF(F71&gt;4,"Wins " &amp; F71 &amp; " &amp; 4",IF(G71&gt;3,"Wins " &amp; G71 &amp; " &amp; 3",IF(H71&gt;2,"Wins " &amp; H71 &amp; " &amp; 2",IF(I71&gt;1,"Wins " &amp; I71 &amp; " &amp; 1",IF(J71&gt;J77,"Wins " &amp; J71 &amp; " Up",IF(J71&lt;J77,"Loss","Tie"))))))," ")</f>
        <v>Wins 2 Up</v>
      </c>
      <c r="N71" s="15"/>
      <c r="O71" s="15"/>
      <c r="P71" s="59"/>
      <c r="Q71" s="59"/>
      <c r="R71" s="59"/>
      <c r="S71" s="59"/>
      <c r="T71" s="59"/>
      <c r="W71" s="15"/>
      <c r="X71" s="15"/>
      <c r="Y71" s="15"/>
      <c r="Z71" s="15"/>
      <c r="AA71" s="15"/>
    </row>
    <row r="72" spans="1:27" s="16" customFormat="1" ht="13.5" thickBot="1" x14ac:dyDescent="0.25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N72" s="15"/>
      <c r="O72" s="15"/>
      <c r="P72" s="59"/>
      <c r="Q72" s="59"/>
      <c r="R72" s="59"/>
      <c r="S72" s="59"/>
      <c r="T72" s="59"/>
      <c r="W72" s="15"/>
      <c r="X72" s="15"/>
      <c r="Y72" s="15"/>
      <c r="Z72" s="15"/>
      <c r="AA72" s="15"/>
    </row>
    <row r="73" spans="1:27" s="16" customFormat="1" x14ac:dyDescent="0.2">
      <c r="A73" s="79" t="str">
        <f t="shared" ref="A73:J73" si="29">A16</f>
        <v>Keith</v>
      </c>
      <c r="B73" s="17">
        <f t="shared" si="29"/>
        <v>4</v>
      </c>
      <c r="C73" s="3">
        <f t="shared" si="29"/>
        <v>10</v>
      </c>
      <c r="D73" s="3">
        <f t="shared" si="29"/>
        <v>4</v>
      </c>
      <c r="E73" s="3">
        <f t="shared" si="29"/>
        <v>7</v>
      </c>
      <c r="F73" s="3">
        <f t="shared" si="29"/>
        <v>4</v>
      </c>
      <c r="G73" s="3">
        <f t="shared" si="29"/>
        <v>5</v>
      </c>
      <c r="H73" s="3">
        <f t="shared" si="29"/>
        <v>6</v>
      </c>
      <c r="I73" s="3">
        <f t="shared" si="29"/>
        <v>9</v>
      </c>
      <c r="J73" s="4">
        <f t="shared" si="29"/>
        <v>6</v>
      </c>
      <c r="K73" s="12">
        <f>SUM(B73:J73)</f>
        <v>55</v>
      </c>
      <c r="N73" s="15"/>
      <c r="O73" s="15"/>
      <c r="P73" s="59"/>
      <c r="Q73" s="59"/>
      <c r="R73" s="59"/>
      <c r="S73" s="59"/>
      <c r="T73" s="59"/>
      <c r="W73" s="15"/>
      <c r="X73" s="15"/>
      <c r="Y73" s="15"/>
      <c r="Z73" s="15"/>
      <c r="AA73" s="15"/>
    </row>
    <row r="74" spans="1:27" s="16" customFormat="1" x14ac:dyDescent="0.2">
      <c r="A74" s="80">
        <f>A17</f>
        <v>16</v>
      </c>
      <c r="B74" s="18">
        <f>IF(AND(ISNUMBER($A68),ISNUMBER($A74)),IF((RANK(B$4,$B$4:$J$4,1))&lt;=($A74-$A68),1,0),"")</f>
        <v>1</v>
      </c>
      <c r="C74" s="6">
        <f t="shared" ref="C74:J74" si="30">IF(AND(ISNUMBER($A68),ISNUMBER($A74)),IF((RANK(C$4,$B$4:$J$4,1))&lt;=($A74-$A68),1,0),"")</f>
        <v>1</v>
      </c>
      <c r="D74" s="6">
        <f t="shared" si="30"/>
        <v>1</v>
      </c>
      <c r="E74" s="6">
        <f t="shared" si="30"/>
        <v>1</v>
      </c>
      <c r="F74" s="6">
        <f t="shared" si="30"/>
        <v>1</v>
      </c>
      <c r="G74" s="6">
        <f t="shared" si="30"/>
        <v>1</v>
      </c>
      <c r="H74" s="6">
        <f t="shared" si="30"/>
        <v>1</v>
      </c>
      <c r="I74" s="6">
        <f t="shared" si="30"/>
        <v>1</v>
      </c>
      <c r="J74" s="7">
        <f t="shared" si="30"/>
        <v>1</v>
      </c>
      <c r="K74" s="13">
        <f>SUM(B74:J74)</f>
        <v>9</v>
      </c>
      <c r="N74" s="15"/>
      <c r="O74" s="15"/>
      <c r="P74" s="59"/>
      <c r="Q74" s="59"/>
      <c r="R74" s="59"/>
      <c r="S74" s="59"/>
      <c r="T74" s="59"/>
      <c r="W74" s="15"/>
      <c r="X74" s="15"/>
      <c r="Y74" s="15"/>
      <c r="Z74" s="15"/>
      <c r="AA74" s="15"/>
    </row>
    <row r="75" spans="1:27" s="16" customFormat="1" x14ac:dyDescent="0.2">
      <c r="A75" s="80">
        <f>IF((A74-A68)&gt;9,(A74-A68-9),0)</f>
        <v>2</v>
      </c>
      <c r="B75" s="18">
        <f>IF(AND(ISNUMBER($A69),ISNUMBER($A75)),IF((RANK(B$4,$B$4:$J$4,1))&lt;=($A75-$A69),1,0),"")</f>
        <v>0</v>
      </c>
      <c r="C75" s="6">
        <f t="shared" ref="C75:J75" si="31">IF(AND(ISNUMBER($A69),ISNUMBER($A75)),IF((RANK(C$4,$B$4:$J$4,1))&lt;=($A75-$A69),1,0),"")</f>
        <v>1</v>
      </c>
      <c r="D75" s="6">
        <f t="shared" si="31"/>
        <v>0</v>
      </c>
      <c r="E75" s="6">
        <f t="shared" si="31"/>
        <v>0</v>
      </c>
      <c r="F75" s="6">
        <f t="shared" si="31"/>
        <v>0</v>
      </c>
      <c r="G75" s="6">
        <f t="shared" si="31"/>
        <v>0</v>
      </c>
      <c r="H75" s="6">
        <f t="shared" si="31"/>
        <v>0</v>
      </c>
      <c r="I75" s="6">
        <f t="shared" si="31"/>
        <v>1</v>
      </c>
      <c r="J75" s="7">
        <f t="shared" si="31"/>
        <v>0</v>
      </c>
      <c r="K75" s="13">
        <f>SUM(B75:J75)</f>
        <v>2</v>
      </c>
      <c r="N75" s="15"/>
      <c r="O75" s="15"/>
      <c r="P75" s="59"/>
      <c r="Q75" s="59"/>
      <c r="R75" s="59"/>
      <c r="S75" s="59"/>
      <c r="T75" s="59"/>
      <c r="W75" s="15"/>
      <c r="X75" s="15"/>
      <c r="Y75" s="15"/>
      <c r="Z75" s="15"/>
      <c r="AA75" s="15"/>
    </row>
    <row r="76" spans="1:27" s="16" customFormat="1" x14ac:dyDescent="0.2">
      <c r="A76" s="80"/>
      <c r="B76" s="82">
        <f t="shared" ref="B76:J76" si="32">IF(AND(ISNUMBER(B73),ISNUMBER(B74)),B73-B74-B75," ")</f>
        <v>3</v>
      </c>
      <c r="C76" s="83">
        <f t="shared" si="32"/>
        <v>8</v>
      </c>
      <c r="D76" s="83">
        <f t="shared" si="32"/>
        <v>3</v>
      </c>
      <c r="E76" s="83">
        <f t="shared" si="32"/>
        <v>6</v>
      </c>
      <c r="F76" s="83">
        <f t="shared" si="32"/>
        <v>3</v>
      </c>
      <c r="G76" s="83">
        <f t="shared" si="32"/>
        <v>4</v>
      </c>
      <c r="H76" s="83">
        <f t="shared" si="32"/>
        <v>5</v>
      </c>
      <c r="I76" s="83">
        <f t="shared" si="32"/>
        <v>7</v>
      </c>
      <c r="J76" s="84">
        <f t="shared" si="32"/>
        <v>5</v>
      </c>
      <c r="K76" s="13">
        <f>IF(ISNUMBER(FIND("Wins",K77)), 2, IF(ISNUMBER(FIND("Tie",K77)), 1, 0))</f>
        <v>0</v>
      </c>
      <c r="N76" s="15"/>
      <c r="O76" s="15"/>
      <c r="P76" s="59"/>
      <c r="Q76" s="59"/>
      <c r="R76" s="59"/>
      <c r="S76" s="59"/>
      <c r="T76" s="59"/>
      <c r="W76" s="15"/>
      <c r="X76" s="15"/>
      <c r="Y76" s="15"/>
      <c r="Z76" s="15"/>
      <c r="AA76" s="15"/>
    </row>
    <row r="77" spans="1:27" s="16" customFormat="1" ht="13.5" thickBot="1" x14ac:dyDescent="0.25">
      <c r="A77" s="81"/>
      <c r="B77" s="19">
        <f>IF(AND(ISNUMBER(B70),ISNUMBER(B76)),IF(B76&lt;B70, 0+1, (IF(B76&gt;B70, 0-1, 0)))," ")</f>
        <v>1</v>
      </c>
      <c r="C77" s="9">
        <f t="shared" ref="C77:J77" si="33">IF(AND(ISNUMBER(C70),ISNUMBER(C76)),IF(C76&lt;C70, +B77+1, (IF(C76&gt;C70, +B77-1, +B77)))," ")</f>
        <v>0</v>
      </c>
      <c r="D77" s="9">
        <f t="shared" si="33"/>
        <v>1</v>
      </c>
      <c r="E77" s="9">
        <f t="shared" si="33"/>
        <v>0</v>
      </c>
      <c r="F77" s="9">
        <f t="shared" si="33"/>
        <v>0</v>
      </c>
      <c r="G77" s="9">
        <f t="shared" si="33"/>
        <v>1</v>
      </c>
      <c r="H77" s="9">
        <f t="shared" si="33"/>
        <v>0</v>
      </c>
      <c r="I77" s="9">
        <f t="shared" si="33"/>
        <v>-1</v>
      </c>
      <c r="J77" s="10">
        <f t="shared" si="33"/>
        <v>-2</v>
      </c>
      <c r="K77" s="14" t="str">
        <f>IF(ISNUMBER(J77),IF(F77&gt;4,"Wins " &amp; F77 &amp; " &amp; 4",IF(G77&gt;3,"Wins " &amp; G77 &amp; " &amp; 3",IF(H77&gt;2,"Wins " &amp; H77 &amp; " &amp; 2",IF(I77&gt;1,"Wins " &amp; I77 &amp; " &amp; 1",IF(J77&gt;J71,"Wins " &amp; J77 &amp; " Up",IF(J77&lt;J71,"Loss","Tie"))))))," ")</f>
        <v>Loss</v>
      </c>
      <c r="N77" s="15"/>
      <c r="O77" s="15"/>
      <c r="P77" s="59"/>
      <c r="Q77" s="59"/>
      <c r="R77" s="59"/>
      <c r="S77" s="59"/>
      <c r="T77" s="59"/>
      <c r="W77" s="15"/>
      <c r="X77" s="15"/>
      <c r="Y77" s="15"/>
      <c r="Z77" s="15"/>
      <c r="AA77" s="15"/>
    </row>
    <row r="78" spans="1:27" s="16" customFormat="1" x14ac:dyDescent="0.2">
      <c r="A78" s="26"/>
      <c r="B78" s="15"/>
      <c r="C78" s="15"/>
      <c r="D78" s="15"/>
      <c r="E78" s="15"/>
      <c r="F78" s="15"/>
      <c r="G78" s="15"/>
      <c r="H78" s="15"/>
      <c r="I78" s="15"/>
      <c r="J78" s="15"/>
      <c r="K78" s="15"/>
      <c r="N78" s="15"/>
      <c r="O78" s="15"/>
      <c r="P78" s="59"/>
      <c r="Q78" s="59"/>
      <c r="R78" s="59"/>
      <c r="S78" s="59"/>
      <c r="T78" s="59"/>
      <c r="W78" s="15"/>
      <c r="X78" s="15"/>
      <c r="Y78" s="15"/>
      <c r="Z78" s="15"/>
      <c r="AA78" s="15"/>
    </row>
    <row r="79" spans="1:27" s="16" customFormat="1" ht="13.5" thickBot="1" x14ac:dyDescent="0.25">
      <c r="A79" s="24" t="s">
        <v>11</v>
      </c>
      <c r="B79" s="2"/>
      <c r="C79" s="2"/>
      <c r="D79" s="2"/>
      <c r="E79" s="2"/>
      <c r="F79" s="2"/>
      <c r="G79" s="2"/>
      <c r="H79" s="2"/>
      <c r="I79" s="2"/>
      <c r="J79" s="2"/>
      <c r="K79" s="2"/>
      <c r="N79" s="15"/>
      <c r="O79" s="15"/>
      <c r="P79" s="59"/>
      <c r="Q79" s="59"/>
      <c r="R79" s="59"/>
      <c r="S79" s="59"/>
      <c r="T79" s="59"/>
      <c r="W79" s="15"/>
      <c r="X79" s="15"/>
      <c r="Y79" s="15"/>
      <c r="Z79" s="15"/>
      <c r="AA79" s="15"/>
    </row>
    <row r="80" spans="1:27" s="16" customFormat="1" x14ac:dyDescent="0.2">
      <c r="A80" s="29" t="str">
        <f t="shared" ref="A80:J80" si="34">A18</f>
        <v>John</v>
      </c>
      <c r="B80" s="17">
        <f t="shared" si="34"/>
        <v>5</v>
      </c>
      <c r="C80" s="3">
        <f t="shared" si="34"/>
        <v>6</v>
      </c>
      <c r="D80" s="3">
        <f t="shared" si="34"/>
        <v>3</v>
      </c>
      <c r="E80" s="3">
        <f t="shared" si="34"/>
        <v>7</v>
      </c>
      <c r="F80" s="3">
        <f t="shared" si="34"/>
        <v>3</v>
      </c>
      <c r="G80" s="3">
        <f t="shared" si="34"/>
        <v>6</v>
      </c>
      <c r="H80" s="3">
        <f t="shared" si="34"/>
        <v>5</v>
      </c>
      <c r="I80" s="3">
        <f t="shared" si="34"/>
        <v>8</v>
      </c>
      <c r="J80" s="4">
        <f t="shared" si="34"/>
        <v>4</v>
      </c>
      <c r="K80" s="12">
        <f>SUM(B80:J80)</f>
        <v>47</v>
      </c>
      <c r="N80" s="15"/>
      <c r="O80" s="15"/>
      <c r="P80" s="59"/>
      <c r="Q80" s="59"/>
      <c r="R80" s="59"/>
      <c r="S80" s="59"/>
      <c r="T80" s="59"/>
      <c r="W80" s="15"/>
      <c r="X80" s="15"/>
      <c r="Y80" s="15"/>
      <c r="Z80" s="15"/>
      <c r="AA80" s="15"/>
    </row>
    <row r="81" spans="1:27" s="16" customFormat="1" x14ac:dyDescent="0.2">
      <c r="A81" s="30">
        <f>A19</f>
        <v>7</v>
      </c>
      <c r="B81" s="18">
        <f>IF(AND(ISNUMBER($A81),ISNUMBER($A87)),IF((RANK(B$4,$B$4:$J$4,1))&lt;=($A81-$A87),1,0),"")</f>
        <v>0</v>
      </c>
      <c r="C81" s="6">
        <f t="shared" ref="C81:J81" si="35">IF(AND(ISNUMBER($A81),ISNUMBER($A87)),IF((RANK(C$4,$B$4:$J$4,1))&lt;=($A81-$A87),1,0),"")</f>
        <v>0</v>
      </c>
      <c r="D81" s="6">
        <f t="shared" si="35"/>
        <v>0</v>
      </c>
      <c r="E81" s="6">
        <f t="shared" si="35"/>
        <v>0</v>
      </c>
      <c r="F81" s="6">
        <f t="shared" si="35"/>
        <v>0</v>
      </c>
      <c r="G81" s="6">
        <f t="shared" si="35"/>
        <v>0</v>
      </c>
      <c r="H81" s="6">
        <f t="shared" si="35"/>
        <v>0</v>
      </c>
      <c r="I81" s="6">
        <f t="shared" si="35"/>
        <v>0</v>
      </c>
      <c r="J81" s="7">
        <f t="shared" si="35"/>
        <v>0</v>
      </c>
      <c r="K81" s="13">
        <f>SUM(B81:J81)</f>
        <v>0</v>
      </c>
      <c r="N81" s="15"/>
      <c r="O81" s="15"/>
      <c r="P81" s="59"/>
      <c r="Q81" s="59"/>
      <c r="R81" s="59"/>
      <c r="S81" s="59"/>
      <c r="T81" s="59"/>
      <c r="W81" s="15"/>
      <c r="X81" s="15"/>
      <c r="Y81" s="15"/>
      <c r="Z81" s="15"/>
      <c r="AA81" s="15"/>
    </row>
    <row r="82" spans="1:27" s="16" customFormat="1" x14ac:dyDescent="0.2">
      <c r="A82" s="30">
        <f>IF((A81-A87)&gt;9,(A81-A87-9),0)</f>
        <v>0</v>
      </c>
      <c r="B82" s="18">
        <f>IF(AND(ISNUMBER($A82),ISNUMBER($A88)),IF((RANK(B$4,$B$4:$J$4,1))&lt;=($A82-$A88),1,0),"")</f>
        <v>0</v>
      </c>
      <c r="C82" s="6">
        <f t="shared" ref="C82:J82" si="36">IF(AND(ISNUMBER($A82),ISNUMBER($A88)),IF((RANK(C$4,$B$4:$J$4,1))&lt;=($A82-$A88),1,0),"")</f>
        <v>0</v>
      </c>
      <c r="D82" s="6">
        <f t="shared" si="36"/>
        <v>0</v>
      </c>
      <c r="E82" s="6">
        <f t="shared" si="36"/>
        <v>0</v>
      </c>
      <c r="F82" s="6">
        <f t="shared" si="36"/>
        <v>0</v>
      </c>
      <c r="G82" s="6">
        <f t="shared" si="36"/>
        <v>0</v>
      </c>
      <c r="H82" s="6">
        <f t="shared" si="36"/>
        <v>0</v>
      </c>
      <c r="I82" s="6">
        <f t="shared" si="36"/>
        <v>0</v>
      </c>
      <c r="J82" s="7">
        <f t="shared" si="36"/>
        <v>0</v>
      </c>
      <c r="K82" s="13">
        <f>SUM(B82:J82)</f>
        <v>0</v>
      </c>
      <c r="N82" s="15"/>
      <c r="O82" s="15"/>
      <c r="P82" s="59"/>
      <c r="Q82" s="59"/>
      <c r="R82" s="59"/>
      <c r="S82" s="59"/>
      <c r="T82" s="59"/>
      <c r="W82" s="15"/>
      <c r="X82" s="15"/>
      <c r="Y82" s="15"/>
      <c r="Z82" s="15"/>
      <c r="AA82" s="15"/>
    </row>
    <row r="83" spans="1:27" s="16" customFormat="1" x14ac:dyDescent="0.2">
      <c r="A83" s="30"/>
      <c r="B83" s="82">
        <f t="shared" ref="B83:J83" si="37">IF(AND(ISNUMBER(B80),ISNUMBER(B81)),B80-B81-B82," ")</f>
        <v>5</v>
      </c>
      <c r="C83" s="83">
        <f t="shared" si="37"/>
        <v>6</v>
      </c>
      <c r="D83" s="83">
        <f t="shared" si="37"/>
        <v>3</v>
      </c>
      <c r="E83" s="83">
        <f t="shared" si="37"/>
        <v>7</v>
      </c>
      <c r="F83" s="83">
        <f t="shared" si="37"/>
        <v>3</v>
      </c>
      <c r="G83" s="83">
        <f t="shared" si="37"/>
        <v>6</v>
      </c>
      <c r="H83" s="83">
        <f t="shared" si="37"/>
        <v>5</v>
      </c>
      <c r="I83" s="83">
        <f t="shared" si="37"/>
        <v>8</v>
      </c>
      <c r="J83" s="84">
        <f t="shared" si="37"/>
        <v>4</v>
      </c>
      <c r="K83" s="13">
        <f>IF(ISNUMBER(FIND("Wins",K84)), 2, IF(ISNUMBER(FIND("Tie",K84)), 1, 0))</f>
        <v>2</v>
      </c>
      <c r="N83" s="15"/>
      <c r="O83" s="15"/>
      <c r="P83" s="59"/>
      <c r="Q83" s="59"/>
      <c r="R83" s="59"/>
      <c r="S83" s="59"/>
      <c r="T83" s="59"/>
      <c r="W83" s="15"/>
      <c r="X83" s="15"/>
      <c r="Y83" s="15"/>
      <c r="Z83" s="15"/>
      <c r="AA83" s="15"/>
    </row>
    <row r="84" spans="1:27" s="16" customFormat="1" ht="13.5" thickBot="1" x14ac:dyDescent="0.25">
      <c r="A84" s="31"/>
      <c r="B84" s="19">
        <f>IF(AND(ISNUMBER(B83),ISNUMBER(B89)),IF(B83&lt;B89, 0+1, (IF(B83&gt;B89, 0-1, 0)))," ")</f>
        <v>0</v>
      </c>
      <c r="C84" s="9">
        <f t="shared" ref="C84:J84" si="38">IF(AND(ISNUMBER(C83),ISNUMBER(C89)),IF(C83&lt;C89, +B84+1, (IF(C83&gt;C89, +B84-1, +B84)))," ")</f>
        <v>1</v>
      </c>
      <c r="D84" s="9">
        <f t="shared" si="38"/>
        <v>2</v>
      </c>
      <c r="E84" s="9">
        <f t="shared" si="38"/>
        <v>2</v>
      </c>
      <c r="F84" s="9">
        <f t="shared" si="38"/>
        <v>2</v>
      </c>
      <c r="G84" s="9">
        <f t="shared" si="38"/>
        <v>1</v>
      </c>
      <c r="H84" s="9">
        <f t="shared" si="38"/>
        <v>2</v>
      </c>
      <c r="I84" s="9">
        <f t="shared" si="38"/>
        <v>1</v>
      </c>
      <c r="J84" s="10">
        <f t="shared" si="38"/>
        <v>2</v>
      </c>
      <c r="K84" s="14" t="str">
        <f>IF(ISNUMBER(J84),IF(F84&gt;4,"Wins " &amp; F84 &amp; " &amp; 4",IF(G84&gt;3,"Wins " &amp; G84 &amp; " &amp; 3",IF(H84&gt;2,"Wins " &amp; H84 &amp; " &amp; 2",IF(I84&gt;1,"Wins " &amp; I84 &amp; " &amp; 1",IF(J84&gt;J90,"Wins " &amp; J84 &amp; " Up",IF(J84&lt;J90,"Loss","Tie"))))))," ")</f>
        <v>Wins 2 Up</v>
      </c>
      <c r="N84" s="15"/>
      <c r="O84" s="15"/>
      <c r="P84" s="59"/>
      <c r="Q84" s="59"/>
      <c r="R84" s="59"/>
      <c r="S84" s="59"/>
      <c r="T84" s="59"/>
      <c r="W84" s="15"/>
      <c r="X84" s="15"/>
      <c r="Y84" s="15"/>
      <c r="Z84" s="15"/>
      <c r="AA84" s="15"/>
    </row>
    <row r="85" spans="1:27" s="16" customFormat="1" ht="13.5" thickBot="1" x14ac:dyDescent="0.2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N85" s="15"/>
      <c r="O85" s="15"/>
      <c r="P85" s="59"/>
      <c r="Q85" s="59"/>
      <c r="R85" s="59"/>
      <c r="S85" s="59"/>
      <c r="T85" s="59"/>
      <c r="W85" s="15"/>
      <c r="X85" s="15"/>
      <c r="Y85" s="15"/>
      <c r="Z85" s="15"/>
      <c r="AA85" s="15"/>
    </row>
    <row r="86" spans="1:27" s="16" customFormat="1" x14ac:dyDescent="0.2">
      <c r="A86" s="29" t="str">
        <f t="shared" ref="A86:J86" si="39">A20</f>
        <v>Patrick</v>
      </c>
      <c r="B86" s="17">
        <f t="shared" si="39"/>
        <v>5</v>
      </c>
      <c r="C86" s="3">
        <f t="shared" si="39"/>
        <v>9</v>
      </c>
      <c r="D86" s="3">
        <f t="shared" si="39"/>
        <v>5</v>
      </c>
      <c r="E86" s="3">
        <f t="shared" si="39"/>
        <v>7</v>
      </c>
      <c r="F86" s="3">
        <f t="shared" si="39"/>
        <v>3</v>
      </c>
      <c r="G86" s="3">
        <f t="shared" si="39"/>
        <v>5</v>
      </c>
      <c r="H86" s="3">
        <f t="shared" si="39"/>
        <v>6</v>
      </c>
      <c r="I86" s="3">
        <f t="shared" si="39"/>
        <v>5</v>
      </c>
      <c r="J86" s="4">
        <f t="shared" si="39"/>
        <v>8</v>
      </c>
      <c r="K86" s="12">
        <f>SUM(B86:J86)</f>
        <v>53</v>
      </c>
      <c r="N86" s="15"/>
      <c r="O86" s="15"/>
      <c r="P86" s="59"/>
      <c r="Q86" s="59"/>
      <c r="R86" s="59"/>
      <c r="S86" s="59"/>
      <c r="T86" s="59"/>
      <c r="W86" s="15"/>
      <c r="X86" s="15"/>
      <c r="Y86" s="15"/>
      <c r="Z86" s="15"/>
      <c r="AA86" s="15"/>
    </row>
    <row r="87" spans="1:27" s="16" customFormat="1" x14ac:dyDescent="0.2">
      <c r="A87" s="30">
        <f>A21</f>
        <v>8</v>
      </c>
      <c r="B87" s="18">
        <f>IF(AND(ISNUMBER($A81),ISNUMBER($A87)),IF((RANK(B$4,$B$4:$J$4,1))&lt;=($A87-$A81),1,0),"")</f>
        <v>0</v>
      </c>
      <c r="C87" s="6">
        <f t="shared" ref="C87:J87" si="40">IF(AND(ISNUMBER($A81),ISNUMBER($A87)),IF((RANK(C$4,$B$4:$J$4,1))&lt;=($A87-$A81),1,0),"")</f>
        <v>0</v>
      </c>
      <c r="D87" s="6">
        <f t="shared" si="40"/>
        <v>0</v>
      </c>
      <c r="E87" s="6">
        <f t="shared" si="40"/>
        <v>0</v>
      </c>
      <c r="F87" s="6">
        <f t="shared" si="40"/>
        <v>0</v>
      </c>
      <c r="G87" s="6">
        <f t="shared" si="40"/>
        <v>0</v>
      </c>
      <c r="H87" s="6">
        <f t="shared" si="40"/>
        <v>0</v>
      </c>
      <c r="I87" s="6">
        <f t="shared" si="40"/>
        <v>1</v>
      </c>
      <c r="J87" s="7">
        <f t="shared" si="40"/>
        <v>0</v>
      </c>
      <c r="K87" s="13">
        <f>SUM(B87:J87)</f>
        <v>1</v>
      </c>
      <c r="N87" s="15"/>
      <c r="O87" s="15"/>
      <c r="P87" s="59"/>
      <c r="Q87" s="59"/>
      <c r="R87" s="59"/>
      <c r="S87" s="59"/>
      <c r="T87" s="59"/>
      <c r="W87" s="15"/>
      <c r="X87" s="15"/>
      <c r="Y87" s="15"/>
      <c r="Z87" s="15"/>
      <c r="AA87" s="15"/>
    </row>
    <row r="88" spans="1:27" s="16" customFormat="1" x14ac:dyDescent="0.2">
      <c r="A88" s="30">
        <f>IF((A87-A81)&gt;9,(A87-A81-9),0)</f>
        <v>0</v>
      </c>
      <c r="B88" s="18">
        <f>IF(AND(ISNUMBER($A82),ISNUMBER($A88)),IF((RANK(B$4,$B$4:$J$4,1))&lt;=($A88-$A82),1,0),"")</f>
        <v>0</v>
      </c>
      <c r="C88" s="6">
        <f t="shared" ref="C88:J88" si="41">IF(AND(ISNUMBER($A82),ISNUMBER($A88)),IF((RANK(C$4,$B$4:$J$4,1))&lt;=($A88-$A82),1,0),"")</f>
        <v>0</v>
      </c>
      <c r="D88" s="6">
        <f t="shared" si="41"/>
        <v>0</v>
      </c>
      <c r="E88" s="6">
        <f t="shared" si="41"/>
        <v>0</v>
      </c>
      <c r="F88" s="6">
        <f t="shared" si="41"/>
        <v>0</v>
      </c>
      <c r="G88" s="6">
        <f t="shared" si="41"/>
        <v>0</v>
      </c>
      <c r="H88" s="6">
        <f t="shared" si="41"/>
        <v>0</v>
      </c>
      <c r="I88" s="6">
        <f t="shared" si="41"/>
        <v>0</v>
      </c>
      <c r="J88" s="7">
        <f t="shared" si="41"/>
        <v>0</v>
      </c>
      <c r="K88" s="13">
        <f>SUM(B88:J88)</f>
        <v>0</v>
      </c>
      <c r="N88" s="15"/>
      <c r="O88" s="15"/>
      <c r="P88" s="59"/>
      <c r="Q88" s="59"/>
      <c r="R88" s="59"/>
      <c r="S88" s="59"/>
      <c r="T88" s="59"/>
      <c r="W88" s="15"/>
      <c r="X88" s="15"/>
      <c r="Y88" s="15"/>
      <c r="Z88" s="15"/>
      <c r="AA88" s="15"/>
    </row>
    <row r="89" spans="1:27" s="16" customFormat="1" x14ac:dyDescent="0.2">
      <c r="A89" s="30"/>
      <c r="B89" s="82">
        <f t="shared" ref="B89:J89" si="42">IF(AND(ISNUMBER(B86),ISNUMBER(B87)),B86-B87-B88," ")</f>
        <v>5</v>
      </c>
      <c r="C89" s="83">
        <f t="shared" si="42"/>
        <v>9</v>
      </c>
      <c r="D89" s="83">
        <f t="shared" si="42"/>
        <v>5</v>
      </c>
      <c r="E89" s="83">
        <f t="shared" si="42"/>
        <v>7</v>
      </c>
      <c r="F89" s="83">
        <f t="shared" si="42"/>
        <v>3</v>
      </c>
      <c r="G89" s="83">
        <f t="shared" si="42"/>
        <v>5</v>
      </c>
      <c r="H89" s="83">
        <f t="shared" si="42"/>
        <v>6</v>
      </c>
      <c r="I89" s="83">
        <f t="shared" si="42"/>
        <v>4</v>
      </c>
      <c r="J89" s="84">
        <f t="shared" si="42"/>
        <v>8</v>
      </c>
      <c r="K89" s="13">
        <f>IF(ISNUMBER(FIND("Wins",K90)), 2, IF(ISNUMBER(FIND("Tie",K90)), 1, 0))</f>
        <v>0</v>
      </c>
      <c r="N89" s="15"/>
      <c r="O89" s="15"/>
      <c r="P89" s="59"/>
      <c r="Q89" s="59"/>
      <c r="R89" s="59"/>
      <c r="S89" s="59"/>
      <c r="T89" s="59"/>
      <c r="W89" s="15"/>
      <c r="X89" s="15"/>
      <c r="Y89" s="15"/>
      <c r="Z89" s="15"/>
      <c r="AA89" s="15"/>
    </row>
    <row r="90" spans="1:27" s="16" customFormat="1" ht="13.5" thickBot="1" x14ac:dyDescent="0.25">
      <c r="A90" s="31"/>
      <c r="B90" s="19">
        <f>IF(AND(ISNUMBER(B83),ISNUMBER(B89)),IF(B89&lt;B83, 0+1, (IF(B89&gt;B83, 0-1, 0)))," ")</f>
        <v>0</v>
      </c>
      <c r="C90" s="9">
        <f t="shared" ref="C90:J90" si="43">IF(AND(ISNUMBER(C83),ISNUMBER(C89)),IF(C89&lt;C83, +B90+1, (IF(C89&gt;C83, +B90-1, +B90)))," ")</f>
        <v>-1</v>
      </c>
      <c r="D90" s="9">
        <f t="shared" si="43"/>
        <v>-2</v>
      </c>
      <c r="E90" s="9">
        <f t="shared" si="43"/>
        <v>-2</v>
      </c>
      <c r="F90" s="9">
        <f t="shared" si="43"/>
        <v>-2</v>
      </c>
      <c r="G90" s="9">
        <f t="shared" si="43"/>
        <v>-1</v>
      </c>
      <c r="H90" s="9">
        <f t="shared" si="43"/>
        <v>-2</v>
      </c>
      <c r="I90" s="9">
        <f t="shared" si="43"/>
        <v>-1</v>
      </c>
      <c r="J90" s="10">
        <f t="shared" si="43"/>
        <v>-2</v>
      </c>
      <c r="K90" s="14" t="str">
        <f>IF(ISNUMBER(J90),IF(F90&gt;4,"Wins " &amp; F90 &amp; " &amp; 4",IF(G90&gt;3,"Wins " &amp; G90 &amp; " &amp; 3",IF(H90&gt;2,"Wins " &amp; H90 &amp; " &amp; 2",IF(I90&gt;1,"Wins " &amp; I90 &amp; " &amp; 1",IF(J90&gt;J84,"Wins " &amp; J90 &amp; " Up",IF(J90&lt;J84,"Loss","Tie"))))))," ")</f>
        <v>Loss</v>
      </c>
      <c r="N90" s="15"/>
      <c r="O90" s="15"/>
      <c r="P90" s="59"/>
      <c r="Q90" s="59"/>
      <c r="R90" s="59"/>
      <c r="S90" s="59"/>
      <c r="T90" s="59"/>
      <c r="W90" s="15"/>
      <c r="X90" s="15"/>
      <c r="Y90" s="15"/>
      <c r="Z90" s="15"/>
      <c r="AA90" s="15"/>
    </row>
    <row r="91" spans="1:27" s="16" customFormat="1" x14ac:dyDescent="0.2">
      <c r="A91" s="26"/>
      <c r="B91" s="15"/>
      <c r="C91" s="15"/>
      <c r="D91" s="15"/>
      <c r="E91" s="15"/>
      <c r="F91" s="15"/>
      <c r="G91" s="15"/>
      <c r="H91" s="15"/>
      <c r="I91" s="15"/>
      <c r="J91" s="15"/>
      <c r="K91" s="15"/>
      <c r="N91" s="15"/>
      <c r="O91" s="15"/>
      <c r="P91" s="59"/>
      <c r="Q91" s="59"/>
      <c r="R91" s="59"/>
      <c r="S91" s="59"/>
      <c r="T91" s="59"/>
      <c r="W91" s="15"/>
      <c r="X91" s="15"/>
      <c r="Y91" s="15"/>
      <c r="Z91" s="15"/>
      <c r="AA91" s="15"/>
    </row>
    <row r="92" spans="1:27" s="16" customFormat="1" ht="13.5" thickBot="1" x14ac:dyDescent="0.25">
      <c r="A92" s="24" t="s">
        <v>12</v>
      </c>
      <c r="B92" s="2"/>
      <c r="C92" s="2"/>
      <c r="D92" s="2"/>
      <c r="E92" s="2"/>
      <c r="F92" s="2"/>
      <c r="G92" s="2"/>
      <c r="H92" s="2"/>
      <c r="I92" s="2"/>
      <c r="J92" s="2"/>
      <c r="K92" s="2"/>
      <c r="N92" s="15"/>
      <c r="O92" s="15"/>
      <c r="P92" s="59"/>
      <c r="Q92" s="59"/>
      <c r="R92" s="59"/>
      <c r="S92" s="59"/>
      <c r="T92" s="59"/>
      <c r="W92" s="15"/>
      <c r="X92" s="15"/>
      <c r="Y92" s="15"/>
      <c r="Z92" s="15"/>
      <c r="AA92" s="15"/>
    </row>
    <row r="93" spans="1:27" s="16" customFormat="1" x14ac:dyDescent="0.2">
      <c r="A93" s="29" t="str">
        <f t="shared" ref="A93:J93" si="44">A22</f>
        <v>Brian P</v>
      </c>
      <c r="B93" s="17">
        <f t="shared" si="44"/>
        <v>4</v>
      </c>
      <c r="C93" s="3">
        <f t="shared" si="44"/>
        <v>10</v>
      </c>
      <c r="D93" s="3">
        <f t="shared" si="44"/>
        <v>2</v>
      </c>
      <c r="E93" s="3">
        <f t="shared" si="44"/>
        <v>4</v>
      </c>
      <c r="F93" s="3">
        <f t="shared" si="44"/>
        <v>4</v>
      </c>
      <c r="G93" s="3">
        <f t="shared" si="44"/>
        <v>5</v>
      </c>
      <c r="H93" s="3">
        <f t="shared" si="44"/>
        <v>4</v>
      </c>
      <c r="I93" s="3">
        <f t="shared" si="44"/>
        <v>8</v>
      </c>
      <c r="J93" s="4">
        <f t="shared" si="44"/>
        <v>4</v>
      </c>
      <c r="K93" s="12">
        <f>SUM(B93:J93)</f>
        <v>45</v>
      </c>
      <c r="N93" s="15"/>
      <c r="O93" s="15"/>
      <c r="P93" s="59"/>
      <c r="Q93" s="59"/>
      <c r="R93" s="59"/>
      <c r="S93" s="59"/>
      <c r="T93" s="59"/>
      <c r="W93" s="15"/>
      <c r="X93" s="15"/>
      <c r="Y93" s="15"/>
      <c r="Z93" s="15"/>
      <c r="AA93" s="15"/>
    </row>
    <row r="94" spans="1:27" s="16" customFormat="1" x14ac:dyDescent="0.2">
      <c r="A94" s="30">
        <f>A23</f>
        <v>6</v>
      </c>
      <c r="B94" s="18">
        <f>IF(AND(ISNUMBER($A94),ISNUMBER($A100)),IF((RANK(B$4,$B$4:$J$4,1))&lt;=($A94-$A100),1,0),"")</f>
        <v>0</v>
      </c>
      <c r="C94" s="6">
        <f t="shared" ref="C94:J94" si="45">IF(AND(ISNUMBER($A94),ISNUMBER($A100)),IF((RANK(C$4,$B$4:$J$4,1))&lt;=($A94-$A100),1,0),"")</f>
        <v>0</v>
      </c>
      <c r="D94" s="6">
        <f t="shared" si="45"/>
        <v>0</v>
      </c>
      <c r="E94" s="6">
        <f t="shared" si="45"/>
        <v>0</v>
      </c>
      <c r="F94" s="6">
        <f t="shared" si="45"/>
        <v>0</v>
      </c>
      <c r="G94" s="6">
        <f t="shared" si="45"/>
        <v>0</v>
      </c>
      <c r="H94" s="6">
        <f t="shared" si="45"/>
        <v>0</v>
      </c>
      <c r="I94" s="6">
        <f t="shared" si="45"/>
        <v>0</v>
      </c>
      <c r="J94" s="7">
        <f t="shared" si="45"/>
        <v>0</v>
      </c>
      <c r="K94" s="13">
        <f>SUM(B94:J94)</f>
        <v>0</v>
      </c>
      <c r="N94" s="15"/>
      <c r="O94" s="15"/>
      <c r="P94" s="59"/>
      <c r="Q94" s="59"/>
      <c r="R94" s="59"/>
      <c r="S94" s="59"/>
      <c r="T94" s="59"/>
      <c r="W94" s="15"/>
      <c r="X94" s="15"/>
      <c r="Y94" s="15"/>
      <c r="Z94" s="15"/>
      <c r="AA94" s="15"/>
    </row>
    <row r="95" spans="1:27" s="16" customFormat="1" x14ac:dyDescent="0.2">
      <c r="A95" s="30">
        <f>IF((A94-A100)&gt;9,(A94-A100-9),0)</f>
        <v>0</v>
      </c>
      <c r="B95" s="18">
        <f>IF(AND(ISNUMBER($A95),ISNUMBER($A101)),IF((RANK(B$4,$B$4:$J$4,1))&lt;=($A95-$A101),1,0),"")</f>
        <v>0</v>
      </c>
      <c r="C95" s="6">
        <f t="shared" ref="C95:J95" si="46">IF(AND(ISNUMBER($A95),ISNUMBER($A101)),IF((RANK(C$4,$B$4:$J$4,1))&lt;=($A95-$A101),1,0),"")</f>
        <v>0</v>
      </c>
      <c r="D95" s="6">
        <f t="shared" si="46"/>
        <v>0</v>
      </c>
      <c r="E95" s="6">
        <f t="shared" si="46"/>
        <v>0</v>
      </c>
      <c r="F95" s="6">
        <f t="shared" si="46"/>
        <v>0</v>
      </c>
      <c r="G95" s="6">
        <f t="shared" si="46"/>
        <v>0</v>
      </c>
      <c r="H95" s="6">
        <f t="shared" si="46"/>
        <v>0</v>
      </c>
      <c r="I95" s="6">
        <f t="shared" si="46"/>
        <v>0</v>
      </c>
      <c r="J95" s="7">
        <f t="shared" si="46"/>
        <v>0</v>
      </c>
      <c r="K95" s="13">
        <f>SUM(B95:J95)</f>
        <v>0</v>
      </c>
      <c r="N95" s="15"/>
      <c r="O95" s="15"/>
      <c r="P95" s="59"/>
      <c r="Q95" s="59"/>
      <c r="R95" s="59"/>
      <c r="S95" s="59"/>
      <c r="T95" s="59"/>
      <c r="W95" s="15"/>
      <c r="X95" s="15"/>
      <c r="Y95" s="15"/>
      <c r="Z95" s="15"/>
      <c r="AA95" s="15"/>
    </row>
    <row r="96" spans="1:27" s="16" customFormat="1" x14ac:dyDescent="0.2">
      <c r="A96" s="30"/>
      <c r="B96" s="82">
        <f t="shared" ref="B96:J96" si="47">IF(AND(ISNUMBER(B93),ISNUMBER(B94)),B93-B94-B95," ")</f>
        <v>4</v>
      </c>
      <c r="C96" s="83">
        <f t="shared" si="47"/>
        <v>10</v>
      </c>
      <c r="D96" s="83">
        <f t="shared" si="47"/>
        <v>2</v>
      </c>
      <c r="E96" s="83">
        <f t="shared" si="47"/>
        <v>4</v>
      </c>
      <c r="F96" s="83">
        <f t="shared" si="47"/>
        <v>4</v>
      </c>
      <c r="G96" s="83">
        <f t="shared" si="47"/>
        <v>5</v>
      </c>
      <c r="H96" s="83">
        <f t="shared" si="47"/>
        <v>4</v>
      </c>
      <c r="I96" s="83">
        <f t="shared" si="47"/>
        <v>8</v>
      </c>
      <c r="J96" s="84">
        <f t="shared" si="47"/>
        <v>4</v>
      </c>
      <c r="K96" s="13">
        <f>IF(ISNUMBER(FIND("Wins",K97)), 2, IF(ISNUMBER(FIND("Tie",K97)), 1, 0))</f>
        <v>2</v>
      </c>
      <c r="N96" s="15"/>
      <c r="O96" s="15"/>
      <c r="P96" s="59"/>
      <c r="Q96" s="59"/>
      <c r="R96" s="59"/>
      <c r="S96" s="59"/>
      <c r="T96" s="59"/>
      <c r="W96" s="15"/>
      <c r="X96" s="15"/>
      <c r="Y96" s="15"/>
      <c r="Z96" s="15"/>
      <c r="AA96" s="15"/>
    </row>
    <row r="97" spans="1:27" s="16" customFormat="1" ht="13.5" thickBot="1" x14ac:dyDescent="0.25">
      <c r="A97" s="31"/>
      <c r="B97" s="19">
        <f>IF(AND(ISNUMBER(B96),ISNUMBER(B102)),IF(B96&lt;B102, 0+1, (IF(B96&gt;B102, 0-1, 0)))," ")</f>
        <v>0</v>
      </c>
      <c r="C97" s="9">
        <f t="shared" ref="C97:J97" si="48">IF(AND(ISNUMBER(C96),ISNUMBER(C102)),IF(C96&lt;C102, +B97+1, (IF(C96&gt;C102, +B97-1, +B97)))," ")</f>
        <v>-1</v>
      </c>
      <c r="D97" s="9">
        <f t="shared" si="48"/>
        <v>0</v>
      </c>
      <c r="E97" s="9">
        <f t="shared" si="48"/>
        <v>1</v>
      </c>
      <c r="F97" s="9">
        <f t="shared" si="48"/>
        <v>0</v>
      </c>
      <c r="G97" s="9">
        <f t="shared" si="48"/>
        <v>0</v>
      </c>
      <c r="H97" s="9">
        <f t="shared" si="48"/>
        <v>1</v>
      </c>
      <c r="I97" s="9">
        <f t="shared" si="48"/>
        <v>0</v>
      </c>
      <c r="J97" s="10">
        <f t="shared" si="48"/>
        <v>1</v>
      </c>
      <c r="K97" s="14" t="str">
        <f>IF(ISNUMBER(J97),IF(F97&gt;4,"Wins " &amp; F97 &amp; " &amp; 4",IF(G97&gt;3,"Wins " &amp; G97 &amp; " &amp; 3",IF(H97&gt;2,"Wins " &amp; H97 &amp; " &amp; 2",IF(I97&gt;1,"Wins " &amp; I97 &amp; " &amp; 1",IF(J97&gt;J103,"Wins " &amp; J97 &amp; " Up",IF(J97&lt;J103,"Loss","Tie"))))))," ")</f>
        <v>Wins 1 Up</v>
      </c>
      <c r="N97" s="15"/>
      <c r="O97" s="15"/>
      <c r="P97" s="59"/>
      <c r="Q97" s="59"/>
      <c r="R97" s="59"/>
      <c r="S97" s="59"/>
      <c r="T97" s="59"/>
      <c r="W97" s="15"/>
      <c r="X97" s="15"/>
      <c r="Y97" s="15"/>
      <c r="Z97" s="15"/>
      <c r="AA97" s="15"/>
    </row>
    <row r="98" spans="1:27" s="16" customFormat="1" ht="13.5" thickBot="1" x14ac:dyDescent="0.25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N98" s="15"/>
      <c r="O98" s="15"/>
      <c r="P98" s="59"/>
      <c r="Q98" s="59"/>
      <c r="R98" s="59"/>
      <c r="S98" s="59"/>
      <c r="T98" s="59"/>
      <c r="W98" s="15"/>
      <c r="X98" s="15"/>
      <c r="Y98" s="15"/>
      <c r="Z98" s="15"/>
      <c r="AA98" s="15"/>
    </row>
    <row r="99" spans="1:27" s="16" customFormat="1" x14ac:dyDescent="0.2">
      <c r="A99" s="29" t="str">
        <f t="shared" ref="A99:J99" si="49">A24</f>
        <v>Hunter</v>
      </c>
      <c r="B99" s="17">
        <f t="shared" si="49"/>
        <v>4</v>
      </c>
      <c r="C99" s="3">
        <f t="shared" si="49"/>
        <v>5</v>
      </c>
      <c r="D99" s="3">
        <f t="shared" si="49"/>
        <v>5</v>
      </c>
      <c r="E99" s="3">
        <f t="shared" si="49"/>
        <v>6</v>
      </c>
      <c r="F99" s="3">
        <f t="shared" si="49"/>
        <v>2</v>
      </c>
      <c r="G99" s="3">
        <f t="shared" si="49"/>
        <v>5</v>
      </c>
      <c r="H99" s="3">
        <f t="shared" si="49"/>
        <v>6</v>
      </c>
      <c r="I99" s="3">
        <f t="shared" si="49"/>
        <v>7</v>
      </c>
      <c r="J99" s="4">
        <f t="shared" si="49"/>
        <v>5</v>
      </c>
      <c r="K99" s="12">
        <f>SUM(B99:J99)</f>
        <v>45</v>
      </c>
      <c r="N99" s="15"/>
      <c r="O99" s="15"/>
      <c r="P99" s="59"/>
      <c r="Q99" s="59"/>
      <c r="R99" s="59"/>
      <c r="S99" s="59"/>
      <c r="T99" s="59"/>
      <c r="W99" s="15"/>
      <c r="X99" s="15"/>
      <c r="Y99" s="15"/>
      <c r="Z99" s="15"/>
      <c r="AA99" s="15"/>
    </row>
    <row r="100" spans="1:27" s="16" customFormat="1" x14ac:dyDescent="0.2">
      <c r="A100" s="30">
        <f>A25</f>
        <v>7</v>
      </c>
      <c r="B100" s="18">
        <f>IF(AND(ISNUMBER($A94),ISNUMBER($A100)),IF((RANK(B$4,$B$4:$J$4,1))&lt;=($A100-$A94),1,0),"")</f>
        <v>0</v>
      </c>
      <c r="C100" s="6">
        <f t="shared" ref="C100:J100" si="50">IF(AND(ISNUMBER($A94),ISNUMBER($A100)),IF((RANK(C$4,$B$4:$J$4,1))&lt;=($A100-$A94),1,0),"")</f>
        <v>0</v>
      </c>
      <c r="D100" s="6">
        <f t="shared" si="50"/>
        <v>0</v>
      </c>
      <c r="E100" s="6">
        <f t="shared" si="50"/>
        <v>0</v>
      </c>
      <c r="F100" s="6">
        <f t="shared" si="50"/>
        <v>0</v>
      </c>
      <c r="G100" s="6">
        <f t="shared" si="50"/>
        <v>0</v>
      </c>
      <c r="H100" s="6">
        <f t="shared" si="50"/>
        <v>0</v>
      </c>
      <c r="I100" s="6">
        <f t="shared" si="50"/>
        <v>1</v>
      </c>
      <c r="J100" s="7">
        <f t="shared" si="50"/>
        <v>0</v>
      </c>
      <c r="K100" s="13">
        <f>SUM(B100:J100)</f>
        <v>1</v>
      </c>
      <c r="N100" s="15"/>
      <c r="O100" s="15"/>
      <c r="P100" s="59"/>
      <c r="Q100" s="59"/>
      <c r="R100" s="59"/>
      <c r="S100" s="59"/>
      <c r="T100" s="59"/>
      <c r="W100" s="15"/>
      <c r="X100" s="15"/>
      <c r="Y100" s="15"/>
      <c r="Z100" s="15"/>
      <c r="AA100" s="15"/>
    </row>
    <row r="101" spans="1:27" s="16" customFormat="1" x14ac:dyDescent="0.2">
      <c r="A101" s="30">
        <f>IF((A100-A94)&gt;9,(A100-A94-9),0)</f>
        <v>0</v>
      </c>
      <c r="B101" s="18">
        <f>IF(AND(ISNUMBER($A95),ISNUMBER($A101)),IF((RANK(B$4,$B$4:$J$4,1))&lt;=($A101-$A95),1,0),"")</f>
        <v>0</v>
      </c>
      <c r="C101" s="6">
        <f t="shared" ref="C101:J101" si="51">IF(AND(ISNUMBER($A95),ISNUMBER($A101)),IF((RANK(C$4,$B$4:$J$4,1))&lt;=($A101-$A95),1,0),"")</f>
        <v>0</v>
      </c>
      <c r="D101" s="6">
        <f t="shared" si="51"/>
        <v>0</v>
      </c>
      <c r="E101" s="6">
        <f t="shared" si="51"/>
        <v>0</v>
      </c>
      <c r="F101" s="6">
        <f t="shared" si="51"/>
        <v>0</v>
      </c>
      <c r="G101" s="6">
        <f t="shared" si="51"/>
        <v>0</v>
      </c>
      <c r="H101" s="6">
        <f t="shared" si="51"/>
        <v>0</v>
      </c>
      <c r="I101" s="6">
        <f t="shared" si="51"/>
        <v>0</v>
      </c>
      <c r="J101" s="7">
        <f t="shared" si="51"/>
        <v>0</v>
      </c>
      <c r="K101" s="13">
        <f>SUM(B101:J101)</f>
        <v>0</v>
      </c>
      <c r="N101" s="15"/>
      <c r="O101" s="15"/>
      <c r="P101" s="59"/>
      <c r="Q101" s="59"/>
      <c r="R101" s="59"/>
      <c r="S101" s="59"/>
      <c r="T101" s="59"/>
      <c r="W101" s="15"/>
      <c r="X101" s="15"/>
      <c r="Y101" s="15"/>
      <c r="Z101" s="15"/>
      <c r="AA101" s="15"/>
    </row>
    <row r="102" spans="1:27" s="16" customFormat="1" x14ac:dyDescent="0.2">
      <c r="A102" s="30"/>
      <c r="B102" s="82">
        <f t="shared" ref="B102:J102" si="52">IF(AND(ISNUMBER(B99),ISNUMBER(B100)),B99-B100-B101," ")</f>
        <v>4</v>
      </c>
      <c r="C102" s="83">
        <f t="shared" si="52"/>
        <v>5</v>
      </c>
      <c r="D102" s="83">
        <f t="shared" si="52"/>
        <v>5</v>
      </c>
      <c r="E102" s="83">
        <f t="shared" si="52"/>
        <v>6</v>
      </c>
      <c r="F102" s="83">
        <f t="shared" si="52"/>
        <v>2</v>
      </c>
      <c r="G102" s="83">
        <f t="shared" si="52"/>
        <v>5</v>
      </c>
      <c r="H102" s="83">
        <f t="shared" si="52"/>
        <v>6</v>
      </c>
      <c r="I102" s="83">
        <f t="shared" si="52"/>
        <v>6</v>
      </c>
      <c r="J102" s="84">
        <f t="shared" si="52"/>
        <v>5</v>
      </c>
      <c r="K102" s="13">
        <f>IF(ISNUMBER(FIND("Wins",K103)), 2, IF(ISNUMBER(FIND("Tie",K103)), 1, 0))</f>
        <v>0</v>
      </c>
      <c r="N102" s="15"/>
      <c r="O102" s="15"/>
      <c r="P102" s="59"/>
      <c r="Q102" s="59"/>
      <c r="R102" s="59"/>
      <c r="S102" s="59"/>
      <c r="T102" s="59"/>
      <c r="W102" s="15"/>
      <c r="X102" s="15"/>
      <c r="Y102" s="15"/>
      <c r="Z102" s="15"/>
      <c r="AA102" s="15"/>
    </row>
    <row r="103" spans="1:27" s="16" customFormat="1" ht="13.5" thickBot="1" x14ac:dyDescent="0.25">
      <c r="A103" s="31"/>
      <c r="B103" s="19">
        <f>IF(AND(ISNUMBER(B96),ISNUMBER(B102)),IF(B102&lt;B96, 0+1, (IF(B102&gt;B96, 0-1, 0)))," ")</f>
        <v>0</v>
      </c>
      <c r="C103" s="9">
        <f t="shared" ref="C103:J103" si="53">IF(AND(ISNUMBER(C96),ISNUMBER(C102)),IF(C102&lt;C96, +B103+1, (IF(C102&gt;C96, +B103-1, +B103)))," ")</f>
        <v>1</v>
      </c>
      <c r="D103" s="9">
        <f t="shared" si="53"/>
        <v>0</v>
      </c>
      <c r="E103" s="9">
        <f t="shared" si="53"/>
        <v>-1</v>
      </c>
      <c r="F103" s="9">
        <f t="shared" si="53"/>
        <v>0</v>
      </c>
      <c r="G103" s="9">
        <f t="shared" si="53"/>
        <v>0</v>
      </c>
      <c r="H103" s="9">
        <f t="shared" si="53"/>
        <v>-1</v>
      </c>
      <c r="I103" s="9">
        <f t="shared" si="53"/>
        <v>0</v>
      </c>
      <c r="J103" s="10">
        <f t="shared" si="53"/>
        <v>-1</v>
      </c>
      <c r="K103" s="14" t="str">
        <f>IF(ISNUMBER(J103),IF(F103&gt;4,"Wins " &amp; F103 &amp; " &amp; 4",IF(G103&gt;3,"Wins " &amp; G103 &amp; " &amp; 3",IF(H103&gt;2,"Wins " &amp; H103 &amp; " &amp; 2",IF(I103&gt;1,"Wins " &amp; I103 &amp; " &amp; 1",IF(J103&gt;J97,"Wins " &amp; J103 &amp; " Up",IF(J103&lt;J97,"Loss","Tie"))))))," ")</f>
        <v>Loss</v>
      </c>
      <c r="N103" s="15"/>
      <c r="O103" s="15"/>
      <c r="P103" s="59"/>
      <c r="Q103" s="59"/>
      <c r="R103" s="59"/>
      <c r="S103" s="59"/>
      <c r="T103" s="59"/>
      <c r="W103" s="15"/>
      <c r="X103" s="15"/>
      <c r="Y103" s="15"/>
      <c r="Z103" s="15"/>
      <c r="AA103" s="15"/>
    </row>
    <row r="104" spans="1:27" s="16" customFormat="1" x14ac:dyDescent="0.2">
      <c r="A104" s="2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N104" s="15"/>
      <c r="O104" s="15"/>
      <c r="P104" s="59"/>
      <c r="Q104" s="59"/>
      <c r="R104" s="59"/>
      <c r="S104" s="59"/>
      <c r="T104" s="59"/>
      <c r="W104" s="15"/>
      <c r="X104" s="15"/>
      <c r="Y104" s="15"/>
      <c r="Z104" s="15"/>
      <c r="AA104" s="15"/>
    </row>
    <row r="105" spans="1:27" s="16" customFormat="1" ht="13.5" thickBot="1" x14ac:dyDescent="0.25">
      <c r="A105" s="24" t="s">
        <v>13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N105" s="15"/>
      <c r="O105" s="15"/>
      <c r="P105" s="59"/>
      <c r="Q105" s="59"/>
      <c r="R105" s="59"/>
      <c r="S105" s="59"/>
      <c r="T105" s="59"/>
      <c r="W105" s="15"/>
      <c r="X105" s="15"/>
      <c r="Y105" s="15"/>
      <c r="Z105" s="15"/>
      <c r="AA105" s="15"/>
    </row>
    <row r="106" spans="1:27" s="16" customFormat="1" x14ac:dyDescent="0.2">
      <c r="A106" s="29" t="str">
        <f t="shared" ref="A106:J106" si="54">A26</f>
        <v>Brian S</v>
      </c>
      <c r="B106" s="17">
        <f t="shared" si="54"/>
        <v>5</v>
      </c>
      <c r="C106" s="3">
        <f t="shared" si="54"/>
        <v>6</v>
      </c>
      <c r="D106" s="3">
        <f t="shared" si="54"/>
        <v>5</v>
      </c>
      <c r="E106" s="3">
        <f t="shared" si="54"/>
        <v>8</v>
      </c>
      <c r="F106" s="3">
        <f t="shared" si="54"/>
        <v>4</v>
      </c>
      <c r="G106" s="3">
        <f t="shared" si="54"/>
        <v>5</v>
      </c>
      <c r="H106" s="3">
        <f t="shared" si="54"/>
        <v>5</v>
      </c>
      <c r="I106" s="3">
        <f t="shared" si="54"/>
        <v>10</v>
      </c>
      <c r="J106" s="4">
        <f t="shared" si="54"/>
        <v>5</v>
      </c>
      <c r="K106" s="12">
        <f>SUM(B106:J106)</f>
        <v>53</v>
      </c>
      <c r="N106" s="15"/>
      <c r="O106" s="15"/>
      <c r="P106" s="59"/>
      <c r="Q106" s="59"/>
      <c r="R106" s="59"/>
      <c r="S106" s="59"/>
      <c r="T106" s="59"/>
      <c r="W106" s="15"/>
      <c r="X106" s="15"/>
      <c r="Y106" s="15"/>
      <c r="Z106" s="15"/>
      <c r="AA106" s="15"/>
    </row>
    <row r="107" spans="1:27" s="16" customFormat="1" x14ac:dyDescent="0.2">
      <c r="A107" s="30">
        <f>A27</f>
        <v>13</v>
      </c>
      <c r="B107" s="18">
        <f>IF(AND(ISNUMBER($A107),ISNUMBER($A113)),IF((RANK(B$4,$B$4:$J$4,1))&lt;=($A107-$A113),1,0),"")</f>
        <v>0</v>
      </c>
      <c r="C107" s="6">
        <f t="shared" ref="C107:J107" si="55">IF(AND(ISNUMBER($A107),ISNUMBER($A113)),IF((RANK(C$4,$B$4:$J$4,1))&lt;=($A107-$A113),1,0),"")</f>
        <v>1</v>
      </c>
      <c r="D107" s="6">
        <f t="shared" si="55"/>
        <v>0</v>
      </c>
      <c r="E107" s="6">
        <f t="shared" si="55"/>
        <v>0</v>
      </c>
      <c r="F107" s="6">
        <f t="shared" si="55"/>
        <v>0</v>
      </c>
      <c r="G107" s="6">
        <f t="shared" si="55"/>
        <v>0</v>
      </c>
      <c r="H107" s="6">
        <f t="shared" si="55"/>
        <v>0</v>
      </c>
      <c r="I107" s="6">
        <f t="shared" si="55"/>
        <v>1</v>
      </c>
      <c r="J107" s="7">
        <f t="shared" si="55"/>
        <v>1</v>
      </c>
      <c r="K107" s="13">
        <f>SUM(B107:J107)</f>
        <v>3</v>
      </c>
      <c r="N107" s="15"/>
      <c r="O107" s="15"/>
      <c r="P107" s="59"/>
      <c r="Q107" s="59"/>
      <c r="R107" s="59"/>
      <c r="S107" s="59"/>
      <c r="T107" s="59"/>
      <c r="W107" s="15"/>
      <c r="X107" s="15"/>
      <c r="Y107" s="15"/>
      <c r="Z107" s="15"/>
      <c r="AA107" s="15"/>
    </row>
    <row r="108" spans="1:27" s="16" customFormat="1" x14ac:dyDescent="0.2">
      <c r="A108" s="30">
        <f>IF((A107-A113)&gt;9,(A107-A113-9),0)</f>
        <v>0</v>
      </c>
      <c r="B108" s="18">
        <f>IF(AND(ISNUMBER($A108),ISNUMBER($A114)),IF((RANK(B$4,$B$4:$J$4,1))&lt;=($A108-$A114),1,0),"")</f>
        <v>0</v>
      </c>
      <c r="C108" s="6">
        <f t="shared" ref="C108:J108" si="56">IF(AND(ISNUMBER($A108),ISNUMBER($A114)),IF((RANK(C$4,$B$4:$J$4,1))&lt;=($A108-$A114),1,0),"")</f>
        <v>0</v>
      </c>
      <c r="D108" s="6">
        <f t="shared" si="56"/>
        <v>0</v>
      </c>
      <c r="E108" s="6">
        <f t="shared" si="56"/>
        <v>0</v>
      </c>
      <c r="F108" s="6">
        <f t="shared" si="56"/>
        <v>0</v>
      </c>
      <c r="G108" s="6">
        <f t="shared" si="56"/>
        <v>0</v>
      </c>
      <c r="H108" s="6">
        <f t="shared" si="56"/>
        <v>0</v>
      </c>
      <c r="I108" s="6">
        <f t="shared" si="56"/>
        <v>0</v>
      </c>
      <c r="J108" s="7">
        <f t="shared" si="56"/>
        <v>0</v>
      </c>
      <c r="K108" s="13">
        <f>SUM(B108:J108)</f>
        <v>0</v>
      </c>
      <c r="N108" s="15"/>
      <c r="O108" s="15"/>
      <c r="P108" s="59"/>
      <c r="Q108" s="59"/>
      <c r="R108" s="59"/>
      <c r="S108" s="59"/>
      <c r="T108" s="59"/>
      <c r="W108" s="15"/>
      <c r="X108" s="15"/>
      <c r="Y108" s="15"/>
      <c r="Z108" s="15"/>
      <c r="AA108" s="15"/>
    </row>
    <row r="109" spans="1:27" s="16" customFormat="1" x14ac:dyDescent="0.2">
      <c r="A109" s="30"/>
      <c r="B109" s="82">
        <f t="shared" ref="B109:J109" si="57">IF(AND(ISNUMBER(B106),ISNUMBER(B107)),B106-B107-B108," ")</f>
        <v>5</v>
      </c>
      <c r="C109" s="83">
        <f t="shared" si="57"/>
        <v>5</v>
      </c>
      <c r="D109" s="83">
        <f t="shared" si="57"/>
        <v>5</v>
      </c>
      <c r="E109" s="83">
        <f t="shared" si="57"/>
        <v>8</v>
      </c>
      <c r="F109" s="83">
        <f t="shared" si="57"/>
        <v>4</v>
      </c>
      <c r="G109" s="83">
        <f t="shared" si="57"/>
        <v>5</v>
      </c>
      <c r="H109" s="83">
        <f t="shared" si="57"/>
        <v>5</v>
      </c>
      <c r="I109" s="83">
        <f t="shared" si="57"/>
        <v>9</v>
      </c>
      <c r="J109" s="84">
        <f t="shared" si="57"/>
        <v>4</v>
      </c>
      <c r="K109" s="13">
        <f>IF(ISNUMBER(FIND("Wins",K110)), 2, IF(ISNUMBER(FIND("Tie",K110)), 1, 0))</f>
        <v>1</v>
      </c>
      <c r="N109" s="15"/>
      <c r="O109" s="15"/>
      <c r="P109" s="59"/>
      <c r="Q109" s="59"/>
      <c r="R109" s="59"/>
      <c r="S109" s="59"/>
      <c r="T109" s="59"/>
      <c r="W109" s="15"/>
      <c r="X109" s="15"/>
      <c r="Y109" s="15"/>
      <c r="Z109" s="15"/>
      <c r="AA109" s="15"/>
    </row>
    <row r="110" spans="1:27" s="16" customFormat="1" ht="13.5" thickBot="1" x14ac:dyDescent="0.25">
      <c r="A110" s="31"/>
      <c r="B110" s="19">
        <f>IF(AND(ISNUMBER(B109),ISNUMBER(B115)),IF(B109&lt;B115, 0+1, (IF(B109&gt;B115, 0-1, 0)))," ")</f>
        <v>0</v>
      </c>
      <c r="C110" s="9">
        <f t="shared" ref="C110:J110" si="58">IF(AND(ISNUMBER(C109),ISNUMBER(C115)),IF(C109&lt;C115, +B110+1, (IF(C109&gt;C115, +B110-1, +B110)))," ")</f>
        <v>1</v>
      </c>
      <c r="D110" s="9">
        <f t="shared" si="58"/>
        <v>0</v>
      </c>
      <c r="E110" s="9">
        <f t="shared" si="58"/>
        <v>0</v>
      </c>
      <c r="F110" s="9">
        <f t="shared" si="58"/>
        <v>0</v>
      </c>
      <c r="G110" s="9">
        <f t="shared" si="58"/>
        <v>1</v>
      </c>
      <c r="H110" s="9">
        <f t="shared" si="58"/>
        <v>0</v>
      </c>
      <c r="I110" s="9">
        <f t="shared" si="58"/>
        <v>-1</v>
      </c>
      <c r="J110" s="10">
        <f t="shared" si="58"/>
        <v>0</v>
      </c>
      <c r="K110" s="14" t="str">
        <f>IF(ISNUMBER(J110),IF(F110&gt;4,"Wins " &amp; F110 &amp; " &amp; 4",IF(G110&gt;3,"Wins " &amp; G110 &amp; " &amp; 3",IF(H110&gt;2,"Wins " &amp; H110 &amp; " &amp; 2",IF(I110&gt;1,"Wins " &amp; I110 &amp; " &amp; 1",IF(J110&gt;J116,"Wins " &amp; J110 &amp; " Up",IF(J110&lt;J116,"Loss","Tie"))))))," ")</f>
        <v>Tie</v>
      </c>
      <c r="N110" s="15"/>
      <c r="O110" s="15"/>
      <c r="P110" s="59"/>
      <c r="Q110" s="59"/>
      <c r="R110" s="59"/>
      <c r="S110" s="59"/>
      <c r="T110" s="59"/>
      <c r="W110" s="15"/>
      <c r="X110" s="15"/>
      <c r="Y110" s="15"/>
      <c r="Z110" s="15"/>
      <c r="AA110" s="15"/>
    </row>
    <row r="111" spans="1:27" s="16" customFormat="1" ht="13.5" thickBot="1" x14ac:dyDescent="0.25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N111" s="15"/>
      <c r="O111" s="15"/>
      <c r="P111" s="59"/>
      <c r="Q111" s="59"/>
      <c r="R111" s="59"/>
      <c r="S111" s="59"/>
      <c r="T111" s="59"/>
      <c r="W111" s="15"/>
      <c r="X111" s="15"/>
      <c r="Y111" s="15"/>
      <c r="Z111" s="15"/>
      <c r="AA111" s="15"/>
    </row>
    <row r="112" spans="1:27" s="16" customFormat="1" x14ac:dyDescent="0.2">
      <c r="A112" s="29" t="str">
        <f t="shared" ref="A112:J112" si="59">A28</f>
        <v>Tony W</v>
      </c>
      <c r="B112" s="17">
        <f t="shared" si="59"/>
        <v>5</v>
      </c>
      <c r="C112" s="3">
        <f t="shared" si="59"/>
        <v>8</v>
      </c>
      <c r="D112" s="3">
        <f t="shared" si="59"/>
        <v>4</v>
      </c>
      <c r="E112" s="3">
        <f t="shared" si="59"/>
        <v>8</v>
      </c>
      <c r="F112" s="3">
        <f t="shared" si="59"/>
        <v>4</v>
      </c>
      <c r="G112" s="3">
        <f t="shared" si="59"/>
        <v>6</v>
      </c>
      <c r="H112" s="3">
        <f t="shared" si="59"/>
        <v>4</v>
      </c>
      <c r="I112" s="3">
        <f t="shared" si="59"/>
        <v>6</v>
      </c>
      <c r="J112" s="4">
        <f t="shared" si="59"/>
        <v>5</v>
      </c>
      <c r="K112" s="12">
        <f>SUM(B112:J112)</f>
        <v>50</v>
      </c>
      <c r="N112" s="15"/>
      <c r="O112" s="15"/>
      <c r="P112" s="59"/>
      <c r="Q112" s="59"/>
      <c r="R112" s="59"/>
      <c r="S112" s="59"/>
      <c r="T112" s="59"/>
      <c r="W112" s="15"/>
      <c r="X112" s="15"/>
      <c r="Y112" s="15"/>
      <c r="Z112" s="15"/>
      <c r="AA112" s="15"/>
    </row>
    <row r="113" spans="1:27" s="16" customFormat="1" x14ac:dyDescent="0.2">
      <c r="A113" s="30">
        <f>A29</f>
        <v>10</v>
      </c>
      <c r="B113" s="18">
        <f>IF(AND(ISNUMBER($A107),ISNUMBER($A113)),IF((RANK(B$4,$B$4:$J$4,1))&lt;=($A113-$A107),1,0),"")</f>
        <v>0</v>
      </c>
      <c r="C113" s="6">
        <f t="shared" ref="C113:J113" si="60">IF(AND(ISNUMBER($A107),ISNUMBER($A113)),IF((RANK(C$4,$B$4:$J$4,1))&lt;=($A113-$A107),1,0),"")</f>
        <v>0</v>
      </c>
      <c r="D113" s="6">
        <f t="shared" si="60"/>
        <v>0</v>
      </c>
      <c r="E113" s="6">
        <f t="shared" si="60"/>
        <v>0</v>
      </c>
      <c r="F113" s="6">
        <f t="shared" si="60"/>
        <v>0</v>
      </c>
      <c r="G113" s="6">
        <f t="shared" si="60"/>
        <v>0</v>
      </c>
      <c r="H113" s="6">
        <f t="shared" si="60"/>
        <v>0</v>
      </c>
      <c r="I113" s="6">
        <f t="shared" si="60"/>
        <v>0</v>
      </c>
      <c r="J113" s="7">
        <f t="shared" si="60"/>
        <v>0</v>
      </c>
      <c r="K113" s="13">
        <f>SUM(B113:J113)</f>
        <v>0</v>
      </c>
      <c r="N113" s="15"/>
      <c r="O113" s="15"/>
      <c r="P113" s="59"/>
      <c r="Q113" s="59"/>
      <c r="R113" s="59"/>
      <c r="S113" s="59"/>
      <c r="T113" s="59"/>
      <c r="W113" s="15"/>
      <c r="X113" s="15"/>
      <c r="Y113" s="15"/>
      <c r="Z113" s="15"/>
      <c r="AA113" s="15"/>
    </row>
    <row r="114" spans="1:27" s="16" customFormat="1" x14ac:dyDescent="0.2">
      <c r="A114" s="30">
        <f>IF((A113-A107)&gt;9,(A113-A107-9),0)</f>
        <v>0</v>
      </c>
      <c r="B114" s="18">
        <f>IF(AND(ISNUMBER($A108),ISNUMBER($A114)),IF((RANK(B$4,$B$4:$J$4,1))&lt;=($A114-$A108),1,0),"")</f>
        <v>0</v>
      </c>
      <c r="C114" s="6">
        <f t="shared" ref="C114:J114" si="61">IF(AND(ISNUMBER($A108),ISNUMBER($A114)),IF((RANK(C$4,$B$4:$J$4,1))&lt;=($A114-$A108),1,0),"")</f>
        <v>0</v>
      </c>
      <c r="D114" s="6">
        <f t="shared" si="61"/>
        <v>0</v>
      </c>
      <c r="E114" s="6">
        <f t="shared" si="61"/>
        <v>0</v>
      </c>
      <c r="F114" s="6">
        <f t="shared" si="61"/>
        <v>0</v>
      </c>
      <c r="G114" s="6">
        <f t="shared" si="61"/>
        <v>0</v>
      </c>
      <c r="H114" s="6">
        <f t="shared" si="61"/>
        <v>0</v>
      </c>
      <c r="I114" s="6">
        <f t="shared" si="61"/>
        <v>0</v>
      </c>
      <c r="J114" s="7">
        <f t="shared" si="61"/>
        <v>0</v>
      </c>
      <c r="K114" s="13">
        <f>SUM(B114:J114)</f>
        <v>0</v>
      </c>
      <c r="N114" s="15"/>
      <c r="O114" s="15"/>
      <c r="P114" s="59"/>
      <c r="Q114" s="59"/>
      <c r="R114" s="59"/>
      <c r="S114" s="59"/>
      <c r="T114" s="59"/>
      <c r="W114" s="15"/>
      <c r="X114" s="15"/>
      <c r="Y114" s="15"/>
      <c r="Z114" s="15"/>
      <c r="AA114" s="15"/>
    </row>
    <row r="115" spans="1:27" s="16" customFormat="1" x14ac:dyDescent="0.2">
      <c r="A115" s="30"/>
      <c r="B115" s="82">
        <f t="shared" ref="B115:J115" si="62">IF(AND(ISNUMBER(B112),ISNUMBER(B113)),B112-B113-B114," ")</f>
        <v>5</v>
      </c>
      <c r="C115" s="83">
        <f t="shared" si="62"/>
        <v>8</v>
      </c>
      <c r="D115" s="83">
        <f t="shared" si="62"/>
        <v>4</v>
      </c>
      <c r="E115" s="83">
        <f t="shared" si="62"/>
        <v>8</v>
      </c>
      <c r="F115" s="83">
        <f t="shared" si="62"/>
        <v>4</v>
      </c>
      <c r="G115" s="83">
        <f t="shared" si="62"/>
        <v>6</v>
      </c>
      <c r="H115" s="83">
        <f t="shared" si="62"/>
        <v>4</v>
      </c>
      <c r="I115" s="83">
        <f t="shared" si="62"/>
        <v>6</v>
      </c>
      <c r="J115" s="84">
        <f t="shared" si="62"/>
        <v>5</v>
      </c>
      <c r="K115" s="13">
        <f>IF(ISNUMBER(FIND("Wins",K116)), 2, IF(ISNUMBER(FIND("Tie",K116)), 1, 0))</f>
        <v>1</v>
      </c>
      <c r="N115" s="15"/>
      <c r="O115" s="15"/>
      <c r="P115" s="59"/>
      <c r="Q115" s="59"/>
      <c r="R115" s="59"/>
      <c r="S115" s="59"/>
      <c r="T115" s="59"/>
      <c r="W115" s="15"/>
      <c r="X115" s="15"/>
      <c r="Y115" s="15"/>
      <c r="Z115" s="15"/>
      <c r="AA115" s="15"/>
    </row>
    <row r="116" spans="1:27" s="16" customFormat="1" ht="13.5" thickBot="1" x14ac:dyDescent="0.25">
      <c r="A116" s="31"/>
      <c r="B116" s="19">
        <f>IF(AND(ISNUMBER(B109),ISNUMBER(B115)),IF(B115&lt;B109, 0+1, (IF(B115&gt;B109, 0-1, 0)))," ")</f>
        <v>0</v>
      </c>
      <c r="C116" s="9">
        <f t="shared" ref="C116:J116" si="63">IF(AND(ISNUMBER(C109),ISNUMBER(C115)),IF(C115&lt;C109, +B116+1, (IF(C115&gt;C109, +B116-1, +B116)))," ")</f>
        <v>-1</v>
      </c>
      <c r="D116" s="9">
        <f t="shared" si="63"/>
        <v>0</v>
      </c>
      <c r="E116" s="9">
        <f t="shared" si="63"/>
        <v>0</v>
      </c>
      <c r="F116" s="9">
        <f t="shared" si="63"/>
        <v>0</v>
      </c>
      <c r="G116" s="9">
        <f t="shared" si="63"/>
        <v>-1</v>
      </c>
      <c r="H116" s="9">
        <f t="shared" si="63"/>
        <v>0</v>
      </c>
      <c r="I116" s="9">
        <f t="shared" si="63"/>
        <v>1</v>
      </c>
      <c r="J116" s="10">
        <f t="shared" si="63"/>
        <v>0</v>
      </c>
      <c r="K116" s="14" t="str">
        <f>IF(ISNUMBER(J116),IF(F116&gt;4,"Wins " &amp; F116 &amp; " &amp; 4",IF(G116&gt;3,"Wins " &amp; G116 &amp; " &amp; 3",IF(H116&gt;2,"Wins " &amp; H116 &amp; " &amp; 2",IF(I116&gt;1,"Wins " &amp; I116 &amp; " &amp; 1",IF(J116&gt;J110,"Wins " &amp; J116 &amp; " Up",IF(J116&lt;J110,"Loss","Tie"))))))," ")</f>
        <v>Tie</v>
      </c>
      <c r="N116" s="15"/>
      <c r="O116" s="15"/>
      <c r="P116" s="59"/>
      <c r="Q116" s="59"/>
      <c r="R116" s="59"/>
      <c r="S116" s="59"/>
      <c r="T116" s="59"/>
      <c r="W116" s="15"/>
      <c r="X116" s="15"/>
      <c r="Y116" s="15"/>
      <c r="Z116" s="15"/>
      <c r="AA116" s="15"/>
    </row>
    <row r="117" spans="1:27" s="16" customFormat="1" x14ac:dyDescent="0.2">
      <c r="A117" s="26"/>
      <c r="B117" s="85"/>
      <c r="C117" s="85"/>
      <c r="D117" s="85"/>
      <c r="E117" s="85"/>
      <c r="F117" s="85"/>
      <c r="G117" s="85"/>
      <c r="H117" s="85"/>
      <c r="I117" s="85"/>
      <c r="J117" s="85"/>
      <c r="K117" s="15"/>
      <c r="N117" s="15"/>
      <c r="O117" s="15"/>
      <c r="P117" s="59"/>
      <c r="Q117" s="59"/>
      <c r="R117" s="59"/>
      <c r="S117" s="59"/>
      <c r="T117" s="59"/>
      <c r="W117" s="15"/>
      <c r="X117" s="15"/>
      <c r="Y117" s="15"/>
      <c r="Z117" s="15"/>
      <c r="AA117" s="15"/>
    </row>
    <row r="118" spans="1:27" ht="13.5" thickBot="1" x14ac:dyDescent="0.25">
      <c r="A118" s="24" t="s">
        <v>82</v>
      </c>
    </row>
    <row r="119" spans="1:27" x14ac:dyDescent="0.2">
      <c r="A119" s="79" t="str">
        <f t="shared" ref="A119:J119" si="64">A30</f>
        <v xml:space="preserve">Pat </v>
      </c>
      <c r="B119" s="17">
        <f t="shared" si="64"/>
        <v>5</v>
      </c>
      <c r="C119" s="3">
        <f t="shared" si="64"/>
        <v>6</v>
      </c>
      <c r="D119" s="3">
        <f t="shared" si="64"/>
        <v>3</v>
      </c>
      <c r="E119" s="3">
        <f t="shared" si="64"/>
        <v>5</v>
      </c>
      <c r="F119" s="3">
        <f t="shared" si="64"/>
        <v>4</v>
      </c>
      <c r="G119" s="3">
        <f t="shared" si="64"/>
        <v>5</v>
      </c>
      <c r="H119" s="3">
        <f t="shared" si="64"/>
        <v>4</v>
      </c>
      <c r="I119" s="3">
        <f t="shared" si="64"/>
        <v>7</v>
      </c>
      <c r="J119" s="4">
        <f t="shared" si="64"/>
        <v>5</v>
      </c>
      <c r="K119" s="12">
        <f>SUM(B119:J119)</f>
        <v>44</v>
      </c>
    </row>
    <row r="120" spans="1:27" x14ac:dyDescent="0.2">
      <c r="A120" s="80">
        <f>A31</f>
        <v>6</v>
      </c>
      <c r="B120" s="18">
        <f>IF(AND(ISNUMBER($A120),ISNUMBER($A126)),IF((RANK(B$4,$B$4:$J$4,1))&lt;=($A120-$A126),1,0),"")</f>
        <v>0</v>
      </c>
      <c r="C120" s="6">
        <f t="shared" ref="C120:J120" si="65">IF(AND(ISNUMBER($A120),ISNUMBER($A126)),IF((RANK(C$4,$B$4:$J$4,1))&lt;=($A120-$A126),1,0),"")</f>
        <v>0</v>
      </c>
      <c r="D120" s="6">
        <f t="shared" si="65"/>
        <v>0</v>
      </c>
      <c r="E120" s="6">
        <f t="shared" si="65"/>
        <v>0</v>
      </c>
      <c r="F120" s="6">
        <f t="shared" si="65"/>
        <v>0</v>
      </c>
      <c r="G120" s="6">
        <f t="shared" si="65"/>
        <v>0</v>
      </c>
      <c r="H120" s="6">
        <f t="shared" si="65"/>
        <v>0</v>
      </c>
      <c r="I120" s="6">
        <f t="shared" si="65"/>
        <v>0</v>
      </c>
      <c r="J120" s="7">
        <f t="shared" si="65"/>
        <v>0</v>
      </c>
      <c r="K120" s="13">
        <f>SUM(B120:J120)</f>
        <v>0</v>
      </c>
    </row>
    <row r="121" spans="1:27" x14ac:dyDescent="0.2">
      <c r="A121" s="80">
        <f>IF((A120-A126)&gt;9,(A120-A126-9),0)</f>
        <v>0</v>
      </c>
      <c r="B121" s="18">
        <f>IF(AND(ISNUMBER($A121),ISNUMBER($A127)),IF((RANK(B$4,$B$4:$J$4,1))&lt;=($A121-$A127),1,0),"")</f>
        <v>0</v>
      </c>
      <c r="C121" s="6">
        <f t="shared" ref="C121:J121" si="66">IF(AND(ISNUMBER($A121),ISNUMBER($A127)),IF((RANK(C$4,$B$4:$J$4,1))&lt;=($A121-$A127),1,0),"")</f>
        <v>0</v>
      </c>
      <c r="D121" s="6">
        <f t="shared" si="66"/>
        <v>0</v>
      </c>
      <c r="E121" s="6">
        <f t="shared" si="66"/>
        <v>0</v>
      </c>
      <c r="F121" s="6">
        <f t="shared" si="66"/>
        <v>0</v>
      </c>
      <c r="G121" s="6">
        <f t="shared" si="66"/>
        <v>0</v>
      </c>
      <c r="H121" s="6">
        <f t="shared" si="66"/>
        <v>0</v>
      </c>
      <c r="I121" s="6">
        <f t="shared" si="66"/>
        <v>0</v>
      </c>
      <c r="J121" s="7">
        <f t="shared" si="66"/>
        <v>0</v>
      </c>
      <c r="K121" s="13">
        <f>SUM(B121:J121)</f>
        <v>0</v>
      </c>
    </row>
    <row r="122" spans="1:27" x14ac:dyDescent="0.2">
      <c r="A122" s="80"/>
      <c r="B122" s="82">
        <f t="shared" ref="B122:J122" si="67">IF(AND(ISNUMBER(B119),ISNUMBER(B120)),B119-B120-B121," ")</f>
        <v>5</v>
      </c>
      <c r="C122" s="83">
        <f t="shared" si="67"/>
        <v>6</v>
      </c>
      <c r="D122" s="83">
        <f t="shared" si="67"/>
        <v>3</v>
      </c>
      <c r="E122" s="83">
        <f t="shared" si="67"/>
        <v>5</v>
      </c>
      <c r="F122" s="83">
        <f t="shared" si="67"/>
        <v>4</v>
      </c>
      <c r="G122" s="83">
        <f t="shared" si="67"/>
        <v>5</v>
      </c>
      <c r="H122" s="83">
        <f t="shared" si="67"/>
        <v>4</v>
      </c>
      <c r="I122" s="83">
        <f t="shared" si="67"/>
        <v>7</v>
      </c>
      <c r="J122" s="84">
        <f t="shared" si="67"/>
        <v>5</v>
      </c>
      <c r="K122" s="13">
        <f>IF(ISNUMBER(FIND("Wins",K123)), 2, IF(ISNUMBER(FIND("Tie",K123)), 1, 0))</f>
        <v>2</v>
      </c>
    </row>
    <row r="123" spans="1:27" ht="13.5" thickBot="1" x14ac:dyDescent="0.25">
      <c r="A123" s="81"/>
      <c r="B123" s="19">
        <f>IF(AND(ISNUMBER(B122),ISNUMBER(B128)),IF(B122&lt;B128, 0+1, (IF(B122&gt;B128, 0-1, 0)))," ")</f>
        <v>0</v>
      </c>
      <c r="C123" s="9">
        <f t="shared" ref="C123:J123" si="68">IF(AND(ISNUMBER(C122),ISNUMBER(C128)),IF(C122&lt;C128, +B123+1, (IF(C122&gt;C128, +B123-1, +B123)))," ")</f>
        <v>1</v>
      </c>
      <c r="D123" s="9">
        <f t="shared" si="68"/>
        <v>1</v>
      </c>
      <c r="E123" s="9">
        <f t="shared" si="68"/>
        <v>1</v>
      </c>
      <c r="F123" s="9">
        <f t="shared" si="68"/>
        <v>2</v>
      </c>
      <c r="G123" s="9">
        <f t="shared" si="68"/>
        <v>3</v>
      </c>
      <c r="H123" s="9">
        <f t="shared" si="68"/>
        <v>3</v>
      </c>
      <c r="I123" s="9">
        <f t="shared" si="68"/>
        <v>2</v>
      </c>
      <c r="J123" s="10">
        <f t="shared" si="68"/>
        <v>2</v>
      </c>
      <c r="K123" s="14" t="str">
        <f>IF(ISNUMBER(J123),IF(F123&gt;4,"Wins " &amp; F123 &amp; " &amp; 4",IF(G123&gt;3,"Wins " &amp; G123 &amp; " &amp; 3",IF(H123&gt;2,"Wins " &amp; H123 &amp; " &amp; 2",IF(I123&gt;1,"Wins " &amp; I123 &amp; " &amp; 1",IF(J123&gt;J129,"Wins " &amp; J123 &amp; " Up",IF(J123&lt;J129,"Loss","Tie"))))))," ")</f>
        <v>Wins 3 &amp; 2</v>
      </c>
    </row>
    <row r="124" spans="1:27" ht="13.5" thickBot="1" x14ac:dyDescent="0.25">
      <c r="A124" s="32"/>
    </row>
    <row r="125" spans="1:27" x14ac:dyDescent="0.2">
      <c r="A125" s="79" t="str">
        <f t="shared" ref="A125:J125" si="69">A32</f>
        <v>Chris</v>
      </c>
      <c r="B125" s="17">
        <f t="shared" si="69"/>
        <v>6</v>
      </c>
      <c r="C125" s="3">
        <f t="shared" si="69"/>
        <v>8</v>
      </c>
      <c r="D125" s="3">
        <f t="shared" si="69"/>
        <v>4</v>
      </c>
      <c r="E125" s="3">
        <f t="shared" si="69"/>
        <v>6</v>
      </c>
      <c r="F125" s="3">
        <f t="shared" si="69"/>
        <v>6</v>
      </c>
      <c r="G125" s="3">
        <f t="shared" si="69"/>
        <v>8</v>
      </c>
      <c r="H125" s="3">
        <f t="shared" si="69"/>
        <v>5</v>
      </c>
      <c r="I125" s="3">
        <f t="shared" si="69"/>
        <v>6</v>
      </c>
      <c r="J125" s="4">
        <f t="shared" si="69"/>
        <v>6</v>
      </c>
      <c r="K125" s="12">
        <f>SUM(B125:J125)</f>
        <v>55</v>
      </c>
    </row>
    <row r="126" spans="1:27" x14ac:dyDescent="0.2">
      <c r="A126" s="80">
        <f>A33</f>
        <v>15</v>
      </c>
      <c r="B126" s="18">
        <f>IF(AND(ISNUMBER($A120),ISNUMBER($A126)),IF((RANK(B$4,$B$4:$J$4,1))&lt;=($A126-$A120),1,0),"")</f>
        <v>1</v>
      </c>
      <c r="C126" s="6">
        <f t="shared" ref="C126:J126" si="70">IF(AND(ISNUMBER($A120),ISNUMBER($A126)),IF((RANK(C$4,$B$4:$J$4,1))&lt;=($A126-$A120),1,0),"")</f>
        <v>1</v>
      </c>
      <c r="D126" s="6">
        <f t="shared" si="70"/>
        <v>1</v>
      </c>
      <c r="E126" s="6">
        <f t="shared" si="70"/>
        <v>1</v>
      </c>
      <c r="F126" s="6">
        <f t="shared" si="70"/>
        <v>1</v>
      </c>
      <c r="G126" s="6">
        <f t="shared" si="70"/>
        <v>1</v>
      </c>
      <c r="H126" s="6">
        <f t="shared" si="70"/>
        <v>1</v>
      </c>
      <c r="I126" s="6">
        <f t="shared" si="70"/>
        <v>1</v>
      </c>
      <c r="J126" s="7">
        <f t="shared" si="70"/>
        <v>1</v>
      </c>
      <c r="K126" s="13">
        <f>SUM(B126:J126)</f>
        <v>9</v>
      </c>
    </row>
    <row r="127" spans="1:27" x14ac:dyDescent="0.2">
      <c r="A127" s="80">
        <f>IF((A126-A120)&gt;9,(A126-A120-9),0)</f>
        <v>0</v>
      </c>
      <c r="B127" s="18">
        <f>IF(AND(ISNUMBER($A121),ISNUMBER($A127)),IF((RANK(B$4,$B$4:$J$4,1))&lt;=($A127-$A121),1,0),"")</f>
        <v>0</v>
      </c>
      <c r="C127" s="6">
        <f t="shared" ref="C127:J127" si="71">IF(AND(ISNUMBER($A121),ISNUMBER($A127)),IF((RANK(C$4,$B$4:$J$4,1))&lt;=($A127-$A121),1,0),"")</f>
        <v>0</v>
      </c>
      <c r="D127" s="6">
        <f t="shared" si="71"/>
        <v>0</v>
      </c>
      <c r="E127" s="6">
        <f t="shared" si="71"/>
        <v>0</v>
      </c>
      <c r="F127" s="6">
        <f t="shared" si="71"/>
        <v>0</v>
      </c>
      <c r="G127" s="6">
        <f t="shared" si="71"/>
        <v>0</v>
      </c>
      <c r="H127" s="6">
        <f t="shared" si="71"/>
        <v>0</v>
      </c>
      <c r="I127" s="6">
        <f t="shared" si="71"/>
        <v>0</v>
      </c>
      <c r="J127" s="7">
        <f t="shared" si="71"/>
        <v>0</v>
      </c>
      <c r="K127" s="13">
        <f>SUM(B127:J127)</f>
        <v>0</v>
      </c>
    </row>
    <row r="128" spans="1:27" x14ac:dyDescent="0.2">
      <c r="A128" s="80"/>
      <c r="B128" s="82">
        <f t="shared" ref="B128:J128" si="72">IF(AND(ISNUMBER(B125),ISNUMBER(B126)),B125-B126-B127," ")</f>
        <v>5</v>
      </c>
      <c r="C128" s="83">
        <f t="shared" si="72"/>
        <v>7</v>
      </c>
      <c r="D128" s="83">
        <f t="shared" si="72"/>
        <v>3</v>
      </c>
      <c r="E128" s="83">
        <f t="shared" si="72"/>
        <v>5</v>
      </c>
      <c r="F128" s="83">
        <f t="shared" si="72"/>
        <v>5</v>
      </c>
      <c r="G128" s="83">
        <f t="shared" si="72"/>
        <v>7</v>
      </c>
      <c r="H128" s="83">
        <f t="shared" si="72"/>
        <v>4</v>
      </c>
      <c r="I128" s="83">
        <f t="shared" si="72"/>
        <v>5</v>
      </c>
      <c r="J128" s="84">
        <f t="shared" si="72"/>
        <v>5</v>
      </c>
      <c r="K128" s="13">
        <f>IF(ISNUMBER(FIND("Wins",K129)), 2, IF(ISNUMBER(FIND("Tie",K129)), 1, 0))</f>
        <v>0</v>
      </c>
    </row>
    <row r="129" spans="1:11" ht="13.5" thickBot="1" x14ac:dyDescent="0.25">
      <c r="A129" s="81"/>
      <c r="B129" s="19">
        <f>IF(AND(ISNUMBER(B122),ISNUMBER(B128)),IF(B128&lt;B122, 0+1, (IF(B128&gt;B122, 0-1, 0)))," ")</f>
        <v>0</v>
      </c>
      <c r="C129" s="9">
        <f t="shared" ref="C129:J129" si="73">IF(AND(ISNUMBER(C122),ISNUMBER(C128)),IF(C128&lt;C122, +B129+1, (IF(C128&gt;C122, +B129-1, +B129)))," ")</f>
        <v>-1</v>
      </c>
      <c r="D129" s="9">
        <f t="shared" si="73"/>
        <v>-1</v>
      </c>
      <c r="E129" s="9">
        <f t="shared" si="73"/>
        <v>-1</v>
      </c>
      <c r="F129" s="9">
        <f t="shared" si="73"/>
        <v>-2</v>
      </c>
      <c r="G129" s="9">
        <f t="shared" si="73"/>
        <v>-3</v>
      </c>
      <c r="H129" s="9">
        <f t="shared" si="73"/>
        <v>-3</v>
      </c>
      <c r="I129" s="9">
        <f t="shared" si="73"/>
        <v>-2</v>
      </c>
      <c r="J129" s="10">
        <f t="shared" si="73"/>
        <v>-2</v>
      </c>
      <c r="K129" s="14" t="str">
        <f>IF(ISNUMBER(J129),IF(F129&gt;4,"Wins " &amp; F129 &amp; " &amp; 4",IF(G129&gt;3,"Wins " &amp; G129 &amp; " &amp; 3",IF(H129&gt;2,"Wins " &amp; H129 &amp; " &amp; 2",IF(I129&gt;1,"Wins " &amp; I129 &amp; " &amp; 1",IF(J129&gt;J123,"Wins " &amp; J129 &amp; " Up",IF(J129&lt;J123,"Loss","Tie"))))))," ")</f>
        <v>Loss</v>
      </c>
    </row>
    <row r="130" spans="1:11" x14ac:dyDescent="0.2">
      <c r="A130" s="26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ht="13.5" thickBot="1" x14ac:dyDescent="0.25">
      <c r="A131" s="24" t="s">
        <v>133</v>
      </c>
    </row>
    <row r="132" spans="1:11" x14ac:dyDescent="0.2">
      <c r="A132" s="29" t="str">
        <f t="shared" ref="A132:J132" si="74">A34</f>
        <v>Gerald C</v>
      </c>
      <c r="B132" s="17">
        <f t="shared" si="74"/>
        <v>8</v>
      </c>
      <c r="C132" s="3">
        <f t="shared" si="74"/>
        <v>6</v>
      </c>
      <c r="D132" s="3">
        <f t="shared" si="74"/>
        <v>5</v>
      </c>
      <c r="E132" s="3">
        <f t="shared" si="74"/>
        <v>9</v>
      </c>
      <c r="F132" s="3">
        <f t="shared" si="74"/>
        <v>7</v>
      </c>
      <c r="G132" s="3">
        <f t="shared" si="74"/>
        <v>6</v>
      </c>
      <c r="H132" s="3">
        <f t="shared" si="74"/>
        <v>6</v>
      </c>
      <c r="I132" s="3">
        <f t="shared" si="74"/>
        <v>9</v>
      </c>
      <c r="J132" s="4">
        <f t="shared" si="74"/>
        <v>5</v>
      </c>
      <c r="K132" s="12">
        <f>SUM(B132:J132)</f>
        <v>61</v>
      </c>
    </row>
    <row r="133" spans="1:11" x14ac:dyDescent="0.2">
      <c r="A133" s="30">
        <f>A35</f>
        <v>12</v>
      </c>
      <c r="B133" s="18">
        <f>IF(AND(ISNUMBER($A133),ISNUMBER($A139)),IF((RANK(B$4,$B$4:$J$4,1))&lt;=($A133-$A139),1,0),"")</f>
        <v>0</v>
      </c>
      <c r="C133" s="6">
        <f t="shared" ref="C133:J133" si="75">IF(AND(ISNUMBER($A133),ISNUMBER($A139)),IF((RANK(C$4,$B$4:$J$4,1))&lt;=($A133-$A139),1,0),"")</f>
        <v>0</v>
      </c>
      <c r="D133" s="6">
        <f t="shared" si="75"/>
        <v>0</v>
      </c>
      <c r="E133" s="6">
        <f t="shared" si="75"/>
        <v>0</v>
      </c>
      <c r="F133" s="6">
        <f t="shared" si="75"/>
        <v>0</v>
      </c>
      <c r="G133" s="6">
        <f t="shared" si="75"/>
        <v>0</v>
      </c>
      <c r="H133" s="6">
        <f t="shared" si="75"/>
        <v>0</v>
      </c>
      <c r="I133" s="6">
        <f t="shared" si="75"/>
        <v>0</v>
      </c>
      <c r="J133" s="7">
        <f t="shared" si="75"/>
        <v>0</v>
      </c>
      <c r="K133" s="13">
        <f>SUM(B133:J133)</f>
        <v>0</v>
      </c>
    </row>
    <row r="134" spans="1:11" x14ac:dyDescent="0.2">
      <c r="A134" s="30">
        <f>IF((A133-A139)&gt;9,(A133-A139-9),0)</f>
        <v>0</v>
      </c>
      <c r="B134" s="18">
        <f>IF(AND(ISNUMBER($A134),ISNUMBER($A140)),IF((RANK(B$4,$B$4:$J$4,1))&lt;=($A134-$A140),1,0),"")</f>
        <v>0</v>
      </c>
      <c r="C134" s="6">
        <f t="shared" ref="C134:J134" si="76">IF(AND(ISNUMBER($A134),ISNUMBER($A140)),IF((RANK(C$4,$B$4:$J$4,1))&lt;=($A134-$A140),1,0),"")</f>
        <v>0</v>
      </c>
      <c r="D134" s="6">
        <f t="shared" si="76"/>
        <v>0</v>
      </c>
      <c r="E134" s="6">
        <f t="shared" si="76"/>
        <v>0</v>
      </c>
      <c r="F134" s="6">
        <f t="shared" si="76"/>
        <v>0</v>
      </c>
      <c r="G134" s="6">
        <f t="shared" si="76"/>
        <v>0</v>
      </c>
      <c r="H134" s="6">
        <f t="shared" si="76"/>
        <v>0</v>
      </c>
      <c r="I134" s="6">
        <f t="shared" si="76"/>
        <v>0</v>
      </c>
      <c r="J134" s="7">
        <f t="shared" si="76"/>
        <v>0</v>
      </c>
      <c r="K134" s="13">
        <f>SUM(B134:J134)</f>
        <v>0</v>
      </c>
    </row>
    <row r="135" spans="1:11" x14ac:dyDescent="0.2">
      <c r="A135" s="30"/>
      <c r="B135" s="82">
        <f t="shared" ref="B135:J135" si="77">IF(AND(ISNUMBER(B132),ISNUMBER(B133)),B132-B133-B134," ")</f>
        <v>8</v>
      </c>
      <c r="C135" s="83">
        <f t="shared" si="77"/>
        <v>6</v>
      </c>
      <c r="D135" s="83">
        <f t="shared" si="77"/>
        <v>5</v>
      </c>
      <c r="E135" s="83">
        <f t="shared" si="77"/>
        <v>9</v>
      </c>
      <c r="F135" s="83">
        <f t="shared" si="77"/>
        <v>7</v>
      </c>
      <c r="G135" s="83">
        <f t="shared" si="77"/>
        <v>6</v>
      </c>
      <c r="H135" s="83">
        <f t="shared" si="77"/>
        <v>6</v>
      </c>
      <c r="I135" s="83">
        <f t="shared" si="77"/>
        <v>9</v>
      </c>
      <c r="J135" s="84">
        <f t="shared" si="77"/>
        <v>5</v>
      </c>
      <c r="K135" s="13">
        <f>IF(ISNUMBER(FIND("Wins",K136)), 2, IF(ISNUMBER(FIND("Tie",K136)), 1, 0))</f>
        <v>0</v>
      </c>
    </row>
    <row r="136" spans="1:11" ht="13.5" thickBot="1" x14ac:dyDescent="0.25">
      <c r="A136" s="31"/>
      <c r="B136" s="19">
        <f>IF(AND(ISNUMBER(B135),ISNUMBER(B141)),IF(B135&lt;B141, 0+1, (IF(B135&gt;B141, 0-1, 0)))," ")</f>
        <v>-1</v>
      </c>
      <c r="C136" s="9">
        <f t="shared" ref="C136:J136" si="78">IF(AND(ISNUMBER(C135),ISNUMBER(C141)),IF(C135&lt;C141, +B136+1, (IF(C135&gt;C141, +B136-1, +B136)))," ")</f>
        <v>0</v>
      </c>
      <c r="D136" s="9">
        <f t="shared" si="78"/>
        <v>-1</v>
      </c>
      <c r="E136" s="9">
        <f t="shared" si="78"/>
        <v>-2</v>
      </c>
      <c r="F136" s="9">
        <f t="shared" si="78"/>
        <v>-3</v>
      </c>
      <c r="G136" s="9">
        <f t="shared" si="78"/>
        <v>-2</v>
      </c>
      <c r="H136" s="9">
        <f t="shared" si="78"/>
        <v>-3</v>
      </c>
      <c r="I136" s="9">
        <f t="shared" si="78"/>
        <v>-4</v>
      </c>
      <c r="J136" s="10">
        <f t="shared" si="78"/>
        <v>-3</v>
      </c>
      <c r="K136" s="14" t="str">
        <f>IF(ISNUMBER(J136),IF(F136&gt;4,"Wins " &amp; F136 &amp; " &amp; 4",IF(G136&gt;3,"Wins " &amp; G136 &amp; " &amp; 3",IF(H136&gt;2,"Wins " &amp; H136 &amp; " &amp; 2",IF(I136&gt;1,"Wins " &amp; I136 &amp; " &amp; 1",IF(J136&gt;J142,"Wins " &amp; J136 &amp; " Up",IF(J136&lt;J142,"Loss","Tie"))))))," ")</f>
        <v>Loss</v>
      </c>
    </row>
    <row r="137" spans="1:11" ht="13.5" thickBot="1" x14ac:dyDescent="0.25">
      <c r="A137" s="32"/>
    </row>
    <row r="138" spans="1:11" x14ac:dyDescent="0.2">
      <c r="A138" s="29" t="str">
        <f t="shared" ref="A138:J138" si="79">A36</f>
        <v>Manny</v>
      </c>
      <c r="B138" s="17">
        <f t="shared" si="79"/>
        <v>5</v>
      </c>
      <c r="C138" s="3">
        <f t="shared" si="79"/>
        <v>8</v>
      </c>
      <c r="D138" s="3">
        <f t="shared" si="79"/>
        <v>4</v>
      </c>
      <c r="E138" s="3">
        <f t="shared" si="79"/>
        <v>6</v>
      </c>
      <c r="F138" s="3">
        <f t="shared" si="79"/>
        <v>3</v>
      </c>
      <c r="G138" s="3">
        <f t="shared" si="79"/>
        <v>7</v>
      </c>
      <c r="H138" s="3">
        <f t="shared" si="79"/>
        <v>5</v>
      </c>
      <c r="I138" s="3">
        <f t="shared" si="79"/>
        <v>6</v>
      </c>
      <c r="J138" s="4">
        <f t="shared" si="79"/>
        <v>6</v>
      </c>
      <c r="K138" s="12">
        <f>SUM(B138:J138)</f>
        <v>50</v>
      </c>
    </row>
    <row r="139" spans="1:11" x14ac:dyDescent="0.2">
      <c r="A139" s="30">
        <f>A37</f>
        <v>14</v>
      </c>
      <c r="B139" s="18">
        <f>IF(AND(ISNUMBER($A133),ISNUMBER($A139)),IF((RANK(B$4,$B$4:$J$4,1))&lt;=($A139-$A133),1,0),"")</f>
        <v>0</v>
      </c>
      <c r="C139" s="6">
        <f t="shared" ref="C139:J139" si="80">IF(AND(ISNUMBER($A133),ISNUMBER($A139)),IF((RANK(C$4,$B$4:$J$4,1))&lt;=($A139-$A133),1,0),"")</f>
        <v>1</v>
      </c>
      <c r="D139" s="6">
        <f t="shared" si="80"/>
        <v>0</v>
      </c>
      <c r="E139" s="6">
        <f t="shared" si="80"/>
        <v>0</v>
      </c>
      <c r="F139" s="6">
        <f t="shared" si="80"/>
        <v>0</v>
      </c>
      <c r="G139" s="6">
        <f t="shared" si="80"/>
        <v>0</v>
      </c>
      <c r="H139" s="6">
        <f t="shared" si="80"/>
        <v>0</v>
      </c>
      <c r="I139" s="6">
        <f t="shared" si="80"/>
        <v>1</v>
      </c>
      <c r="J139" s="7">
        <f t="shared" si="80"/>
        <v>0</v>
      </c>
      <c r="K139" s="13">
        <f>SUM(B139:J139)</f>
        <v>2</v>
      </c>
    </row>
    <row r="140" spans="1:11" x14ac:dyDescent="0.2">
      <c r="A140" s="30">
        <f>IF((A139-A133)&gt;9,(A139-A133-9),0)</f>
        <v>0</v>
      </c>
      <c r="B140" s="18">
        <f>IF(AND(ISNUMBER($A134),ISNUMBER($A140)),IF((RANK(B$4,$B$4:$J$4,1))&lt;=($A140-$A134),1,0),"")</f>
        <v>0</v>
      </c>
      <c r="C140" s="6">
        <f t="shared" ref="C140:J140" si="81">IF(AND(ISNUMBER($A134),ISNUMBER($A140)),IF((RANK(C$4,$B$4:$J$4,1))&lt;=($A140-$A134),1,0),"")</f>
        <v>0</v>
      </c>
      <c r="D140" s="6">
        <f t="shared" si="81"/>
        <v>0</v>
      </c>
      <c r="E140" s="6">
        <f t="shared" si="81"/>
        <v>0</v>
      </c>
      <c r="F140" s="6">
        <f t="shared" si="81"/>
        <v>0</v>
      </c>
      <c r="G140" s="6">
        <f t="shared" si="81"/>
        <v>0</v>
      </c>
      <c r="H140" s="6">
        <f t="shared" si="81"/>
        <v>0</v>
      </c>
      <c r="I140" s="6">
        <f t="shared" si="81"/>
        <v>0</v>
      </c>
      <c r="J140" s="7">
        <f t="shared" si="81"/>
        <v>0</v>
      </c>
      <c r="K140" s="13">
        <f>SUM(B140:J140)</f>
        <v>0</v>
      </c>
    </row>
    <row r="141" spans="1:11" x14ac:dyDescent="0.2">
      <c r="A141" s="30"/>
      <c r="B141" s="82">
        <f t="shared" ref="B141:J141" si="82">IF(AND(ISNUMBER(B138),ISNUMBER(B139)),B138-B139-B140," ")</f>
        <v>5</v>
      </c>
      <c r="C141" s="83">
        <f t="shared" si="82"/>
        <v>7</v>
      </c>
      <c r="D141" s="83">
        <f t="shared" si="82"/>
        <v>4</v>
      </c>
      <c r="E141" s="83">
        <f t="shared" si="82"/>
        <v>6</v>
      </c>
      <c r="F141" s="83">
        <f t="shared" si="82"/>
        <v>3</v>
      </c>
      <c r="G141" s="83">
        <f t="shared" si="82"/>
        <v>7</v>
      </c>
      <c r="H141" s="83">
        <f t="shared" si="82"/>
        <v>5</v>
      </c>
      <c r="I141" s="83">
        <f t="shared" si="82"/>
        <v>5</v>
      </c>
      <c r="J141" s="84">
        <f t="shared" si="82"/>
        <v>6</v>
      </c>
      <c r="K141" s="13">
        <f>IF(ISNUMBER(FIND("Wins",K142)), 2, IF(ISNUMBER(FIND("Tie",K142)), 1, 0))</f>
        <v>2</v>
      </c>
    </row>
    <row r="142" spans="1:11" ht="13.5" thickBot="1" x14ac:dyDescent="0.25">
      <c r="A142" s="31"/>
      <c r="B142" s="19">
        <f>IF(AND(ISNUMBER(B135),ISNUMBER(B141)),IF(B141&lt;B135, 0+1, (IF(B141&gt;B135, 0-1, 0)))," ")</f>
        <v>1</v>
      </c>
      <c r="C142" s="9">
        <f t="shared" ref="C142:J142" si="83">IF(AND(ISNUMBER(C135),ISNUMBER(C141)),IF(C141&lt;C135, +B142+1, (IF(C141&gt;C135, +B142-1, +B142)))," ")</f>
        <v>0</v>
      </c>
      <c r="D142" s="9">
        <f t="shared" si="83"/>
        <v>1</v>
      </c>
      <c r="E142" s="9">
        <f t="shared" si="83"/>
        <v>2</v>
      </c>
      <c r="F142" s="9">
        <f t="shared" si="83"/>
        <v>3</v>
      </c>
      <c r="G142" s="9">
        <f t="shared" si="83"/>
        <v>2</v>
      </c>
      <c r="H142" s="9">
        <f t="shared" si="83"/>
        <v>3</v>
      </c>
      <c r="I142" s="9">
        <f t="shared" si="83"/>
        <v>4</v>
      </c>
      <c r="J142" s="10">
        <f t="shared" si="83"/>
        <v>3</v>
      </c>
      <c r="K142" s="14" t="str">
        <f>IF(ISNUMBER(J142),IF(F142&gt;4,"Wins " &amp; F142 &amp; " &amp; 4",IF(G142&gt;3,"Wins " &amp; G142 &amp; " &amp; 3",IF(H142&gt;2,"Wins " &amp; H142 &amp; " &amp; 2",IF(I142&gt;1,"Wins " &amp; I142 &amp; " &amp; 1",IF(J142&gt;J136,"Wins " &amp; J142 &amp; " Up",IF(J142&lt;J136,"Loss","Tie"))))))," ")</f>
        <v>Wins 3 &amp; 2</v>
      </c>
    </row>
    <row r="143" spans="1:11" x14ac:dyDescent="0.2">
      <c r="A143" s="26"/>
      <c r="B143" s="85"/>
      <c r="C143" s="85"/>
      <c r="D143" s="85"/>
      <c r="E143" s="85"/>
      <c r="F143" s="85"/>
      <c r="G143" s="85"/>
      <c r="H143" s="85"/>
      <c r="I143" s="85"/>
      <c r="J143" s="85"/>
      <c r="K143" s="15"/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43"/>
  <sheetViews>
    <sheetView zoomScaleNormal="100" workbookViewId="0">
      <pane xSplit="1" ySplit="4" topLeftCell="B5" activePane="bottomRight" state="frozen"/>
      <selection activeCell="A144" sqref="A144:XFD169"/>
      <selection pane="topRight" activeCell="A144" sqref="A144:XFD169"/>
      <selection pane="bottomLeft" activeCell="A144" sqref="A144:XFD169"/>
      <selection pane="bottomRight" activeCell="K10" sqref="K10"/>
    </sheetView>
  </sheetViews>
  <sheetFormatPr defaultColWidth="9.140625" defaultRowHeight="12.75" x14ac:dyDescent="0.2"/>
  <cols>
    <col min="1" max="1" width="19.7109375" style="20" customWidth="1"/>
    <col min="2" max="10" width="9.140625" style="2"/>
    <col min="11" max="11" width="13.42578125" style="2" customWidth="1"/>
    <col min="12" max="12" width="9.140625" style="1"/>
    <col min="13" max="13" width="11.140625" style="1" customWidth="1"/>
    <col min="14" max="15" width="11.140625" style="2" customWidth="1"/>
    <col min="16" max="20" width="11.85546875" style="52" customWidth="1"/>
    <col min="21" max="22" width="9.140625" style="1"/>
    <col min="23" max="26" width="9.140625" style="2"/>
    <col min="27" max="27" width="9.85546875" style="2" customWidth="1"/>
    <col min="28" max="16384" width="9.140625" style="1"/>
  </cols>
  <sheetData>
    <row r="1" spans="1:27" ht="13.5" thickBot="1" x14ac:dyDescent="0.25"/>
    <row r="2" spans="1:27" x14ac:dyDescent="0.2">
      <c r="A2" s="21" t="s">
        <v>1</v>
      </c>
      <c r="B2" s="76">
        <f>Courses!C20</f>
        <v>10</v>
      </c>
      <c r="C2" s="34">
        <f>Courses!D20</f>
        <v>11</v>
      </c>
      <c r="D2" s="34">
        <f>Courses!E20</f>
        <v>12</v>
      </c>
      <c r="E2" s="34">
        <f>Courses!F20</f>
        <v>13</v>
      </c>
      <c r="F2" s="34">
        <f>Courses!G20</f>
        <v>14</v>
      </c>
      <c r="G2" s="34">
        <f>Courses!H20</f>
        <v>15</v>
      </c>
      <c r="H2" s="34">
        <f>Courses!I20</f>
        <v>16</v>
      </c>
      <c r="I2" s="34">
        <f>Courses!J20</f>
        <v>17</v>
      </c>
      <c r="J2" s="35">
        <f>Courses!K20</f>
        <v>18</v>
      </c>
      <c r="K2" s="73"/>
    </row>
    <row r="3" spans="1:27" x14ac:dyDescent="0.2">
      <c r="A3" s="22" t="s">
        <v>2</v>
      </c>
      <c r="B3" s="77">
        <f>Courses!C21</f>
        <v>5</v>
      </c>
      <c r="C3" s="39">
        <f>Courses!D21</f>
        <v>3</v>
      </c>
      <c r="D3" s="39">
        <f>Courses!E21</f>
        <v>4</v>
      </c>
      <c r="E3" s="39">
        <f>Courses!F21</f>
        <v>4</v>
      </c>
      <c r="F3" s="39">
        <f>Courses!G21</f>
        <v>3</v>
      </c>
      <c r="G3" s="39">
        <f>Courses!H21</f>
        <v>4</v>
      </c>
      <c r="H3" s="39">
        <f>Courses!I21</f>
        <v>4</v>
      </c>
      <c r="I3" s="39">
        <f>Courses!J21</f>
        <v>5</v>
      </c>
      <c r="J3" s="40">
        <f>Courses!K21</f>
        <v>4</v>
      </c>
      <c r="K3" s="74">
        <f>SUM(B3:J3)</f>
        <v>36</v>
      </c>
      <c r="P3" s="55" t="s">
        <v>32</v>
      </c>
    </row>
    <row r="4" spans="1:27" ht="13.5" thickBot="1" x14ac:dyDescent="0.25">
      <c r="A4" s="23" t="s">
        <v>3</v>
      </c>
      <c r="B4" s="78">
        <f>Courses!C22</f>
        <v>4</v>
      </c>
      <c r="C4" s="44">
        <f>Courses!D22</f>
        <v>16</v>
      </c>
      <c r="D4" s="44">
        <f>Courses!E22</f>
        <v>10</v>
      </c>
      <c r="E4" s="44">
        <f>Courses!F22</f>
        <v>12</v>
      </c>
      <c r="F4" s="44">
        <f>Courses!G22</f>
        <v>18</v>
      </c>
      <c r="G4" s="44">
        <f>Courses!H22</f>
        <v>14</v>
      </c>
      <c r="H4" s="44">
        <f>Courses!I22</f>
        <v>6</v>
      </c>
      <c r="I4" s="44">
        <f>Courses!J22</f>
        <v>2</v>
      </c>
      <c r="J4" s="45">
        <f>Courses!K22</f>
        <v>8</v>
      </c>
      <c r="K4" s="75"/>
      <c r="P4" s="52" t="s">
        <v>126</v>
      </c>
      <c r="Q4" s="52" t="s">
        <v>128</v>
      </c>
      <c r="R4" s="52" t="s">
        <v>33</v>
      </c>
      <c r="T4" s="52" t="s">
        <v>129</v>
      </c>
    </row>
    <row r="5" spans="1:27" ht="13.5" thickBot="1" x14ac:dyDescent="0.25">
      <c r="A5" s="26"/>
      <c r="M5" s="167" t="s">
        <v>16</v>
      </c>
      <c r="N5" s="232" t="s">
        <v>17</v>
      </c>
      <c r="O5" s="232" t="s">
        <v>36</v>
      </c>
      <c r="P5" s="161" t="str">
        <f>Results!C40</f>
        <v>Long Drive</v>
      </c>
      <c r="Q5" s="50" t="str">
        <f>Results!D40</f>
        <v>Closest to Pin</v>
      </c>
      <c r="R5" s="50" t="str">
        <f>Results!E40</f>
        <v>Long Putt</v>
      </c>
      <c r="S5" s="50" t="str">
        <f>Results!F40</f>
        <v>Secret Snowman</v>
      </c>
      <c r="T5" s="51" t="str">
        <f>Results!G40</f>
        <v>Closest to Pin</v>
      </c>
      <c r="V5" s="2">
        <v>1</v>
      </c>
      <c r="W5" s="2">
        <v>2</v>
      </c>
      <c r="X5" s="2">
        <v>3</v>
      </c>
      <c r="Y5" s="2">
        <v>4</v>
      </c>
      <c r="Z5" s="2">
        <v>5</v>
      </c>
    </row>
    <row r="6" spans="1:27" x14ac:dyDescent="0.2">
      <c r="A6" s="21" t="str">
        <f>Matchups!D3</f>
        <v>Rick</v>
      </c>
      <c r="B6" s="115">
        <v>6</v>
      </c>
      <c r="C6" s="116">
        <v>4</v>
      </c>
      <c r="D6" s="116">
        <v>5</v>
      </c>
      <c r="E6" s="116">
        <v>3</v>
      </c>
      <c r="F6" s="116">
        <v>2</v>
      </c>
      <c r="G6" s="116">
        <v>6</v>
      </c>
      <c r="H6" s="116">
        <v>5</v>
      </c>
      <c r="I6" s="116">
        <v>6</v>
      </c>
      <c r="J6" s="117">
        <v>5</v>
      </c>
      <c r="K6" s="5">
        <f>SUM(B6:J6)</f>
        <v>42</v>
      </c>
      <c r="M6" s="90" t="str">
        <f>A8</f>
        <v>Mil</v>
      </c>
      <c r="N6" s="5">
        <f>K8</f>
        <v>43</v>
      </c>
      <c r="O6" s="5">
        <f>K57</f>
        <v>0</v>
      </c>
      <c r="P6" s="162"/>
      <c r="Q6" s="65"/>
      <c r="R6" s="65"/>
      <c r="S6" s="65"/>
      <c r="T6" s="153"/>
      <c r="V6" s="2" t="str">
        <f t="shared" ref="V6:V37" si="0">IF($S$39=V$5,S6*V$5,"")</f>
        <v/>
      </c>
      <c r="W6" s="2" t="str">
        <f t="shared" ref="W6:W37" si="1">IF($S$39=W$5,S6*W$5,"")</f>
        <v/>
      </c>
      <c r="X6" s="2" t="str">
        <f t="shared" ref="X6:X37" si="2">IF($S$39=X$5,S6*X$5,"")</f>
        <v/>
      </c>
      <c r="Y6" s="2" t="str">
        <f t="shared" ref="Y6:Y37" si="3">IF($S$39=Y$5,S6*Y$5,"")</f>
        <v/>
      </c>
      <c r="Z6" s="2" t="str">
        <f t="shared" ref="Z6:Z37" si="4">IF($S$39=Z$5,S6*Z$5,"")</f>
        <v/>
      </c>
      <c r="AA6" s="144">
        <f>IF(SUM(V6:Z6)=0,0,Setup!F$44/SUM(V6:Z6))</f>
        <v>0</v>
      </c>
    </row>
    <row r="7" spans="1:27" hidden="1" x14ac:dyDescent="0.2">
      <c r="A7" s="22">
        <f>Matchups!D4</f>
        <v>7</v>
      </c>
      <c r="B7" s="118"/>
      <c r="C7" s="119"/>
      <c r="D7" s="119"/>
      <c r="E7" s="119"/>
      <c r="F7" s="119"/>
      <c r="G7" s="119"/>
      <c r="H7" s="119"/>
      <c r="I7" s="119"/>
      <c r="J7" s="120"/>
      <c r="K7" s="8"/>
      <c r="M7" s="91"/>
      <c r="N7" s="8"/>
      <c r="O7" s="8"/>
      <c r="P7" s="164"/>
      <c r="Q7" s="66"/>
      <c r="R7" s="66"/>
      <c r="S7" s="66"/>
      <c r="T7" s="154"/>
      <c r="V7" s="2" t="str">
        <f t="shared" si="0"/>
        <v/>
      </c>
      <c r="W7" s="2" t="str">
        <f t="shared" si="1"/>
        <v/>
      </c>
      <c r="X7" s="2" t="str">
        <f t="shared" si="2"/>
        <v/>
      </c>
      <c r="Y7" s="2" t="str">
        <f t="shared" si="3"/>
        <v/>
      </c>
      <c r="Z7" s="2" t="str">
        <f t="shared" si="4"/>
        <v/>
      </c>
      <c r="AA7" s="144">
        <f>IF(SUM(V7:Z7)=0,0,Setup!F$44/SUM(V7:Z7))</f>
        <v>0</v>
      </c>
    </row>
    <row r="8" spans="1:27" x14ac:dyDescent="0.2">
      <c r="A8" s="22" t="str">
        <f>Matchups!D5</f>
        <v>Mil</v>
      </c>
      <c r="B8" s="118">
        <v>5</v>
      </c>
      <c r="C8" s="119">
        <v>4</v>
      </c>
      <c r="D8" s="119">
        <v>4</v>
      </c>
      <c r="E8" s="119">
        <v>4</v>
      </c>
      <c r="F8" s="119">
        <v>3</v>
      </c>
      <c r="G8" s="119">
        <v>7</v>
      </c>
      <c r="H8" s="119">
        <v>5</v>
      </c>
      <c r="I8" s="119">
        <v>6</v>
      </c>
      <c r="J8" s="120">
        <v>5</v>
      </c>
      <c r="K8" s="8">
        <f t="shared" ref="K8:K28" si="5">SUM(B8:J8)</f>
        <v>43</v>
      </c>
      <c r="M8" s="91" t="str">
        <f>A18</f>
        <v>John</v>
      </c>
      <c r="N8" s="8">
        <f>K18</f>
        <v>44</v>
      </c>
      <c r="O8" s="8">
        <f>K76</f>
        <v>1</v>
      </c>
      <c r="P8" s="164"/>
      <c r="Q8" s="66"/>
      <c r="R8" s="66"/>
      <c r="S8" s="66"/>
      <c r="T8" s="154"/>
      <c r="V8" s="2" t="str">
        <f t="shared" si="0"/>
        <v/>
      </c>
      <c r="W8" s="2" t="str">
        <f t="shared" si="1"/>
        <v/>
      </c>
      <c r="X8" s="2" t="str">
        <f t="shared" si="2"/>
        <v/>
      </c>
      <c r="Y8" s="2" t="str">
        <f t="shared" si="3"/>
        <v/>
      </c>
      <c r="Z8" s="2" t="str">
        <f t="shared" si="4"/>
        <v/>
      </c>
      <c r="AA8" s="144">
        <f>IF(SUM(V8:Z8)=0,0,Setup!F$44/SUM(V8:Z8))</f>
        <v>0</v>
      </c>
    </row>
    <row r="9" spans="1:27" hidden="1" x14ac:dyDescent="0.2">
      <c r="A9" s="22">
        <f>Matchups!D6</f>
        <v>6</v>
      </c>
      <c r="B9" s="118"/>
      <c r="C9" s="119"/>
      <c r="D9" s="119"/>
      <c r="E9" s="119"/>
      <c r="F9" s="119"/>
      <c r="G9" s="119"/>
      <c r="H9" s="119"/>
      <c r="I9" s="119"/>
      <c r="J9" s="120"/>
      <c r="K9" s="8"/>
      <c r="M9" s="91"/>
      <c r="N9" s="8"/>
      <c r="O9" s="8"/>
      <c r="P9" s="164"/>
      <c r="Q9" s="66"/>
      <c r="R9" s="66"/>
      <c r="S9" s="66"/>
      <c r="T9" s="154"/>
      <c r="V9" s="2" t="str">
        <f t="shared" si="0"/>
        <v/>
      </c>
      <c r="W9" s="2" t="str">
        <f t="shared" si="1"/>
        <v/>
      </c>
      <c r="X9" s="2" t="str">
        <f t="shared" si="2"/>
        <v/>
      </c>
      <c r="Y9" s="2" t="str">
        <f t="shared" si="3"/>
        <v/>
      </c>
      <c r="Z9" s="2" t="str">
        <f t="shared" si="4"/>
        <v/>
      </c>
      <c r="AA9" s="144">
        <f>IF(SUM(V9:Z9)=0,0,Setup!F$44/SUM(V9:Z9))</f>
        <v>0</v>
      </c>
    </row>
    <row r="10" spans="1:27" x14ac:dyDescent="0.2">
      <c r="A10" s="22" t="str">
        <f>Matchups!D7</f>
        <v>Tommy</v>
      </c>
      <c r="B10" s="118">
        <v>6</v>
      </c>
      <c r="C10" s="119">
        <v>3</v>
      </c>
      <c r="D10" s="119">
        <v>4</v>
      </c>
      <c r="E10" s="119">
        <v>4</v>
      </c>
      <c r="F10" s="119">
        <v>2</v>
      </c>
      <c r="G10" s="119">
        <v>4</v>
      </c>
      <c r="H10" s="119">
        <v>5</v>
      </c>
      <c r="I10" s="119">
        <v>6</v>
      </c>
      <c r="J10" s="120">
        <v>5</v>
      </c>
      <c r="K10" s="8">
        <f t="shared" si="5"/>
        <v>39</v>
      </c>
      <c r="M10" s="91" t="str">
        <f>A22</f>
        <v>Brian P</v>
      </c>
      <c r="N10" s="8">
        <f>K22</f>
        <v>51</v>
      </c>
      <c r="O10" s="8">
        <f>K96</f>
        <v>2</v>
      </c>
      <c r="P10" s="164"/>
      <c r="Q10" s="66"/>
      <c r="R10" s="66"/>
      <c r="S10" s="66"/>
      <c r="T10" s="154"/>
      <c r="V10" s="2" t="str">
        <f t="shared" si="0"/>
        <v/>
      </c>
      <c r="W10" s="2" t="str">
        <f t="shared" si="1"/>
        <v/>
      </c>
      <c r="X10" s="2" t="str">
        <f t="shared" si="2"/>
        <v/>
      </c>
      <c r="Y10" s="2" t="str">
        <f t="shared" si="3"/>
        <v/>
      </c>
      <c r="Z10" s="2" t="str">
        <f t="shared" si="4"/>
        <v/>
      </c>
      <c r="AA10" s="144">
        <f>IF(SUM(V10:Z10)=0,0,Setup!F$44/SUM(V10:Z10))</f>
        <v>0</v>
      </c>
    </row>
    <row r="11" spans="1:27" hidden="1" x14ac:dyDescent="0.2">
      <c r="A11" s="22">
        <f>Matchups!D8</f>
        <v>5</v>
      </c>
      <c r="B11" s="118"/>
      <c r="C11" s="119"/>
      <c r="D11" s="119"/>
      <c r="E11" s="119"/>
      <c r="F11" s="119"/>
      <c r="G11" s="119"/>
      <c r="H11" s="119"/>
      <c r="I11" s="119"/>
      <c r="J11" s="120"/>
      <c r="K11" s="8"/>
      <c r="M11" s="91"/>
      <c r="N11" s="8"/>
      <c r="O11" s="8"/>
      <c r="P11" s="164"/>
      <c r="Q11" s="66"/>
      <c r="R11" s="66"/>
      <c r="S11" s="66"/>
      <c r="T11" s="154"/>
      <c r="V11" s="2" t="str">
        <f t="shared" si="0"/>
        <v/>
      </c>
      <c r="W11" s="2" t="str">
        <f t="shared" si="1"/>
        <v/>
      </c>
      <c r="X11" s="2" t="str">
        <f t="shared" si="2"/>
        <v/>
      </c>
      <c r="Y11" s="2" t="str">
        <f t="shared" si="3"/>
        <v/>
      </c>
      <c r="Z11" s="2" t="str">
        <f t="shared" si="4"/>
        <v/>
      </c>
      <c r="AA11" s="144">
        <f>IF(SUM(V11:Z11)=0,0,Setup!F$44/SUM(V11:Z11))</f>
        <v>0</v>
      </c>
    </row>
    <row r="12" spans="1:27" ht="13.5" thickBot="1" x14ac:dyDescent="0.25">
      <c r="A12" s="23" t="str">
        <f>Matchups!D9</f>
        <v>Bob</v>
      </c>
      <c r="B12" s="121">
        <v>6</v>
      </c>
      <c r="C12" s="122">
        <v>3</v>
      </c>
      <c r="D12" s="122">
        <v>5</v>
      </c>
      <c r="E12" s="122">
        <v>5</v>
      </c>
      <c r="F12" s="122">
        <v>2</v>
      </c>
      <c r="G12" s="122">
        <v>6</v>
      </c>
      <c r="H12" s="122">
        <v>5</v>
      </c>
      <c r="I12" s="122">
        <v>6</v>
      </c>
      <c r="J12" s="123">
        <v>4</v>
      </c>
      <c r="K12" s="11">
        <f t="shared" si="5"/>
        <v>42</v>
      </c>
      <c r="M12" s="91" t="str">
        <f>A30</f>
        <v xml:space="preserve">Pat </v>
      </c>
      <c r="N12" s="8">
        <f>K30</f>
        <v>47</v>
      </c>
      <c r="O12" s="8">
        <f>K122</f>
        <v>0</v>
      </c>
      <c r="P12" s="164"/>
      <c r="Q12" s="66"/>
      <c r="R12" s="66"/>
      <c r="S12" s="66"/>
      <c r="T12" s="154"/>
      <c r="V12" s="2" t="str">
        <f t="shared" si="0"/>
        <v/>
      </c>
      <c r="W12" s="2" t="str">
        <f t="shared" si="1"/>
        <v/>
      </c>
      <c r="X12" s="2" t="str">
        <f t="shared" si="2"/>
        <v/>
      </c>
      <c r="Y12" s="2" t="str">
        <f t="shared" si="3"/>
        <v/>
      </c>
      <c r="Z12" s="2" t="str">
        <f t="shared" si="4"/>
        <v/>
      </c>
      <c r="AA12" s="144">
        <f>IF(SUM(V12:Z12)=0,0,Setup!F$44/SUM(V12:Z12))</f>
        <v>0</v>
      </c>
    </row>
    <row r="13" spans="1:27" ht="13.5" hidden="1" thickBot="1" x14ac:dyDescent="0.25">
      <c r="A13" s="686">
        <f>Matchups!D10</f>
        <v>10</v>
      </c>
      <c r="B13" s="124"/>
      <c r="C13" s="125"/>
      <c r="D13" s="125"/>
      <c r="E13" s="125"/>
      <c r="F13" s="125"/>
      <c r="G13" s="125"/>
      <c r="H13" s="125"/>
      <c r="I13" s="125"/>
      <c r="J13" s="126"/>
      <c r="K13" s="89"/>
      <c r="M13" s="133"/>
      <c r="N13" s="70"/>
      <c r="O13" s="70"/>
      <c r="P13" s="165"/>
      <c r="Q13" s="155"/>
      <c r="R13" s="155"/>
      <c r="S13" s="155"/>
      <c r="T13" s="156"/>
      <c r="V13" s="2" t="str">
        <f t="shared" si="0"/>
        <v/>
      </c>
      <c r="W13" s="2" t="str">
        <f t="shared" si="1"/>
        <v/>
      </c>
      <c r="X13" s="2" t="str">
        <f t="shared" si="2"/>
        <v/>
      </c>
      <c r="Y13" s="2" t="str">
        <f t="shared" si="3"/>
        <v/>
      </c>
      <c r="Z13" s="2" t="str">
        <f t="shared" si="4"/>
        <v/>
      </c>
      <c r="AA13" s="144">
        <f>IF(SUM(V13:Z13)=0,0,Setup!F$44/SUM(V13:Z13))</f>
        <v>0</v>
      </c>
    </row>
    <row r="14" spans="1:27" x14ac:dyDescent="0.2">
      <c r="A14" s="21" t="str">
        <f>Matchups!D11</f>
        <v>Dave</v>
      </c>
      <c r="B14" s="339">
        <v>5</v>
      </c>
      <c r="C14" s="116">
        <v>4</v>
      </c>
      <c r="D14" s="116">
        <v>5</v>
      </c>
      <c r="E14" s="116">
        <v>5</v>
      </c>
      <c r="F14" s="116">
        <v>3</v>
      </c>
      <c r="G14" s="116">
        <v>5</v>
      </c>
      <c r="H14" s="116">
        <v>6</v>
      </c>
      <c r="I14" s="116">
        <v>5</v>
      </c>
      <c r="J14" s="117">
        <v>4</v>
      </c>
      <c r="K14" s="12">
        <f t="shared" si="5"/>
        <v>42</v>
      </c>
      <c r="M14" s="226" t="str">
        <f>A6</f>
        <v>Rick</v>
      </c>
      <c r="N14" s="5">
        <f>K6</f>
        <v>42</v>
      </c>
      <c r="O14" s="12">
        <f>K44</f>
        <v>1</v>
      </c>
      <c r="P14" s="297"/>
      <c r="Q14" s="65"/>
      <c r="R14" s="65"/>
      <c r="S14" s="65"/>
      <c r="T14" s="153"/>
      <c r="V14" s="2" t="str">
        <f t="shared" si="0"/>
        <v/>
      </c>
      <c r="W14" s="2" t="str">
        <f t="shared" si="1"/>
        <v/>
      </c>
      <c r="X14" s="2" t="str">
        <f t="shared" si="2"/>
        <v/>
      </c>
      <c r="Y14" s="2" t="str">
        <f t="shared" si="3"/>
        <v/>
      </c>
      <c r="Z14" s="2" t="str">
        <f t="shared" si="4"/>
        <v/>
      </c>
      <c r="AA14" s="144">
        <f>IF(SUM(V14:Z14)=0,0,Setup!F$44/SUM(V14:Z14))</f>
        <v>0</v>
      </c>
    </row>
    <row r="15" spans="1:27" hidden="1" x14ac:dyDescent="0.2">
      <c r="A15" s="22">
        <f>Matchups!D12</f>
        <v>5</v>
      </c>
      <c r="B15" s="341"/>
      <c r="C15" s="119"/>
      <c r="D15" s="119"/>
      <c r="E15" s="119"/>
      <c r="F15" s="119"/>
      <c r="G15" s="119"/>
      <c r="H15" s="119"/>
      <c r="I15" s="119"/>
      <c r="J15" s="120"/>
      <c r="K15" s="13"/>
      <c r="M15" s="227"/>
      <c r="N15" s="8"/>
      <c r="O15" s="13"/>
      <c r="P15" s="191"/>
      <c r="Q15" s="66"/>
      <c r="R15" s="66"/>
      <c r="S15" s="66"/>
      <c r="T15" s="154"/>
      <c r="V15" s="2" t="str">
        <f t="shared" si="0"/>
        <v/>
      </c>
      <c r="W15" s="2" t="str">
        <f t="shared" si="1"/>
        <v/>
      </c>
      <c r="X15" s="2" t="str">
        <f t="shared" si="2"/>
        <v/>
      </c>
      <c r="Y15" s="2" t="str">
        <f t="shared" si="3"/>
        <v/>
      </c>
      <c r="Z15" s="2" t="str">
        <f t="shared" si="4"/>
        <v/>
      </c>
      <c r="AA15" s="144">
        <f>IF(SUM(V15:Z15)=0,0,Setup!F$44/SUM(V15:Z15))</f>
        <v>0</v>
      </c>
    </row>
    <row r="16" spans="1:27" x14ac:dyDescent="0.2">
      <c r="A16" s="22" t="str">
        <f>Matchups!D13</f>
        <v>Keith</v>
      </c>
      <c r="B16" s="341">
        <v>5</v>
      </c>
      <c r="C16" s="119">
        <v>8</v>
      </c>
      <c r="D16" s="119">
        <v>9</v>
      </c>
      <c r="E16" s="119">
        <v>5</v>
      </c>
      <c r="F16" s="119">
        <v>6</v>
      </c>
      <c r="G16" s="119">
        <v>5</v>
      </c>
      <c r="H16" s="119">
        <v>9</v>
      </c>
      <c r="I16" s="119">
        <v>9</v>
      </c>
      <c r="J16" s="120">
        <v>8</v>
      </c>
      <c r="K16" s="13">
        <f t="shared" si="5"/>
        <v>64</v>
      </c>
      <c r="M16" s="227" t="str">
        <f>A16</f>
        <v>Keith</v>
      </c>
      <c r="N16" s="8">
        <f>K16</f>
        <v>64</v>
      </c>
      <c r="O16" s="13">
        <f>K83</f>
        <v>0</v>
      </c>
      <c r="P16" s="191"/>
      <c r="Q16" s="66"/>
      <c r="R16" s="66"/>
      <c r="S16" s="66"/>
      <c r="T16" s="154"/>
      <c r="V16" s="2" t="str">
        <f t="shared" si="0"/>
        <v/>
      </c>
      <c r="W16" s="2" t="str">
        <f t="shared" si="1"/>
        <v/>
      </c>
      <c r="X16" s="2" t="str">
        <f t="shared" si="2"/>
        <v/>
      </c>
      <c r="Y16" s="2" t="str">
        <f t="shared" si="3"/>
        <v/>
      </c>
      <c r="Z16" s="2" t="str">
        <f t="shared" si="4"/>
        <v/>
      </c>
      <c r="AA16" s="144">
        <f>IF(SUM(V16:Z16)=0,0,Setup!F$44/SUM(V16:Z16))</f>
        <v>0</v>
      </c>
    </row>
    <row r="17" spans="1:27" hidden="1" x14ac:dyDescent="0.2">
      <c r="A17" s="22">
        <f>Matchups!D14</f>
        <v>16</v>
      </c>
      <c r="B17" s="341"/>
      <c r="C17" s="119"/>
      <c r="D17" s="119"/>
      <c r="E17" s="119"/>
      <c r="F17" s="119"/>
      <c r="G17" s="119"/>
      <c r="H17" s="119"/>
      <c r="I17" s="119"/>
      <c r="J17" s="120"/>
      <c r="K17" s="13"/>
      <c r="M17" s="227"/>
      <c r="N17" s="8"/>
      <c r="O17" s="13"/>
      <c r="P17" s="191"/>
      <c r="Q17" s="66"/>
      <c r="R17" s="66"/>
      <c r="S17" s="66"/>
      <c r="T17" s="154"/>
      <c r="V17" s="2" t="str">
        <f t="shared" si="0"/>
        <v/>
      </c>
      <c r="W17" s="2" t="str">
        <f t="shared" si="1"/>
        <v/>
      </c>
      <c r="X17" s="2" t="str">
        <f t="shared" si="2"/>
        <v/>
      </c>
      <c r="Y17" s="2" t="str">
        <f t="shared" si="3"/>
        <v/>
      </c>
      <c r="Z17" s="2" t="str">
        <f t="shared" si="4"/>
        <v/>
      </c>
      <c r="AA17" s="144">
        <f>IF(SUM(V17:Z17)=0,0,Setup!F$44/SUM(V17:Z17))</f>
        <v>0</v>
      </c>
    </row>
    <row r="18" spans="1:27" x14ac:dyDescent="0.2">
      <c r="A18" s="22" t="str">
        <f>Matchups!D15</f>
        <v>John</v>
      </c>
      <c r="B18" s="341">
        <v>7</v>
      </c>
      <c r="C18" s="119">
        <v>3</v>
      </c>
      <c r="D18" s="119">
        <v>4</v>
      </c>
      <c r="E18" s="119">
        <v>4</v>
      </c>
      <c r="F18" s="119">
        <v>4</v>
      </c>
      <c r="G18" s="119">
        <v>4</v>
      </c>
      <c r="H18" s="119">
        <v>6</v>
      </c>
      <c r="I18" s="119">
        <v>7</v>
      </c>
      <c r="J18" s="120">
        <v>5</v>
      </c>
      <c r="K18" s="13">
        <f t="shared" si="5"/>
        <v>44</v>
      </c>
      <c r="M18" s="227" t="str">
        <f>A28</f>
        <v>Tony W</v>
      </c>
      <c r="N18" s="8">
        <f>K28</f>
        <v>58</v>
      </c>
      <c r="O18" s="13">
        <f>K115</f>
        <v>0</v>
      </c>
      <c r="P18" s="191"/>
      <c r="Q18" s="66"/>
      <c r="R18" s="66"/>
      <c r="S18" s="66"/>
      <c r="T18" s="154"/>
      <c r="V18" s="2" t="str">
        <f t="shared" si="0"/>
        <v/>
      </c>
      <c r="W18" s="2" t="str">
        <f t="shared" si="1"/>
        <v/>
      </c>
      <c r="X18" s="2" t="str">
        <f t="shared" si="2"/>
        <v/>
      </c>
      <c r="Y18" s="2" t="str">
        <f t="shared" si="3"/>
        <v/>
      </c>
      <c r="Z18" s="2" t="str">
        <f t="shared" si="4"/>
        <v/>
      </c>
      <c r="AA18" s="144">
        <f>IF(SUM(V18:Z18)=0,0,Setup!F$44/SUM(V18:Z18))</f>
        <v>0</v>
      </c>
    </row>
    <row r="19" spans="1:27" hidden="1" x14ac:dyDescent="0.2">
      <c r="A19" s="409">
        <f>Matchups!D16</f>
        <v>7</v>
      </c>
      <c r="B19" s="342"/>
      <c r="C19" s="337"/>
      <c r="D19" s="337"/>
      <c r="E19" s="337"/>
      <c r="F19" s="337"/>
      <c r="G19" s="337"/>
      <c r="H19" s="337"/>
      <c r="I19" s="337"/>
      <c r="J19" s="338"/>
      <c r="K19" s="229"/>
      <c r="M19" s="334"/>
      <c r="N19" s="70"/>
      <c r="O19" s="229"/>
      <c r="P19" s="404"/>
      <c r="Q19" s="155"/>
      <c r="R19" s="155"/>
      <c r="S19" s="155"/>
      <c r="T19" s="156"/>
      <c r="V19" s="2" t="str">
        <f t="shared" si="0"/>
        <v/>
      </c>
      <c r="W19" s="2" t="str">
        <f t="shared" si="1"/>
        <v/>
      </c>
      <c r="X19" s="2" t="str">
        <f t="shared" si="2"/>
        <v/>
      </c>
      <c r="Y19" s="2" t="str">
        <f t="shared" si="3"/>
        <v/>
      </c>
      <c r="Z19" s="2" t="str">
        <f t="shared" si="4"/>
        <v/>
      </c>
      <c r="AA19" s="144">
        <f>IF(SUM(V19:Z19)=0,0,Setup!F$44/SUM(V19:Z19))</f>
        <v>0</v>
      </c>
    </row>
    <row r="20" spans="1:27" ht="13.5" thickBot="1" x14ac:dyDescent="0.25">
      <c r="A20" s="22" t="str">
        <f>Matchups!D17</f>
        <v>Patrick</v>
      </c>
      <c r="B20" s="341">
        <v>6</v>
      </c>
      <c r="C20" s="119">
        <v>3</v>
      </c>
      <c r="D20" s="119">
        <v>5</v>
      </c>
      <c r="E20" s="119">
        <v>4</v>
      </c>
      <c r="F20" s="119">
        <v>5</v>
      </c>
      <c r="G20" s="119">
        <v>6</v>
      </c>
      <c r="H20" s="119">
        <v>9</v>
      </c>
      <c r="I20" s="119">
        <v>7</v>
      </c>
      <c r="J20" s="120">
        <v>5</v>
      </c>
      <c r="K20" s="13">
        <f t="shared" si="5"/>
        <v>50</v>
      </c>
      <c r="M20" s="227" t="str">
        <f>A36</f>
        <v>Manny</v>
      </c>
      <c r="N20" s="8">
        <f>K36</f>
        <v>58</v>
      </c>
      <c r="O20" s="13">
        <f>K141</f>
        <v>0</v>
      </c>
      <c r="P20" s="191"/>
      <c r="Q20" s="66"/>
      <c r="R20" s="66"/>
      <c r="S20" s="66"/>
      <c r="T20" s="154"/>
      <c r="V20" s="2" t="str">
        <f t="shared" si="0"/>
        <v/>
      </c>
      <c r="W20" s="2" t="str">
        <f t="shared" si="1"/>
        <v/>
      </c>
      <c r="X20" s="2" t="str">
        <f t="shared" si="2"/>
        <v/>
      </c>
      <c r="Y20" s="2" t="str">
        <f t="shared" si="3"/>
        <v/>
      </c>
      <c r="Z20" s="2" t="str">
        <f t="shared" si="4"/>
        <v/>
      </c>
      <c r="AA20" s="144">
        <f>IF(SUM(V20:Z20)=0,0,Setup!F$44/SUM(V20:Z20))</f>
        <v>0</v>
      </c>
    </row>
    <row r="21" spans="1:27" ht="13.5" hidden="1" thickBot="1" x14ac:dyDescent="0.25">
      <c r="A21" s="409">
        <f>Matchups!D18</f>
        <v>8</v>
      </c>
      <c r="B21" s="342"/>
      <c r="C21" s="337"/>
      <c r="D21" s="337"/>
      <c r="E21" s="337"/>
      <c r="F21" s="337"/>
      <c r="G21" s="337"/>
      <c r="H21" s="337"/>
      <c r="I21" s="337"/>
      <c r="J21" s="338"/>
      <c r="K21" s="229"/>
      <c r="M21" s="334"/>
      <c r="N21" s="70"/>
      <c r="O21" s="229"/>
      <c r="P21" s="404"/>
      <c r="Q21" s="155"/>
      <c r="R21" s="155"/>
      <c r="S21" s="155"/>
      <c r="T21" s="156"/>
      <c r="V21" s="2" t="str">
        <f t="shared" si="0"/>
        <v/>
      </c>
      <c r="W21" s="2" t="str">
        <f t="shared" si="1"/>
        <v/>
      </c>
      <c r="X21" s="2" t="str">
        <f t="shared" si="2"/>
        <v/>
      </c>
      <c r="Y21" s="2" t="str">
        <f t="shared" si="3"/>
        <v/>
      </c>
      <c r="Z21" s="2" t="str">
        <f t="shared" si="4"/>
        <v/>
      </c>
      <c r="AA21" s="144">
        <f>IF(SUM(V21:Z21)=0,0,Setup!F$44/SUM(V21:Z21))</f>
        <v>0</v>
      </c>
    </row>
    <row r="22" spans="1:27" x14ac:dyDescent="0.2">
      <c r="A22" s="21" t="str">
        <f>Matchups!D19</f>
        <v>Brian P</v>
      </c>
      <c r="B22" s="339">
        <v>7</v>
      </c>
      <c r="C22" s="116">
        <v>7</v>
      </c>
      <c r="D22" s="116">
        <v>5</v>
      </c>
      <c r="E22" s="116">
        <v>7</v>
      </c>
      <c r="F22" s="116">
        <v>4</v>
      </c>
      <c r="G22" s="116">
        <v>5</v>
      </c>
      <c r="H22" s="116">
        <v>6</v>
      </c>
      <c r="I22" s="116">
        <v>5</v>
      </c>
      <c r="J22" s="117">
        <v>5</v>
      </c>
      <c r="K22" s="12">
        <f t="shared" si="5"/>
        <v>51</v>
      </c>
      <c r="M22" s="226" t="str">
        <f>A10</f>
        <v>Tommy</v>
      </c>
      <c r="N22" s="5">
        <f>K10</f>
        <v>39</v>
      </c>
      <c r="O22" s="12">
        <f>K50</f>
        <v>1</v>
      </c>
      <c r="P22" s="297"/>
      <c r="Q22" s="65"/>
      <c r="R22" s="65"/>
      <c r="S22" s="65"/>
      <c r="T22" s="153"/>
      <c r="V22" s="2" t="str">
        <f t="shared" si="0"/>
        <v/>
      </c>
      <c r="W22" s="2" t="str">
        <f t="shared" si="1"/>
        <v/>
      </c>
      <c r="X22" s="2" t="str">
        <f t="shared" si="2"/>
        <v/>
      </c>
      <c r="Y22" s="2" t="str">
        <f t="shared" si="3"/>
        <v/>
      </c>
      <c r="Z22" s="2" t="str">
        <f t="shared" si="4"/>
        <v/>
      </c>
      <c r="AA22" s="144">
        <f>IF(SUM(V22:Z22)=0,0,Setup!F$44/SUM(V22:Z22))</f>
        <v>0</v>
      </c>
    </row>
    <row r="23" spans="1:27" hidden="1" x14ac:dyDescent="0.2">
      <c r="A23" s="22">
        <f>Matchups!D20</f>
        <v>6</v>
      </c>
      <c r="B23" s="341"/>
      <c r="C23" s="119"/>
      <c r="D23" s="119"/>
      <c r="E23" s="119"/>
      <c r="F23" s="119"/>
      <c r="G23" s="119"/>
      <c r="H23" s="119"/>
      <c r="I23" s="119"/>
      <c r="J23" s="120"/>
      <c r="K23" s="13"/>
      <c r="M23" s="227"/>
      <c r="N23" s="8"/>
      <c r="O23" s="13"/>
      <c r="P23" s="191"/>
      <c r="Q23" s="66"/>
      <c r="R23" s="66"/>
      <c r="S23" s="66"/>
      <c r="T23" s="154"/>
      <c r="V23" s="2" t="str">
        <f t="shared" si="0"/>
        <v/>
      </c>
      <c r="W23" s="2" t="str">
        <f t="shared" si="1"/>
        <v/>
      </c>
      <c r="X23" s="2" t="str">
        <f t="shared" si="2"/>
        <v/>
      </c>
      <c r="Y23" s="2" t="str">
        <f t="shared" si="3"/>
        <v/>
      </c>
      <c r="Z23" s="2" t="str">
        <f t="shared" si="4"/>
        <v/>
      </c>
      <c r="AA23" s="144">
        <f>IF(SUM(V23:Z23)=0,0,Setup!F$44/SUM(V23:Z23))</f>
        <v>0</v>
      </c>
    </row>
    <row r="24" spans="1:27" x14ac:dyDescent="0.2">
      <c r="A24" s="22" t="str">
        <f>Matchups!D21</f>
        <v>Hunter</v>
      </c>
      <c r="B24" s="341">
        <v>6</v>
      </c>
      <c r="C24" s="119">
        <v>6</v>
      </c>
      <c r="D24" s="119">
        <v>5</v>
      </c>
      <c r="E24" s="119">
        <v>5</v>
      </c>
      <c r="F24" s="119">
        <v>4</v>
      </c>
      <c r="G24" s="119">
        <v>5</v>
      </c>
      <c r="H24" s="119">
        <v>5</v>
      </c>
      <c r="I24" s="119">
        <v>7</v>
      </c>
      <c r="J24" s="120">
        <v>5</v>
      </c>
      <c r="K24" s="13">
        <f t="shared" si="5"/>
        <v>48</v>
      </c>
      <c r="M24" s="227" t="str">
        <f>A14</f>
        <v>Dave</v>
      </c>
      <c r="N24" s="8">
        <f>K14</f>
        <v>42</v>
      </c>
      <c r="O24" s="13">
        <f>K70</f>
        <v>1</v>
      </c>
      <c r="P24" s="191"/>
      <c r="Q24" s="66"/>
      <c r="R24" s="66"/>
      <c r="S24" s="66"/>
      <c r="T24" s="154"/>
      <c r="V24" s="2" t="str">
        <f t="shared" si="0"/>
        <v/>
      </c>
      <c r="W24" s="2" t="str">
        <f t="shared" si="1"/>
        <v/>
      </c>
      <c r="X24" s="2" t="str">
        <f t="shared" si="2"/>
        <v/>
      </c>
      <c r="Y24" s="2" t="str">
        <f t="shared" si="3"/>
        <v/>
      </c>
      <c r="Z24" s="2" t="str">
        <f t="shared" si="4"/>
        <v/>
      </c>
      <c r="AA24" s="144">
        <f>IF(SUM(V24:Z24)=0,0,Setup!F$44/SUM(V24:Z24))</f>
        <v>0</v>
      </c>
    </row>
    <row r="25" spans="1:27" hidden="1" x14ac:dyDescent="0.2">
      <c r="A25" s="22">
        <f>Matchups!D22</f>
        <v>7</v>
      </c>
      <c r="B25" s="341"/>
      <c r="C25" s="119"/>
      <c r="D25" s="119"/>
      <c r="E25" s="119"/>
      <c r="F25" s="119"/>
      <c r="G25" s="119"/>
      <c r="H25" s="119"/>
      <c r="I25" s="119"/>
      <c r="J25" s="120"/>
      <c r="K25" s="13"/>
      <c r="M25" s="227"/>
      <c r="N25" s="8"/>
      <c r="O25" s="13"/>
      <c r="P25" s="191"/>
      <c r="Q25" s="66"/>
      <c r="R25" s="66"/>
      <c r="S25" s="66"/>
      <c r="T25" s="154"/>
      <c r="V25" s="2" t="str">
        <f t="shared" si="0"/>
        <v/>
      </c>
      <c r="W25" s="2" t="str">
        <f t="shared" si="1"/>
        <v/>
      </c>
      <c r="X25" s="2" t="str">
        <f t="shared" si="2"/>
        <v/>
      </c>
      <c r="Y25" s="2" t="str">
        <f t="shared" si="3"/>
        <v/>
      </c>
      <c r="Z25" s="2" t="str">
        <f t="shared" si="4"/>
        <v/>
      </c>
      <c r="AA25" s="144">
        <f>IF(SUM(V25:Z25)=0,0,Setup!F$44/SUM(V25:Z25))</f>
        <v>0</v>
      </c>
    </row>
    <row r="26" spans="1:27" x14ac:dyDescent="0.2">
      <c r="A26" s="22" t="str">
        <f>Matchups!D23</f>
        <v>Brian S</v>
      </c>
      <c r="B26" s="341">
        <v>6</v>
      </c>
      <c r="C26" s="119">
        <v>7</v>
      </c>
      <c r="D26" s="119">
        <v>5</v>
      </c>
      <c r="E26" s="119">
        <v>5</v>
      </c>
      <c r="F26" s="119">
        <v>5</v>
      </c>
      <c r="G26" s="119">
        <v>8</v>
      </c>
      <c r="H26" s="119">
        <v>7</v>
      </c>
      <c r="I26" s="119">
        <v>7</v>
      </c>
      <c r="J26" s="120">
        <v>7</v>
      </c>
      <c r="K26" s="13">
        <f t="shared" si="5"/>
        <v>57</v>
      </c>
      <c r="M26" s="227" t="str">
        <f>A24</f>
        <v>Hunter</v>
      </c>
      <c r="N26" s="8">
        <f>K24</f>
        <v>48</v>
      </c>
      <c r="O26" s="13">
        <f>K109</f>
        <v>2</v>
      </c>
      <c r="P26" s="191"/>
      <c r="Q26" s="66"/>
      <c r="R26" s="66"/>
      <c r="S26" s="66"/>
      <c r="T26" s="154"/>
      <c r="V26" s="2" t="str">
        <f t="shared" si="0"/>
        <v/>
      </c>
      <c r="W26" s="2" t="str">
        <f t="shared" si="1"/>
        <v/>
      </c>
      <c r="X26" s="2" t="str">
        <f t="shared" si="2"/>
        <v/>
      </c>
      <c r="Y26" s="2" t="str">
        <f t="shared" si="3"/>
        <v/>
      </c>
      <c r="Z26" s="2" t="str">
        <f t="shared" si="4"/>
        <v/>
      </c>
      <c r="AA26" s="144">
        <f>IF(SUM(V26:Z26)=0,0,Setup!F$44/SUM(V26:Z26))</f>
        <v>0</v>
      </c>
    </row>
    <row r="27" spans="1:27" hidden="1" x14ac:dyDescent="0.2">
      <c r="A27" s="22">
        <f>Matchups!D24</f>
        <v>13</v>
      </c>
      <c r="B27" s="341"/>
      <c r="C27" s="119"/>
      <c r="D27" s="119"/>
      <c r="E27" s="119"/>
      <c r="F27" s="119"/>
      <c r="G27" s="119"/>
      <c r="H27" s="119"/>
      <c r="I27" s="119"/>
      <c r="J27" s="120"/>
      <c r="K27" s="13"/>
      <c r="M27" s="227"/>
      <c r="N27" s="8"/>
      <c r="O27" s="13"/>
      <c r="P27" s="191"/>
      <c r="Q27" s="66"/>
      <c r="R27" s="66"/>
      <c r="S27" s="66"/>
      <c r="T27" s="154"/>
      <c r="V27" s="2" t="str">
        <f t="shared" si="0"/>
        <v/>
      </c>
      <c r="W27" s="2" t="str">
        <f t="shared" si="1"/>
        <v/>
      </c>
      <c r="X27" s="2" t="str">
        <f t="shared" si="2"/>
        <v/>
      </c>
      <c r="Y27" s="2" t="str">
        <f t="shared" si="3"/>
        <v/>
      </c>
      <c r="Z27" s="2" t="str">
        <f t="shared" si="4"/>
        <v/>
      </c>
      <c r="AA27" s="144">
        <f>IF(SUM(V27:Z27)=0,0,Setup!F$44/SUM(V27:Z27))</f>
        <v>0</v>
      </c>
    </row>
    <row r="28" spans="1:27" ht="13.5" thickBot="1" x14ac:dyDescent="0.25">
      <c r="A28" s="23" t="str">
        <f>Matchups!D25</f>
        <v>Tony W</v>
      </c>
      <c r="B28" s="343">
        <v>7</v>
      </c>
      <c r="C28" s="122">
        <v>5</v>
      </c>
      <c r="D28" s="122">
        <v>6</v>
      </c>
      <c r="E28" s="122">
        <v>7</v>
      </c>
      <c r="F28" s="122">
        <v>4</v>
      </c>
      <c r="G28" s="122">
        <v>7</v>
      </c>
      <c r="H28" s="122">
        <v>5</v>
      </c>
      <c r="I28" s="122">
        <v>8</v>
      </c>
      <c r="J28" s="123">
        <v>9</v>
      </c>
      <c r="K28" s="14">
        <f t="shared" si="5"/>
        <v>58</v>
      </c>
      <c r="M28" s="227" t="str">
        <f>A34</f>
        <v>Gerald C</v>
      </c>
      <c r="N28" s="8">
        <f>K34</f>
        <v>51</v>
      </c>
      <c r="O28" s="13">
        <f>K128</f>
        <v>2</v>
      </c>
      <c r="P28" s="191"/>
      <c r="Q28" s="66"/>
      <c r="R28" s="66"/>
      <c r="S28" s="66"/>
      <c r="T28" s="154"/>
      <c r="V28" s="2" t="str">
        <f t="shared" si="0"/>
        <v/>
      </c>
      <c r="W28" s="2" t="str">
        <f t="shared" si="1"/>
        <v/>
      </c>
      <c r="X28" s="2" t="str">
        <f t="shared" si="2"/>
        <v/>
      </c>
      <c r="Y28" s="2" t="str">
        <f t="shared" si="3"/>
        <v/>
      </c>
      <c r="Z28" s="2" t="str">
        <f t="shared" si="4"/>
        <v/>
      </c>
      <c r="AA28" s="144">
        <f>IF(SUM(V28:Z28)=0,0,Setup!F$44/SUM(V28:Z28))</f>
        <v>0</v>
      </c>
    </row>
    <row r="29" spans="1:27" ht="13.5" hidden="1" thickBot="1" x14ac:dyDescent="0.25">
      <c r="A29" s="400">
        <f>Matchups!D26</f>
        <v>10</v>
      </c>
      <c r="B29" s="124"/>
      <c r="C29" s="125"/>
      <c r="D29" s="125"/>
      <c r="E29" s="125"/>
      <c r="F29" s="125"/>
      <c r="G29" s="125"/>
      <c r="H29" s="125"/>
      <c r="I29" s="125"/>
      <c r="J29" s="126"/>
      <c r="K29" s="250"/>
      <c r="M29" s="334"/>
      <c r="N29" s="70"/>
      <c r="O29" s="229"/>
      <c r="P29" s="404"/>
      <c r="Q29" s="155"/>
      <c r="R29" s="155"/>
      <c r="S29" s="155"/>
      <c r="T29" s="156"/>
      <c r="V29" s="2" t="str">
        <f t="shared" si="0"/>
        <v/>
      </c>
      <c r="W29" s="2" t="str">
        <f t="shared" si="1"/>
        <v/>
      </c>
      <c r="X29" s="2" t="str">
        <f t="shared" si="2"/>
        <v/>
      </c>
      <c r="Y29" s="2" t="str">
        <f t="shared" si="3"/>
        <v/>
      </c>
      <c r="Z29" s="2" t="str">
        <f t="shared" si="4"/>
        <v/>
      </c>
      <c r="AA29" s="144">
        <f>IF(SUM(V29:Z29)=0,0,Setup!F$44/SUM(V29:Z29))</f>
        <v>0</v>
      </c>
    </row>
    <row r="30" spans="1:27" x14ac:dyDescent="0.2">
      <c r="A30" s="21" t="str">
        <f>Matchups!D27</f>
        <v xml:space="preserve">Pat </v>
      </c>
      <c r="B30" s="339">
        <v>6</v>
      </c>
      <c r="C30" s="116">
        <v>4</v>
      </c>
      <c r="D30" s="116">
        <v>6</v>
      </c>
      <c r="E30" s="116">
        <v>5</v>
      </c>
      <c r="F30" s="116">
        <v>4</v>
      </c>
      <c r="G30" s="116">
        <v>5</v>
      </c>
      <c r="H30" s="116">
        <v>5</v>
      </c>
      <c r="I30" s="116">
        <v>8</v>
      </c>
      <c r="J30" s="401">
        <v>4</v>
      </c>
      <c r="K30" s="5">
        <f>SUM(B30:J30)</f>
        <v>47</v>
      </c>
      <c r="M30" s="226" t="str">
        <f>A12</f>
        <v>Bob</v>
      </c>
      <c r="N30" s="5">
        <f>K12</f>
        <v>42</v>
      </c>
      <c r="O30" s="12">
        <f>K63</f>
        <v>2</v>
      </c>
      <c r="P30" s="297"/>
      <c r="Q30" s="65"/>
      <c r="R30" s="65"/>
      <c r="S30" s="65"/>
      <c r="T30" s="153"/>
      <c r="V30" s="2" t="str">
        <f t="shared" si="0"/>
        <v/>
      </c>
      <c r="W30" s="2" t="str">
        <f t="shared" si="1"/>
        <v/>
      </c>
      <c r="X30" s="2" t="str">
        <f t="shared" si="2"/>
        <v/>
      </c>
      <c r="Y30" s="2" t="str">
        <f t="shared" si="3"/>
        <v/>
      </c>
      <c r="Z30" s="2" t="str">
        <f t="shared" si="4"/>
        <v/>
      </c>
      <c r="AA30" s="144">
        <f>IF(SUM(V30:Z30)=0,0,Setup!F$44/SUM(V30:Z30))</f>
        <v>0</v>
      </c>
    </row>
    <row r="31" spans="1:27" hidden="1" x14ac:dyDescent="0.2">
      <c r="A31" s="22">
        <f>Matchups!D28</f>
        <v>6</v>
      </c>
      <c r="B31" s="341"/>
      <c r="C31" s="119"/>
      <c r="D31" s="119"/>
      <c r="E31" s="119"/>
      <c r="F31" s="119"/>
      <c r="G31" s="119"/>
      <c r="H31" s="119"/>
      <c r="I31" s="119"/>
      <c r="J31" s="402"/>
      <c r="K31" s="8"/>
      <c r="M31" s="227"/>
      <c r="N31" s="8"/>
      <c r="O31" s="13"/>
      <c r="P31" s="191"/>
      <c r="Q31" s="66"/>
      <c r="R31" s="66"/>
      <c r="S31" s="66"/>
      <c r="T31" s="154"/>
      <c r="V31" s="2" t="str">
        <f t="shared" si="0"/>
        <v/>
      </c>
      <c r="W31" s="2" t="str">
        <f t="shared" si="1"/>
        <v/>
      </c>
      <c r="X31" s="2" t="str">
        <f t="shared" si="2"/>
        <v/>
      </c>
      <c r="Y31" s="2" t="str">
        <f t="shared" si="3"/>
        <v/>
      </c>
      <c r="Z31" s="2" t="str">
        <f t="shared" si="4"/>
        <v/>
      </c>
      <c r="AA31" s="144">
        <f>IF(SUM(V31:Z31)=0,0,Setup!F$44/SUM(V31:Z31))</f>
        <v>0</v>
      </c>
    </row>
    <row r="32" spans="1:27" x14ac:dyDescent="0.2">
      <c r="A32" s="22" t="str">
        <f>Matchups!D29</f>
        <v>Chris</v>
      </c>
      <c r="B32" s="341">
        <v>6</v>
      </c>
      <c r="C32" s="119">
        <v>5</v>
      </c>
      <c r="D32" s="119">
        <v>5</v>
      </c>
      <c r="E32" s="119">
        <v>5</v>
      </c>
      <c r="F32" s="119">
        <v>4</v>
      </c>
      <c r="G32" s="119">
        <v>5</v>
      </c>
      <c r="H32" s="119">
        <v>4</v>
      </c>
      <c r="I32" s="119">
        <v>8</v>
      </c>
      <c r="J32" s="402">
        <v>6</v>
      </c>
      <c r="K32" s="8">
        <f>SUM(B32:J32)</f>
        <v>48</v>
      </c>
      <c r="M32" s="227" t="str">
        <f>A20</f>
        <v>Patrick</v>
      </c>
      <c r="N32" s="8">
        <f>K20</f>
        <v>50</v>
      </c>
      <c r="O32" s="13">
        <f>K89</f>
        <v>2</v>
      </c>
      <c r="P32" s="191"/>
      <c r="Q32" s="66"/>
      <c r="R32" s="66"/>
      <c r="S32" s="66"/>
      <c r="T32" s="154"/>
      <c r="V32" s="2" t="str">
        <f t="shared" si="0"/>
        <v/>
      </c>
      <c r="W32" s="2" t="str">
        <f t="shared" si="1"/>
        <v/>
      </c>
      <c r="X32" s="2" t="str">
        <f t="shared" si="2"/>
        <v/>
      </c>
      <c r="Y32" s="2" t="str">
        <f t="shared" si="3"/>
        <v/>
      </c>
      <c r="Z32" s="2" t="str">
        <f t="shared" si="4"/>
        <v/>
      </c>
      <c r="AA32" s="144">
        <f>IF(SUM(V32:Z32)=0,0,Setup!F$44/SUM(V32:Z32))</f>
        <v>0</v>
      </c>
    </row>
    <row r="33" spans="1:27" hidden="1" x14ac:dyDescent="0.2">
      <c r="A33" s="22">
        <f>Matchups!D30</f>
        <v>15</v>
      </c>
      <c r="B33" s="341"/>
      <c r="C33" s="119"/>
      <c r="D33" s="119"/>
      <c r="E33" s="119"/>
      <c r="F33" s="119"/>
      <c r="G33" s="119"/>
      <c r="H33" s="119"/>
      <c r="I33" s="119"/>
      <c r="J33" s="402"/>
      <c r="K33" s="8"/>
      <c r="M33" s="227"/>
      <c r="N33" s="8"/>
      <c r="O33" s="13"/>
      <c r="P33" s="191"/>
      <c r="Q33" s="66"/>
      <c r="R33" s="66"/>
      <c r="S33" s="66"/>
      <c r="T33" s="154"/>
      <c r="V33" s="2" t="str">
        <f t="shared" si="0"/>
        <v/>
      </c>
      <c r="W33" s="2" t="str">
        <f t="shared" si="1"/>
        <v/>
      </c>
      <c r="X33" s="2" t="str">
        <f t="shared" si="2"/>
        <v/>
      </c>
      <c r="Y33" s="2" t="str">
        <f t="shared" si="3"/>
        <v/>
      </c>
      <c r="Z33" s="2" t="str">
        <f t="shared" si="4"/>
        <v/>
      </c>
      <c r="AA33" s="144">
        <f>IF(SUM(V33:Z33)=0,0,Setup!F$44/SUM(V33:Z33))</f>
        <v>0</v>
      </c>
    </row>
    <row r="34" spans="1:27" x14ac:dyDescent="0.2">
      <c r="A34" s="22" t="str">
        <f>Matchups!D31</f>
        <v>Gerald C</v>
      </c>
      <c r="B34" s="341">
        <v>6</v>
      </c>
      <c r="C34" s="119">
        <v>6</v>
      </c>
      <c r="D34" s="119">
        <v>5</v>
      </c>
      <c r="E34" s="119">
        <v>6</v>
      </c>
      <c r="F34" s="119">
        <v>6</v>
      </c>
      <c r="G34" s="119">
        <v>4</v>
      </c>
      <c r="H34" s="119">
        <v>5</v>
      </c>
      <c r="I34" s="119">
        <v>5</v>
      </c>
      <c r="J34" s="402">
        <v>8</v>
      </c>
      <c r="K34" s="8">
        <f>SUM(B34:J34)</f>
        <v>51</v>
      </c>
      <c r="L34" s="425"/>
      <c r="M34" s="227" t="str">
        <f>A26</f>
        <v>Brian S</v>
      </c>
      <c r="N34" s="528">
        <f>K26</f>
        <v>57</v>
      </c>
      <c r="O34" s="535">
        <f>K102</f>
        <v>0</v>
      </c>
      <c r="P34" s="191"/>
      <c r="Q34" s="66"/>
      <c r="R34" s="66"/>
      <c r="S34" s="66"/>
      <c r="T34" s="154"/>
      <c r="V34" s="2" t="str">
        <f t="shared" si="0"/>
        <v/>
      </c>
      <c r="W34" s="2" t="str">
        <f t="shared" si="1"/>
        <v/>
      </c>
      <c r="X34" s="2" t="str">
        <f t="shared" si="2"/>
        <v/>
      </c>
      <c r="Y34" s="2" t="str">
        <f t="shared" si="3"/>
        <v/>
      </c>
      <c r="Z34" s="2" t="str">
        <f t="shared" si="4"/>
        <v/>
      </c>
      <c r="AA34" s="144">
        <f>IF(SUM(V34:Z34)=0,0,Setup!F$44/SUM(V34:Z34))</f>
        <v>0</v>
      </c>
    </row>
    <row r="35" spans="1:27" hidden="1" x14ac:dyDescent="0.2">
      <c r="A35" s="22">
        <f>Matchups!D32</f>
        <v>12</v>
      </c>
      <c r="B35" s="341"/>
      <c r="C35" s="119"/>
      <c r="D35" s="119"/>
      <c r="E35" s="119"/>
      <c r="F35" s="119"/>
      <c r="G35" s="119"/>
      <c r="H35" s="119"/>
      <c r="I35" s="119"/>
      <c r="J35" s="402"/>
      <c r="K35" s="545"/>
      <c r="L35" s="425"/>
      <c r="M35" s="227"/>
      <c r="N35" s="528"/>
      <c r="O35" s="535"/>
      <c r="P35" s="191"/>
      <c r="Q35" s="66"/>
      <c r="R35" s="66"/>
      <c r="S35" s="66"/>
      <c r="T35" s="154"/>
      <c r="V35" s="2" t="str">
        <f t="shared" si="0"/>
        <v/>
      </c>
      <c r="W35" s="2" t="str">
        <f t="shared" si="1"/>
        <v/>
      </c>
      <c r="X35" s="2" t="str">
        <f t="shared" si="2"/>
        <v/>
      </c>
      <c r="Y35" s="2" t="str">
        <f t="shared" si="3"/>
        <v/>
      </c>
      <c r="Z35" s="2" t="str">
        <f t="shared" si="4"/>
        <v/>
      </c>
      <c r="AA35" s="144">
        <f>IF(SUM(V35:Z35)=0,0,Setup!F$44/SUM(V35:Z35))</f>
        <v>0</v>
      </c>
    </row>
    <row r="36" spans="1:27" ht="13.5" thickBot="1" x14ac:dyDescent="0.25">
      <c r="A36" s="23" t="str">
        <f>Matchups!D33</f>
        <v>Manny</v>
      </c>
      <c r="B36" s="343">
        <v>10</v>
      </c>
      <c r="C36" s="122">
        <v>7</v>
      </c>
      <c r="D36" s="122">
        <v>6</v>
      </c>
      <c r="E36" s="122">
        <v>7</v>
      </c>
      <c r="F36" s="122">
        <v>3</v>
      </c>
      <c r="G36" s="122">
        <v>5</v>
      </c>
      <c r="H36" s="122">
        <v>6</v>
      </c>
      <c r="I36" s="122">
        <v>8</v>
      </c>
      <c r="J36" s="403">
        <v>6</v>
      </c>
      <c r="K36" s="11">
        <f>SUM(B36:J36)</f>
        <v>58</v>
      </c>
      <c r="L36" s="425"/>
      <c r="M36" s="228" t="str">
        <f>A32</f>
        <v>Chris</v>
      </c>
      <c r="N36" s="529">
        <f>K32</f>
        <v>48</v>
      </c>
      <c r="O36" s="536">
        <f>K135</f>
        <v>2</v>
      </c>
      <c r="P36" s="192"/>
      <c r="Q36" s="67"/>
      <c r="R36" s="67"/>
      <c r="S36" s="67"/>
      <c r="T36" s="157"/>
      <c r="V36" s="2" t="str">
        <f t="shared" si="0"/>
        <v/>
      </c>
      <c r="W36" s="2" t="str">
        <f t="shared" si="1"/>
        <v/>
      </c>
      <c r="X36" s="2" t="str">
        <f t="shared" si="2"/>
        <v/>
      </c>
      <c r="Y36" s="2" t="str">
        <f t="shared" si="3"/>
        <v/>
      </c>
      <c r="Z36" s="2" t="str">
        <f t="shared" si="4"/>
        <v/>
      </c>
      <c r="AA36" s="144">
        <f>IF(SUM(V36:Z36)=0,0,Setup!F$44/SUM(V36:Z36))</f>
        <v>0</v>
      </c>
    </row>
    <row r="37" spans="1:27" ht="13.5" hidden="1" thickBot="1" x14ac:dyDescent="0.25">
      <c r="A37" s="679">
        <f>Matchups!D34</f>
        <v>14</v>
      </c>
      <c r="B37" s="683"/>
      <c r="C37" s="684"/>
      <c r="D37" s="684"/>
      <c r="E37" s="684"/>
      <c r="F37" s="684"/>
      <c r="G37" s="684"/>
      <c r="H37" s="684"/>
      <c r="I37" s="684"/>
      <c r="J37" s="685"/>
      <c r="K37" s="546"/>
      <c r="L37" s="425"/>
      <c r="M37" s="262"/>
      <c r="N37" s="530"/>
      <c r="O37" s="538"/>
      <c r="P37" s="537"/>
      <c r="Q37" s="158"/>
      <c r="R37" s="158"/>
      <c r="S37" s="158"/>
      <c r="T37" s="159"/>
      <c r="V37" s="2" t="str">
        <f t="shared" si="0"/>
        <v/>
      </c>
      <c r="W37" s="2" t="str">
        <f t="shared" si="1"/>
        <v/>
      </c>
      <c r="X37" s="2" t="str">
        <f t="shared" si="2"/>
        <v/>
      </c>
      <c r="Y37" s="2" t="str">
        <f t="shared" si="3"/>
        <v/>
      </c>
      <c r="Z37" s="2" t="str">
        <f t="shared" si="4"/>
        <v/>
      </c>
      <c r="AA37" s="144">
        <f>IF(SUM(V37:Z37)=0,0,Setup!F$44/SUM(V37:Z37))</f>
        <v>0</v>
      </c>
    </row>
    <row r="38" spans="1:27" x14ac:dyDescent="0.2">
      <c r="A38" s="26"/>
      <c r="B38" s="15"/>
      <c r="C38" s="15"/>
      <c r="D38" s="15"/>
      <c r="E38" s="15"/>
      <c r="F38" s="15"/>
      <c r="G38" s="15"/>
      <c r="H38" s="15"/>
      <c r="I38" s="15"/>
      <c r="J38" s="15"/>
      <c r="K38" s="15"/>
      <c r="AA38" s="139"/>
    </row>
    <row r="39" spans="1:27" x14ac:dyDescent="0.2">
      <c r="S39" s="52">
        <f>COUNTIF(S6:S37,1)</f>
        <v>0</v>
      </c>
    </row>
    <row r="40" spans="1:27" ht="13.5" thickBot="1" x14ac:dyDescent="0.25">
      <c r="A40" s="24" t="s">
        <v>8</v>
      </c>
    </row>
    <row r="41" spans="1:27" x14ac:dyDescent="0.2">
      <c r="A41" s="79" t="str">
        <f t="shared" ref="A41:J41" si="6">A6</f>
        <v>Rick</v>
      </c>
      <c r="B41" s="17">
        <f t="shared" si="6"/>
        <v>6</v>
      </c>
      <c r="C41" s="3">
        <f t="shared" si="6"/>
        <v>4</v>
      </c>
      <c r="D41" s="3">
        <f t="shared" si="6"/>
        <v>5</v>
      </c>
      <c r="E41" s="3">
        <f t="shared" si="6"/>
        <v>3</v>
      </c>
      <c r="F41" s="3">
        <f t="shared" si="6"/>
        <v>2</v>
      </c>
      <c r="G41" s="3">
        <f t="shared" si="6"/>
        <v>6</v>
      </c>
      <c r="H41" s="3">
        <f t="shared" si="6"/>
        <v>5</v>
      </c>
      <c r="I41" s="3">
        <f t="shared" si="6"/>
        <v>6</v>
      </c>
      <c r="J41" s="4">
        <f t="shared" si="6"/>
        <v>5</v>
      </c>
      <c r="K41" s="12">
        <f>SUM(B41:J41)</f>
        <v>42</v>
      </c>
    </row>
    <row r="42" spans="1:27" x14ac:dyDescent="0.2">
      <c r="A42" s="80">
        <f>A7</f>
        <v>7</v>
      </c>
      <c r="B42" s="18">
        <f>IF(AND(ISNUMBER($A42),ISNUMBER($A48)),IF((RANK(B$4,$B$4:$J$4,1))&lt;=($A42-$A48),1,0),"")</f>
        <v>1</v>
      </c>
      <c r="C42" s="6">
        <f t="shared" ref="C42:J43" si="7">IF(AND(ISNUMBER($A42),ISNUMBER($A48)),IF((RANK(C$4,$B$4:$J$4,1))&lt;=($A42-$A48),1,0),"")</f>
        <v>0</v>
      </c>
      <c r="D42" s="6">
        <f t="shared" si="7"/>
        <v>0</v>
      </c>
      <c r="E42" s="6">
        <f t="shared" si="7"/>
        <v>0</v>
      </c>
      <c r="F42" s="6">
        <f t="shared" si="7"/>
        <v>0</v>
      </c>
      <c r="G42" s="6">
        <f t="shared" si="7"/>
        <v>0</v>
      </c>
      <c r="H42" s="6">
        <f t="shared" si="7"/>
        <v>0</v>
      </c>
      <c r="I42" s="6">
        <f t="shared" si="7"/>
        <v>1</v>
      </c>
      <c r="J42" s="7">
        <f t="shared" si="7"/>
        <v>0</v>
      </c>
      <c r="K42" s="8">
        <f>SUM(B42:J42)</f>
        <v>2</v>
      </c>
    </row>
    <row r="43" spans="1:27" x14ac:dyDescent="0.2">
      <c r="A43" s="80">
        <f>IF((A42-A48)&gt;9,(A42-A48-9),0)</f>
        <v>0</v>
      </c>
      <c r="B43" s="18">
        <f>IF(AND(ISNUMBER($A43),ISNUMBER($A49)),IF((RANK(B$4,$B$4:$J$4,1))&lt;=($A43-$A49),1,0),"")</f>
        <v>0</v>
      </c>
      <c r="C43" s="6">
        <f t="shared" si="7"/>
        <v>0</v>
      </c>
      <c r="D43" s="6">
        <f t="shared" si="7"/>
        <v>0</v>
      </c>
      <c r="E43" s="6">
        <f t="shared" si="7"/>
        <v>0</v>
      </c>
      <c r="F43" s="6">
        <f t="shared" si="7"/>
        <v>0</v>
      </c>
      <c r="G43" s="6">
        <f t="shared" si="7"/>
        <v>0</v>
      </c>
      <c r="H43" s="6">
        <f t="shared" si="7"/>
        <v>0</v>
      </c>
      <c r="I43" s="6">
        <f t="shared" si="7"/>
        <v>0</v>
      </c>
      <c r="J43" s="7">
        <f t="shared" si="7"/>
        <v>0</v>
      </c>
      <c r="K43" s="8">
        <f>SUM(B43:J43)</f>
        <v>0</v>
      </c>
    </row>
    <row r="44" spans="1:27" x14ac:dyDescent="0.2">
      <c r="A44" s="80"/>
      <c r="B44" s="82">
        <f>IF(AND(ISNUMBER(B41),ISNUMBER(B42)),B41-B42-B43," ")</f>
        <v>5</v>
      </c>
      <c r="C44" s="86">
        <f t="shared" ref="C44:J44" si="8">IF(AND(ISNUMBER(C41),ISNUMBER(C42)),C41-C42-C43," ")</f>
        <v>4</v>
      </c>
      <c r="D44" s="86">
        <f t="shared" si="8"/>
        <v>5</v>
      </c>
      <c r="E44" s="86">
        <f t="shared" si="8"/>
        <v>3</v>
      </c>
      <c r="F44" s="86">
        <f t="shared" si="8"/>
        <v>2</v>
      </c>
      <c r="G44" s="86">
        <f t="shared" si="8"/>
        <v>6</v>
      </c>
      <c r="H44" s="86">
        <f t="shared" si="8"/>
        <v>5</v>
      </c>
      <c r="I44" s="86">
        <f t="shared" si="8"/>
        <v>5</v>
      </c>
      <c r="J44" s="87">
        <f t="shared" si="8"/>
        <v>5</v>
      </c>
      <c r="K44" s="8">
        <f>IF(ISNUMBER(FIND("Wins",K45)), 2, IF(ISNUMBER(FIND("Tie",K45)), 1, 0))</f>
        <v>1</v>
      </c>
    </row>
    <row r="45" spans="1:27" ht="13.5" thickBot="1" x14ac:dyDescent="0.25">
      <c r="A45" s="81"/>
      <c r="B45" s="19">
        <f>IF(AND(ISNUMBER(B44),ISNUMBER(B50)),IF(B44&lt;B50, 0+1, (IF(B44&gt;B50, 0-1, 0)))," ")</f>
        <v>1</v>
      </c>
      <c r="C45" s="9">
        <f t="shared" ref="C45:J45" si="9">IF(AND(ISNUMBER(C44),ISNUMBER(C50)),IF(C44&lt;C50, +B45+1, (IF(C44&gt;C50, +B45-1, +B45)))," ")</f>
        <v>0</v>
      </c>
      <c r="D45" s="9">
        <f t="shared" si="9"/>
        <v>-1</v>
      </c>
      <c r="E45" s="9">
        <f t="shared" si="9"/>
        <v>0</v>
      </c>
      <c r="F45" s="9">
        <f t="shared" si="9"/>
        <v>0</v>
      </c>
      <c r="G45" s="9">
        <f t="shared" si="9"/>
        <v>-1</v>
      </c>
      <c r="H45" s="9">
        <f t="shared" si="9"/>
        <v>-1</v>
      </c>
      <c r="I45" s="9">
        <f t="shared" si="9"/>
        <v>0</v>
      </c>
      <c r="J45" s="10">
        <f t="shared" si="9"/>
        <v>0</v>
      </c>
      <c r="K45" s="11" t="str">
        <f>IF(ISNUMBER(J45),IF(F45&gt;4,"Wins " &amp; F45 &amp; " &amp; 4",IF(G45&gt;3,"Wins " &amp; G45 &amp; " &amp; 3",IF(H45&gt;2,"Wins " &amp; H45 &amp; " &amp; 2",IF(I45&gt;1,"Wins " &amp; I45 &amp; " &amp; 1",IF(J45&gt;J51,"Wins " &amp; J45 &amp; " Up",IF(J45&lt;J51,"Loss","Tie"))))))," ")</f>
        <v>Tie</v>
      </c>
    </row>
    <row r="46" spans="1:27" ht="13.5" thickBot="1" x14ac:dyDescent="0.25">
      <c r="A46" s="32"/>
    </row>
    <row r="47" spans="1:27" x14ac:dyDescent="0.2">
      <c r="A47" s="29" t="str">
        <f t="shared" ref="A47:J47" si="10">A10</f>
        <v>Tommy</v>
      </c>
      <c r="B47" s="17">
        <f t="shared" si="10"/>
        <v>6</v>
      </c>
      <c r="C47" s="3">
        <f t="shared" si="10"/>
        <v>3</v>
      </c>
      <c r="D47" s="3">
        <f t="shared" si="10"/>
        <v>4</v>
      </c>
      <c r="E47" s="3">
        <f t="shared" si="10"/>
        <v>4</v>
      </c>
      <c r="F47" s="3">
        <f t="shared" si="10"/>
        <v>2</v>
      </c>
      <c r="G47" s="3">
        <f t="shared" si="10"/>
        <v>4</v>
      </c>
      <c r="H47" s="3">
        <f t="shared" si="10"/>
        <v>5</v>
      </c>
      <c r="I47" s="3">
        <f t="shared" si="10"/>
        <v>6</v>
      </c>
      <c r="J47" s="4">
        <f t="shared" si="10"/>
        <v>5</v>
      </c>
      <c r="K47" s="12">
        <f>SUM(B47:J47)</f>
        <v>39</v>
      </c>
    </row>
    <row r="48" spans="1:27" x14ac:dyDescent="0.2">
      <c r="A48" s="30">
        <f>A11</f>
        <v>5</v>
      </c>
      <c r="B48" s="18">
        <f>IF(AND(ISNUMBER($A42),ISNUMBER($A48)),IF((RANK(B$4,$B$4:$J$4,1))&lt;=($A48-$A42),1,0),"")</f>
        <v>0</v>
      </c>
      <c r="C48" s="6">
        <f t="shared" ref="C48:J49" si="11">IF(AND(ISNUMBER($A42),ISNUMBER($A48)),IF((RANK(C$4,$B$4:$J$4,1))&lt;=($A48-$A42),1,0),"")</f>
        <v>0</v>
      </c>
      <c r="D48" s="6">
        <f t="shared" si="11"/>
        <v>0</v>
      </c>
      <c r="E48" s="6">
        <f t="shared" si="11"/>
        <v>0</v>
      </c>
      <c r="F48" s="6">
        <f t="shared" si="11"/>
        <v>0</v>
      </c>
      <c r="G48" s="6">
        <f t="shared" si="11"/>
        <v>0</v>
      </c>
      <c r="H48" s="6">
        <f t="shared" si="11"/>
        <v>0</v>
      </c>
      <c r="I48" s="6">
        <f t="shared" si="11"/>
        <v>0</v>
      </c>
      <c r="J48" s="7">
        <f t="shared" si="11"/>
        <v>0</v>
      </c>
      <c r="K48" s="13">
        <f>SUM(B48:J48)</f>
        <v>0</v>
      </c>
    </row>
    <row r="49" spans="1:27" x14ac:dyDescent="0.2">
      <c r="A49" s="30">
        <f>IF((A48-A42)&gt;9,(A48-A42-9),0)</f>
        <v>0</v>
      </c>
      <c r="B49" s="18">
        <f>IF(AND(ISNUMBER($A43),ISNUMBER($A49)),IF((RANK(B$4,$B$4:$J$4,1))&lt;=($A49-$A43),1,0),"")</f>
        <v>0</v>
      </c>
      <c r="C49" s="6">
        <f t="shared" si="11"/>
        <v>0</v>
      </c>
      <c r="D49" s="6">
        <f t="shared" si="11"/>
        <v>0</v>
      </c>
      <c r="E49" s="6">
        <f t="shared" si="11"/>
        <v>0</v>
      </c>
      <c r="F49" s="6">
        <f t="shared" si="11"/>
        <v>0</v>
      </c>
      <c r="G49" s="6">
        <f t="shared" si="11"/>
        <v>0</v>
      </c>
      <c r="H49" s="6">
        <f t="shared" si="11"/>
        <v>0</v>
      </c>
      <c r="I49" s="6">
        <f t="shared" si="11"/>
        <v>0</v>
      </c>
      <c r="J49" s="7">
        <f t="shared" si="11"/>
        <v>0</v>
      </c>
      <c r="K49" s="13">
        <f>SUM(B49:J49)</f>
        <v>0</v>
      </c>
    </row>
    <row r="50" spans="1:27" x14ac:dyDescent="0.2">
      <c r="A50" s="30"/>
      <c r="B50" s="82">
        <f>IF(AND(ISNUMBER(B47),ISNUMBER(B48)),B47-B48-B49," ")</f>
        <v>6</v>
      </c>
      <c r="C50" s="83">
        <f t="shared" ref="C50:J50" si="12">IF(AND(ISNUMBER(C47),ISNUMBER(C48)),C47-C48-C49," ")</f>
        <v>3</v>
      </c>
      <c r="D50" s="83">
        <f t="shared" si="12"/>
        <v>4</v>
      </c>
      <c r="E50" s="83">
        <f t="shared" si="12"/>
        <v>4</v>
      </c>
      <c r="F50" s="83">
        <f t="shared" si="12"/>
        <v>2</v>
      </c>
      <c r="G50" s="83">
        <f t="shared" si="12"/>
        <v>4</v>
      </c>
      <c r="H50" s="83">
        <f t="shared" si="12"/>
        <v>5</v>
      </c>
      <c r="I50" s="83">
        <f t="shared" si="12"/>
        <v>6</v>
      </c>
      <c r="J50" s="84">
        <f t="shared" si="12"/>
        <v>5</v>
      </c>
      <c r="K50" s="13">
        <f>IF(ISNUMBER(FIND("Wins",K51)), 2, IF(ISNUMBER(FIND("Tie",K51)), 1, 0))</f>
        <v>1</v>
      </c>
    </row>
    <row r="51" spans="1:27" ht="13.5" thickBot="1" x14ac:dyDescent="0.25">
      <c r="A51" s="31"/>
      <c r="B51" s="19">
        <f>IF(AND(ISNUMBER(B44),ISNUMBER(B50)),IF(B50&lt;B44, 0+1, (IF(B50&gt;B44, 0-1, 0)))," ")</f>
        <v>-1</v>
      </c>
      <c r="C51" s="9">
        <f t="shared" ref="C51:J51" si="13">IF(AND(ISNUMBER(C44),ISNUMBER(C50)),IF(C50&lt;C44, +B51+1, (IF(C50&gt;C44, +B51-1, +B51)))," ")</f>
        <v>0</v>
      </c>
      <c r="D51" s="9">
        <f t="shared" si="13"/>
        <v>1</v>
      </c>
      <c r="E51" s="9">
        <f t="shared" si="13"/>
        <v>0</v>
      </c>
      <c r="F51" s="9">
        <f t="shared" si="13"/>
        <v>0</v>
      </c>
      <c r="G51" s="9">
        <f t="shared" si="13"/>
        <v>1</v>
      </c>
      <c r="H51" s="9">
        <f t="shared" si="13"/>
        <v>1</v>
      </c>
      <c r="I51" s="9">
        <f t="shared" si="13"/>
        <v>0</v>
      </c>
      <c r="J51" s="10">
        <f t="shared" si="13"/>
        <v>0</v>
      </c>
      <c r="K51" s="14" t="str">
        <f>IF(ISNUMBER(J51),IF(F51&gt;4,"Wins " &amp; F51 &amp; " &amp; 4",IF(G51&gt;3,"Wins " &amp; G51 &amp; " &amp; 3",IF(H51&gt;2,"Wins " &amp; H51 &amp; " &amp; 2",IF(I51&gt;1,"Wins " &amp; I51 &amp; " &amp; 1",IF(J51&gt;J45,"Wins " &amp; J51 &amp; " Up",IF(J51&lt;J45,"Loss","Tie"))))))," ")</f>
        <v>Tie</v>
      </c>
    </row>
    <row r="53" spans="1:27" s="16" customFormat="1" ht="13.5" thickBot="1" x14ac:dyDescent="0.25">
      <c r="A53" s="24" t="s">
        <v>9</v>
      </c>
      <c r="B53" s="2"/>
      <c r="C53" s="2"/>
      <c r="D53" s="2"/>
      <c r="E53" s="2"/>
      <c r="F53" s="2"/>
      <c r="G53" s="2"/>
      <c r="H53" s="2"/>
      <c r="I53" s="2"/>
      <c r="J53" s="2"/>
      <c r="K53" s="2"/>
      <c r="N53" s="15"/>
      <c r="O53" s="15"/>
      <c r="P53" s="59"/>
      <c r="Q53" s="59"/>
      <c r="R53" s="59"/>
      <c r="S53" s="59"/>
      <c r="T53" s="59"/>
      <c r="W53" s="15"/>
      <c r="X53" s="15"/>
      <c r="Y53" s="15"/>
      <c r="Z53" s="15"/>
      <c r="AA53" s="15"/>
    </row>
    <row r="54" spans="1:27" s="16" customFormat="1" x14ac:dyDescent="0.2">
      <c r="A54" s="29" t="str">
        <f t="shared" ref="A54:J54" si="14">A8</f>
        <v>Mil</v>
      </c>
      <c r="B54" s="17">
        <f t="shared" si="14"/>
        <v>5</v>
      </c>
      <c r="C54" s="3">
        <f t="shared" si="14"/>
        <v>4</v>
      </c>
      <c r="D54" s="3">
        <f t="shared" si="14"/>
        <v>4</v>
      </c>
      <c r="E54" s="3">
        <f t="shared" si="14"/>
        <v>4</v>
      </c>
      <c r="F54" s="3">
        <f t="shared" si="14"/>
        <v>3</v>
      </c>
      <c r="G54" s="3">
        <f t="shared" si="14"/>
        <v>7</v>
      </c>
      <c r="H54" s="3">
        <f t="shared" si="14"/>
        <v>5</v>
      </c>
      <c r="I54" s="3">
        <f t="shared" si="14"/>
        <v>6</v>
      </c>
      <c r="J54" s="4">
        <f t="shared" si="14"/>
        <v>5</v>
      </c>
      <c r="K54" s="12">
        <f>SUM(B54:J54)</f>
        <v>43</v>
      </c>
      <c r="N54" s="15"/>
      <c r="O54" s="15"/>
      <c r="P54" s="59"/>
      <c r="Q54" s="59"/>
      <c r="R54" s="59"/>
      <c r="S54" s="59"/>
      <c r="T54" s="59"/>
      <c r="W54" s="15"/>
      <c r="X54" s="15"/>
      <c r="Y54" s="15"/>
      <c r="Z54" s="15"/>
      <c r="AA54" s="15"/>
    </row>
    <row r="55" spans="1:27" s="16" customFormat="1" x14ac:dyDescent="0.2">
      <c r="A55" s="30">
        <f>A9</f>
        <v>6</v>
      </c>
      <c r="B55" s="18">
        <f>IF(AND(ISNUMBER($A55),ISNUMBER($A61)),IF((RANK(B$4,$B$4:$J$4,1))&lt;=($A55-$A61),1,0),"")</f>
        <v>0</v>
      </c>
      <c r="C55" s="6">
        <f t="shared" ref="C55:J56" si="15">IF(AND(ISNUMBER($A55),ISNUMBER($A61)),IF((RANK(C$4,$B$4:$J$4,1))&lt;=($A55-$A61),1,0),"")</f>
        <v>0</v>
      </c>
      <c r="D55" s="6">
        <f t="shared" si="15"/>
        <v>0</v>
      </c>
      <c r="E55" s="6">
        <f t="shared" si="15"/>
        <v>0</v>
      </c>
      <c r="F55" s="6">
        <f t="shared" si="15"/>
        <v>0</v>
      </c>
      <c r="G55" s="6">
        <f t="shared" si="15"/>
        <v>0</v>
      </c>
      <c r="H55" s="6">
        <f t="shared" si="15"/>
        <v>0</v>
      </c>
      <c r="I55" s="6">
        <f t="shared" si="15"/>
        <v>0</v>
      </c>
      <c r="J55" s="7">
        <f t="shared" si="15"/>
        <v>0</v>
      </c>
      <c r="K55" s="13">
        <f>SUM(B55:J55)</f>
        <v>0</v>
      </c>
      <c r="N55" s="15"/>
      <c r="O55" s="15"/>
      <c r="P55" s="59"/>
      <c r="Q55" s="59"/>
      <c r="R55" s="59"/>
      <c r="S55" s="59"/>
      <c r="T55" s="59"/>
      <c r="W55" s="15"/>
      <c r="X55" s="15"/>
      <c r="Y55" s="15"/>
      <c r="Z55" s="15"/>
      <c r="AA55" s="15"/>
    </row>
    <row r="56" spans="1:27" s="16" customFormat="1" x14ac:dyDescent="0.2">
      <c r="A56" s="30">
        <f>IF((A55-A61)&gt;9,(A55-A61-9),0)</f>
        <v>0</v>
      </c>
      <c r="B56" s="18">
        <f>IF(AND(ISNUMBER($A56),ISNUMBER($A62)),IF((RANK(B$4,$B$4:$J$4,1))&lt;=($A56-$A62),1,0),"")</f>
        <v>0</v>
      </c>
      <c r="C56" s="6">
        <f t="shared" si="15"/>
        <v>0</v>
      </c>
      <c r="D56" s="6">
        <f t="shared" si="15"/>
        <v>0</v>
      </c>
      <c r="E56" s="6">
        <f t="shared" si="15"/>
        <v>0</v>
      </c>
      <c r="F56" s="6">
        <f t="shared" si="15"/>
        <v>0</v>
      </c>
      <c r="G56" s="6">
        <f t="shared" si="15"/>
        <v>0</v>
      </c>
      <c r="H56" s="6">
        <f t="shared" si="15"/>
        <v>0</v>
      </c>
      <c r="I56" s="6">
        <f t="shared" si="15"/>
        <v>0</v>
      </c>
      <c r="J56" s="7">
        <f t="shared" si="15"/>
        <v>0</v>
      </c>
      <c r="K56" s="13">
        <f>SUM(B56:J56)</f>
        <v>0</v>
      </c>
      <c r="N56" s="15"/>
      <c r="O56" s="15"/>
      <c r="P56" s="59"/>
      <c r="Q56" s="59"/>
      <c r="R56" s="59"/>
      <c r="S56" s="59"/>
      <c r="T56" s="59"/>
      <c r="W56" s="15"/>
      <c r="X56" s="15"/>
      <c r="Y56" s="15"/>
      <c r="Z56" s="15"/>
      <c r="AA56" s="15"/>
    </row>
    <row r="57" spans="1:27" s="16" customFormat="1" x14ac:dyDescent="0.2">
      <c r="A57" s="30"/>
      <c r="B57" s="82">
        <f>IF(AND(ISNUMBER(B54),ISNUMBER(B55)),B54-B55-B56," ")</f>
        <v>5</v>
      </c>
      <c r="C57" s="83">
        <f t="shared" ref="C57:J57" si="16">IF(AND(ISNUMBER(C54),ISNUMBER(C55)),C54-C55-C56," ")</f>
        <v>4</v>
      </c>
      <c r="D57" s="83">
        <f t="shared" si="16"/>
        <v>4</v>
      </c>
      <c r="E57" s="83">
        <f t="shared" si="16"/>
        <v>4</v>
      </c>
      <c r="F57" s="83">
        <f t="shared" si="16"/>
        <v>3</v>
      </c>
      <c r="G57" s="83">
        <f t="shared" si="16"/>
        <v>7</v>
      </c>
      <c r="H57" s="83">
        <f t="shared" si="16"/>
        <v>5</v>
      </c>
      <c r="I57" s="83">
        <f t="shared" si="16"/>
        <v>6</v>
      </c>
      <c r="J57" s="84">
        <f t="shared" si="16"/>
        <v>5</v>
      </c>
      <c r="K57" s="13">
        <f>IF(ISNUMBER(FIND("Wins",K58)), 2, IF(ISNUMBER(FIND("Tie",K58)), 1, 0))</f>
        <v>0</v>
      </c>
      <c r="N57" s="15"/>
      <c r="O57" s="15"/>
      <c r="P57" s="59"/>
      <c r="Q57" s="59"/>
      <c r="R57" s="59"/>
      <c r="S57" s="59"/>
      <c r="T57" s="59"/>
      <c r="W57" s="15"/>
      <c r="X57" s="15"/>
      <c r="Y57" s="15"/>
      <c r="Z57" s="15"/>
      <c r="AA57" s="15"/>
    </row>
    <row r="58" spans="1:27" s="16" customFormat="1" ht="13.5" thickBot="1" x14ac:dyDescent="0.25">
      <c r="A58" s="31"/>
      <c r="B58" s="19">
        <f>IF(AND(ISNUMBER(B57),ISNUMBER(B63)),IF(B57&lt;B63, 0+1, (IF(B57&gt;B63, 0-1, 0)))," ")</f>
        <v>0</v>
      </c>
      <c r="C58" s="9">
        <f t="shared" ref="C58:J58" si="17">IF(AND(ISNUMBER(C57),ISNUMBER(C63)),IF(C57&lt;C63, +B58+1, (IF(C57&gt;C63, +B58-1, +B58)))," ")</f>
        <v>-1</v>
      </c>
      <c r="D58" s="9">
        <f t="shared" si="17"/>
        <v>0</v>
      </c>
      <c r="E58" s="9">
        <f t="shared" si="17"/>
        <v>1</v>
      </c>
      <c r="F58" s="9">
        <f t="shared" si="17"/>
        <v>0</v>
      </c>
      <c r="G58" s="9">
        <f t="shared" si="17"/>
        <v>-1</v>
      </c>
      <c r="H58" s="9">
        <f t="shared" si="17"/>
        <v>-2</v>
      </c>
      <c r="I58" s="9">
        <f t="shared" si="17"/>
        <v>-3</v>
      </c>
      <c r="J58" s="10">
        <f t="shared" si="17"/>
        <v>-4</v>
      </c>
      <c r="K58" s="14" t="str">
        <f>IF(ISNUMBER(J58),IF(F58&gt;4,"Wins " &amp; F58 &amp; " &amp; 4",IF(G58&gt;3,"Wins " &amp; G58 &amp; " &amp; 3",IF(H58&gt;2,"Wins " &amp; H58 &amp; " &amp; 2",IF(I58&gt;1,"Wins " &amp; I58 &amp; " &amp; 1",IF(J58&gt;J64,"Wins " &amp; J58 &amp; " Up",IF(J58&lt;J64,"Loss","Tie"))))))," ")</f>
        <v>Loss</v>
      </c>
      <c r="N58" s="15"/>
      <c r="O58" s="15"/>
      <c r="P58" s="59"/>
      <c r="Q58" s="59"/>
      <c r="R58" s="59"/>
      <c r="S58" s="59"/>
      <c r="T58" s="59"/>
      <c r="W58" s="15"/>
      <c r="X58" s="15"/>
      <c r="Y58" s="15"/>
      <c r="Z58" s="15"/>
      <c r="AA58" s="15"/>
    </row>
    <row r="59" spans="1:27" s="16" customFormat="1" ht="13.5" thickBot="1" x14ac:dyDescent="0.25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N59" s="15"/>
      <c r="O59" s="15"/>
      <c r="P59" s="59"/>
      <c r="Q59" s="59"/>
      <c r="R59" s="59"/>
      <c r="S59" s="59"/>
      <c r="T59" s="59"/>
      <c r="W59" s="15"/>
      <c r="X59" s="15"/>
      <c r="Y59" s="15"/>
      <c r="Z59" s="15"/>
      <c r="AA59" s="15"/>
    </row>
    <row r="60" spans="1:27" s="16" customFormat="1" x14ac:dyDescent="0.2">
      <c r="A60" s="29" t="str">
        <f t="shared" ref="A60:J60" si="18">A12</f>
        <v>Bob</v>
      </c>
      <c r="B60" s="17">
        <f t="shared" si="18"/>
        <v>6</v>
      </c>
      <c r="C60" s="3">
        <f t="shared" si="18"/>
        <v>3</v>
      </c>
      <c r="D60" s="3">
        <f t="shared" si="18"/>
        <v>5</v>
      </c>
      <c r="E60" s="3">
        <f t="shared" si="18"/>
        <v>5</v>
      </c>
      <c r="F60" s="3">
        <f t="shared" si="18"/>
        <v>2</v>
      </c>
      <c r="G60" s="3">
        <f t="shared" si="18"/>
        <v>6</v>
      </c>
      <c r="H60" s="3">
        <f t="shared" si="18"/>
        <v>5</v>
      </c>
      <c r="I60" s="3">
        <f t="shared" si="18"/>
        <v>6</v>
      </c>
      <c r="J60" s="4">
        <f t="shared" si="18"/>
        <v>4</v>
      </c>
      <c r="K60" s="12">
        <f>SUM(B60:J60)</f>
        <v>42</v>
      </c>
      <c r="N60" s="15"/>
      <c r="O60" s="15"/>
      <c r="P60" s="59"/>
      <c r="Q60" s="59"/>
      <c r="R60" s="59"/>
      <c r="S60" s="59"/>
      <c r="T60" s="59"/>
      <c r="W60" s="15"/>
      <c r="X60" s="15"/>
      <c r="Y60" s="15"/>
      <c r="Z60" s="15"/>
      <c r="AA60" s="15"/>
    </row>
    <row r="61" spans="1:27" s="16" customFormat="1" x14ac:dyDescent="0.2">
      <c r="A61" s="30">
        <f>A13</f>
        <v>10</v>
      </c>
      <c r="B61" s="18">
        <f>IF(AND(ISNUMBER($A55),ISNUMBER($A61)),IF((RANK(B$4,$B$4:$J$4,1))&lt;=($A61-$A55),1,0),"")</f>
        <v>1</v>
      </c>
      <c r="C61" s="6">
        <f t="shared" ref="C61:J62" si="19">IF(AND(ISNUMBER($A55),ISNUMBER($A61)),IF((RANK(C$4,$B$4:$J$4,1))&lt;=($A61-$A55),1,0),"")</f>
        <v>0</v>
      </c>
      <c r="D61" s="6">
        <f t="shared" si="19"/>
        <v>0</v>
      </c>
      <c r="E61" s="6">
        <f t="shared" si="19"/>
        <v>0</v>
      </c>
      <c r="F61" s="6">
        <f t="shared" si="19"/>
        <v>0</v>
      </c>
      <c r="G61" s="6">
        <f t="shared" si="19"/>
        <v>0</v>
      </c>
      <c r="H61" s="6">
        <f t="shared" si="19"/>
        <v>1</v>
      </c>
      <c r="I61" s="6">
        <f t="shared" si="19"/>
        <v>1</v>
      </c>
      <c r="J61" s="7">
        <f t="shared" si="19"/>
        <v>1</v>
      </c>
      <c r="K61" s="13">
        <f>SUM(B61:J61)</f>
        <v>4</v>
      </c>
      <c r="N61" s="15"/>
      <c r="O61" s="15"/>
      <c r="P61" s="59"/>
      <c r="Q61" s="59"/>
      <c r="R61" s="59"/>
      <c r="S61" s="59"/>
      <c r="T61" s="59"/>
      <c r="W61" s="15"/>
      <c r="X61" s="15"/>
      <c r="Y61" s="15"/>
      <c r="Z61" s="15"/>
      <c r="AA61" s="15"/>
    </row>
    <row r="62" spans="1:27" s="16" customFormat="1" x14ac:dyDescent="0.2">
      <c r="A62" s="30">
        <f>IF((A61-A55)&gt;9,(A61-A55-9),0)</f>
        <v>0</v>
      </c>
      <c r="B62" s="18">
        <f>IF(AND(ISNUMBER($A56),ISNUMBER($A62)),IF((RANK(B$4,$B$4:$J$4,1))&lt;=($A62-$A56),1,0),"")</f>
        <v>0</v>
      </c>
      <c r="C62" s="6">
        <f t="shared" si="19"/>
        <v>0</v>
      </c>
      <c r="D62" s="6">
        <f t="shared" si="19"/>
        <v>0</v>
      </c>
      <c r="E62" s="6">
        <f t="shared" si="19"/>
        <v>0</v>
      </c>
      <c r="F62" s="6">
        <f t="shared" si="19"/>
        <v>0</v>
      </c>
      <c r="G62" s="6">
        <f t="shared" si="19"/>
        <v>0</v>
      </c>
      <c r="H62" s="6">
        <f t="shared" si="19"/>
        <v>0</v>
      </c>
      <c r="I62" s="6">
        <f t="shared" si="19"/>
        <v>0</v>
      </c>
      <c r="J62" s="7">
        <f t="shared" si="19"/>
        <v>0</v>
      </c>
      <c r="K62" s="13">
        <f>SUM(B62:J62)</f>
        <v>0</v>
      </c>
      <c r="N62" s="15"/>
      <c r="O62" s="15"/>
      <c r="P62" s="59"/>
      <c r="Q62" s="59"/>
      <c r="R62" s="59"/>
      <c r="S62" s="59"/>
      <c r="T62" s="59"/>
      <c r="W62" s="15"/>
      <c r="X62" s="15"/>
      <c r="Y62" s="15"/>
      <c r="Z62" s="15"/>
      <c r="AA62" s="15"/>
    </row>
    <row r="63" spans="1:27" s="16" customFormat="1" x14ac:dyDescent="0.2">
      <c r="A63" s="30"/>
      <c r="B63" s="82">
        <f>IF(AND(ISNUMBER(B60),ISNUMBER(B61)),B60-B61-B62," ")</f>
        <v>5</v>
      </c>
      <c r="C63" s="83">
        <f t="shared" ref="C63:J63" si="20">IF(AND(ISNUMBER(C60),ISNUMBER(C61)),C60-C61-C62," ")</f>
        <v>3</v>
      </c>
      <c r="D63" s="83">
        <f t="shared" si="20"/>
        <v>5</v>
      </c>
      <c r="E63" s="83">
        <f t="shared" si="20"/>
        <v>5</v>
      </c>
      <c r="F63" s="83">
        <f t="shared" si="20"/>
        <v>2</v>
      </c>
      <c r="G63" s="83">
        <f t="shared" si="20"/>
        <v>6</v>
      </c>
      <c r="H63" s="83">
        <f t="shared" si="20"/>
        <v>4</v>
      </c>
      <c r="I63" s="83">
        <f t="shared" si="20"/>
        <v>5</v>
      </c>
      <c r="J63" s="84">
        <f t="shared" si="20"/>
        <v>3</v>
      </c>
      <c r="K63" s="13">
        <f>IF(ISNUMBER(FIND("Wins",K64)), 2, IF(ISNUMBER(FIND("Tie",K64)), 1, 0))</f>
        <v>2</v>
      </c>
      <c r="N63" s="15"/>
      <c r="O63" s="15"/>
      <c r="P63" s="59"/>
      <c r="Q63" s="59"/>
      <c r="R63" s="59"/>
      <c r="S63" s="59"/>
      <c r="T63" s="59"/>
      <c r="W63" s="15"/>
      <c r="X63" s="15"/>
      <c r="Y63" s="15"/>
      <c r="Z63" s="15"/>
      <c r="AA63" s="15"/>
    </row>
    <row r="64" spans="1:27" s="16" customFormat="1" ht="13.5" thickBot="1" x14ac:dyDescent="0.25">
      <c r="A64" s="31"/>
      <c r="B64" s="19">
        <f>IF(AND(ISNUMBER(B57),ISNUMBER(B63)),IF(B63&lt;B57, 0+1, (IF(B63&gt;B57, 0-1, 0)))," ")</f>
        <v>0</v>
      </c>
      <c r="C64" s="9">
        <f t="shared" ref="C64:J64" si="21">IF(AND(ISNUMBER(C57),ISNUMBER(C63)),IF(C63&lt;C57, +B64+1, (IF(C63&gt;C57, +B64-1, +B64)))," ")</f>
        <v>1</v>
      </c>
      <c r="D64" s="9">
        <f t="shared" si="21"/>
        <v>0</v>
      </c>
      <c r="E64" s="9">
        <f t="shared" si="21"/>
        <v>-1</v>
      </c>
      <c r="F64" s="9">
        <f t="shared" si="21"/>
        <v>0</v>
      </c>
      <c r="G64" s="9">
        <f t="shared" si="21"/>
        <v>1</v>
      </c>
      <c r="H64" s="9">
        <f t="shared" si="21"/>
        <v>2</v>
      </c>
      <c r="I64" s="9">
        <f t="shared" si="21"/>
        <v>3</v>
      </c>
      <c r="J64" s="10">
        <f t="shared" si="21"/>
        <v>4</v>
      </c>
      <c r="K64" s="14" t="str">
        <f>IF(ISNUMBER(J64),IF(F64&gt;4,"Wins " &amp; F64 &amp; " &amp; 4",IF(G64&gt;3,"Wins " &amp; G64 &amp; " &amp; 3",IF(H64&gt;2,"Wins " &amp; H64 &amp; " &amp; 2",IF(I64&gt;1,"Wins " &amp; I64 &amp; " &amp; 1",IF(J64&gt;J58,"Wins " &amp; J64 &amp; " Up",IF(J64&lt;J58,"Loss","Tie"))))))," ")</f>
        <v>Wins 3 &amp; 1</v>
      </c>
      <c r="N64" s="15"/>
      <c r="O64" s="15"/>
      <c r="P64" s="59"/>
      <c r="Q64" s="59"/>
      <c r="R64" s="59"/>
      <c r="S64" s="59"/>
      <c r="T64" s="59"/>
      <c r="W64" s="15"/>
      <c r="X64" s="15"/>
      <c r="Y64" s="15"/>
      <c r="Z64" s="15"/>
      <c r="AA64" s="15"/>
    </row>
    <row r="65" spans="1:27" s="16" customFormat="1" x14ac:dyDescent="0.2">
      <c r="A65" s="25"/>
      <c r="B65" s="15"/>
      <c r="C65" s="15"/>
      <c r="D65" s="15"/>
      <c r="E65" s="15"/>
      <c r="F65" s="15"/>
      <c r="G65" s="15"/>
      <c r="H65" s="15"/>
      <c r="I65" s="15"/>
      <c r="J65" s="15"/>
      <c r="K65" s="15"/>
      <c r="N65" s="15"/>
      <c r="O65" s="15"/>
      <c r="P65" s="59"/>
      <c r="Q65" s="59"/>
      <c r="R65" s="59"/>
      <c r="S65" s="59"/>
      <c r="T65" s="59"/>
      <c r="W65" s="15"/>
      <c r="X65" s="15"/>
      <c r="Y65" s="15"/>
      <c r="Z65" s="15"/>
      <c r="AA65" s="15"/>
    </row>
    <row r="66" spans="1:27" s="16" customFormat="1" ht="13.5" thickBot="1" x14ac:dyDescent="0.25">
      <c r="A66" s="24" t="s">
        <v>10</v>
      </c>
      <c r="B66" s="2"/>
      <c r="C66" s="2"/>
      <c r="D66" s="2"/>
      <c r="E66" s="2"/>
      <c r="F66" s="2"/>
      <c r="G66" s="2"/>
      <c r="H66" s="2"/>
      <c r="I66" s="2"/>
      <c r="J66" s="2"/>
      <c r="K66" s="2"/>
      <c r="N66" s="15"/>
      <c r="O66" s="15"/>
      <c r="P66" s="59"/>
      <c r="Q66" s="59"/>
      <c r="R66" s="59"/>
      <c r="S66" s="59"/>
      <c r="T66" s="59"/>
      <c r="W66" s="15"/>
      <c r="X66" s="15"/>
      <c r="Y66" s="15"/>
      <c r="Z66" s="15"/>
      <c r="AA66" s="15"/>
    </row>
    <row r="67" spans="1:27" s="16" customFormat="1" x14ac:dyDescent="0.2">
      <c r="A67" s="79" t="str">
        <f t="shared" ref="A67:J67" si="22">A14</f>
        <v>Dave</v>
      </c>
      <c r="B67" s="17">
        <f t="shared" si="22"/>
        <v>5</v>
      </c>
      <c r="C67" s="3">
        <f t="shared" si="22"/>
        <v>4</v>
      </c>
      <c r="D67" s="3">
        <f t="shared" si="22"/>
        <v>5</v>
      </c>
      <c r="E67" s="3">
        <f t="shared" si="22"/>
        <v>5</v>
      </c>
      <c r="F67" s="3">
        <f t="shared" si="22"/>
        <v>3</v>
      </c>
      <c r="G67" s="3">
        <f t="shared" si="22"/>
        <v>5</v>
      </c>
      <c r="H67" s="3">
        <f t="shared" si="22"/>
        <v>6</v>
      </c>
      <c r="I67" s="3">
        <f t="shared" si="22"/>
        <v>5</v>
      </c>
      <c r="J67" s="4">
        <f t="shared" si="22"/>
        <v>4</v>
      </c>
      <c r="K67" s="12">
        <f>SUM(B67:J67)</f>
        <v>42</v>
      </c>
      <c r="N67" s="15"/>
      <c r="O67" s="15"/>
      <c r="P67" s="59"/>
      <c r="Q67" s="59"/>
      <c r="R67" s="59"/>
      <c r="S67" s="59"/>
      <c r="T67" s="59"/>
      <c r="W67" s="15"/>
      <c r="X67" s="15"/>
      <c r="Y67" s="15"/>
      <c r="Z67" s="15"/>
      <c r="AA67" s="15"/>
    </row>
    <row r="68" spans="1:27" s="16" customFormat="1" x14ac:dyDescent="0.2">
      <c r="A68" s="80">
        <f>A15</f>
        <v>5</v>
      </c>
      <c r="B68" s="18">
        <f>IF(AND(ISNUMBER($A68),ISNUMBER($A74)),IF((RANK(B$4,$B$4:$J$4,1))&lt;=($A68-$A74),1,0),"")</f>
        <v>0</v>
      </c>
      <c r="C68" s="6">
        <f t="shared" ref="C68:J69" si="23">IF(AND(ISNUMBER($A68),ISNUMBER($A74)),IF((RANK(C$4,$B$4:$J$4,1))&lt;=($A68-$A74),1,0),"")</f>
        <v>0</v>
      </c>
      <c r="D68" s="6">
        <f t="shared" si="23"/>
        <v>0</v>
      </c>
      <c r="E68" s="6">
        <f t="shared" si="23"/>
        <v>0</v>
      </c>
      <c r="F68" s="6">
        <f t="shared" si="23"/>
        <v>0</v>
      </c>
      <c r="G68" s="6">
        <f t="shared" si="23"/>
        <v>0</v>
      </c>
      <c r="H68" s="6">
        <f t="shared" si="23"/>
        <v>0</v>
      </c>
      <c r="I68" s="6">
        <f t="shared" si="23"/>
        <v>0</v>
      </c>
      <c r="J68" s="7">
        <f t="shared" si="23"/>
        <v>0</v>
      </c>
      <c r="K68" s="13">
        <f>SUM(B68:J68)</f>
        <v>0</v>
      </c>
      <c r="N68" s="15"/>
      <c r="O68" s="15"/>
      <c r="P68" s="59"/>
      <c r="Q68" s="59"/>
      <c r="R68" s="59"/>
      <c r="S68" s="59"/>
      <c r="T68" s="59"/>
      <c r="W68" s="15"/>
      <c r="X68" s="15"/>
      <c r="Y68" s="15"/>
      <c r="Z68" s="15"/>
      <c r="AA68" s="15"/>
    </row>
    <row r="69" spans="1:27" s="16" customFormat="1" x14ac:dyDescent="0.2">
      <c r="A69" s="80">
        <f>IF((A68-A74)&gt;9,(A68-A74-9),0)</f>
        <v>0</v>
      </c>
      <c r="B69" s="18">
        <f>IF(AND(ISNUMBER($A69),ISNUMBER($A75)),IF((RANK(B$4,$B$4:$J$4,1))&lt;=($A69-$A75),1,0),"")</f>
        <v>0</v>
      </c>
      <c r="C69" s="6">
        <f t="shared" si="23"/>
        <v>0</v>
      </c>
      <c r="D69" s="6">
        <f t="shared" si="23"/>
        <v>0</v>
      </c>
      <c r="E69" s="6">
        <f t="shared" si="23"/>
        <v>0</v>
      </c>
      <c r="F69" s="6">
        <f t="shared" si="23"/>
        <v>0</v>
      </c>
      <c r="G69" s="6">
        <f t="shared" si="23"/>
        <v>0</v>
      </c>
      <c r="H69" s="6">
        <f t="shared" si="23"/>
        <v>0</v>
      </c>
      <c r="I69" s="6">
        <f t="shared" si="23"/>
        <v>0</v>
      </c>
      <c r="J69" s="7">
        <f t="shared" si="23"/>
        <v>0</v>
      </c>
      <c r="K69" s="13">
        <f>SUM(B69:J69)</f>
        <v>0</v>
      </c>
      <c r="N69" s="15"/>
      <c r="O69" s="15"/>
      <c r="P69" s="59"/>
      <c r="Q69" s="59"/>
      <c r="R69" s="59"/>
      <c r="S69" s="59"/>
      <c r="T69" s="59"/>
      <c r="W69" s="15"/>
      <c r="X69" s="15"/>
      <c r="Y69" s="15"/>
      <c r="Z69" s="15"/>
      <c r="AA69" s="15"/>
    </row>
    <row r="70" spans="1:27" s="16" customFormat="1" x14ac:dyDescent="0.2">
      <c r="A70" s="80"/>
      <c r="B70" s="82">
        <f>IF(AND(ISNUMBER(B67),ISNUMBER(B68)),B67-B68-B69," ")</f>
        <v>5</v>
      </c>
      <c r="C70" s="83">
        <f t="shared" ref="C70:J70" si="24">IF(AND(ISNUMBER(C67),ISNUMBER(C68)),C67-C68-C69," ")</f>
        <v>4</v>
      </c>
      <c r="D70" s="83">
        <f t="shared" si="24"/>
        <v>5</v>
      </c>
      <c r="E70" s="83">
        <f t="shared" si="24"/>
        <v>5</v>
      </c>
      <c r="F70" s="83">
        <f t="shared" si="24"/>
        <v>3</v>
      </c>
      <c r="G70" s="83">
        <f t="shared" si="24"/>
        <v>5</v>
      </c>
      <c r="H70" s="83">
        <f t="shared" si="24"/>
        <v>6</v>
      </c>
      <c r="I70" s="83">
        <f t="shared" si="24"/>
        <v>5</v>
      </c>
      <c r="J70" s="84">
        <f t="shared" si="24"/>
        <v>4</v>
      </c>
      <c r="K70" s="13">
        <f>IF(ISNUMBER(FIND("Wins",K71)), 2, IF(ISNUMBER(FIND("Tie",K71)), 1, 0))</f>
        <v>1</v>
      </c>
      <c r="N70" s="15"/>
      <c r="O70" s="15"/>
      <c r="P70" s="59"/>
      <c r="Q70" s="59"/>
      <c r="R70" s="59"/>
      <c r="S70" s="59"/>
      <c r="T70" s="59"/>
      <c r="W70" s="15"/>
      <c r="X70" s="15"/>
      <c r="Y70" s="15"/>
      <c r="Z70" s="15"/>
      <c r="AA70" s="15"/>
    </row>
    <row r="71" spans="1:27" s="16" customFormat="1" ht="13.5" thickBot="1" x14ac:dyDescent="0.25">
      <c r="A71" s="81"/>
      <c r="B71" s="19">
        <f>IF(AND(ISNUMBER(B70),ISNUMBER(B76)),IF(B70&lt;B76, 0+1, (IF(B70&gt;B76, 0-1, 0)))," ")</f>
        <v>1</v>
      </c>
      <c r="C71" s="9">
        <f t="shared" ref="C71:J71" si="25">IF(AND(ISNUMBER(C70),ISNUMBER(C76)),IF(C70&lt;C76, +B71+1, (IF(C70&gt;C76, +B71-1, +B71)))," ")</f>
        <v>0</v>
      </c>
      <c r="D71" s="9">
        <f t="shared" si="25"/>
        <v>-1</v>
      </c>
      <c r="E71" s="9">
        <f t="shared" si="25"/>
        <v>-2</v>
      </c>
      <c r="F71" s="9">
        <f t="shared" si="25"/>
        <v>-1</v>
      </c>
      <c r="G71" s="9">
        <f t="shared" si="25"/>
        <v>-2</v>
      </c>
      <c r="H71" s="9">
        <f t="shared" si="25"/>
        <v>-2</v>
      </c>
      <c r="I71" s="9">
        <f t="shared" si="25"/>
        <v>-1</v>
      </c>
      <c r="J71" s="10">
        <f t="shared" si="25"/>
        <v>0</v>
      </c>
      <c r="K71" s="14" t="str">
        <f>IF(ISNUMBER(J71),IF(F71&gt;4,"Wins " &amp; F71 &amp; " &amp; 4",IF(G71&gt;3,"Wins " &amp; G71 &amp; " &amp; 3",IF(H71&gt;2,"Wins " &amp; H71 &amp; " &amp; 2",IF(I71&gt;1,"Wins " &amp; I71 &amp; " &amp; 1",IF(J71&gt;J77,"Wins " &amp; J71 &amp; " Up",IF(J71&lt;J77,"Loss","Tie"))))))," ")</f>
        <v>Tie</v>
      </c>
      <c r="N71" s="15"/>
      <c r="O71" s="15"/>
      <c r="P71" s="59"/>
      <c r="Q71" s="59"/>
      <c r="R71" s="59"/>
      <c r="S71" s="59"/>
      <c r="T71" s="59"/>
      <c r="W71" s="15"/>
      <c r="X71" s="15"/>
      <c r="Y71" s="15"/>
      <c r="Z71" s="15"/>
      <c r="AA71" s="15"/>
    </row>
    <row r="72" spans="1:27" s="16" customFormat="1" ht="13.5" thickBot="1" x14ac:dyDescent="0.25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N72" s="15"/>
      <c r="O72" s="15"/>
      <c r="P72" s="59"/>
      <c r="Q72" s="59"/>
      <c r="R72" s="59"/>
      <c r="S72" s="59"/>
      <c r="T72" s="59"/>
      <c r="W72" s="15"/>
      <c r="X72" s="15"/>
      <c r="Y72" s="15"/>
      <c r="Z72" s="15"/>
      <c r="AA72" s="15"/>
    </row>
    <row r="73" spans="1:27" s="16" customFormat="1" x14ac:dyDescent="0.2">
      <c r="A73" s="29" t="str">
        <f t="shared" ref="A73:J73" si="26">A18</f>
        <v>John</v>
      </c>
      <c r="B73" s="17">
        <f t="shared" si="26"/>
        <v>7</v>
      </c>
      <c r="C73" s="3">
        <f t="shared" si="26"/>
        <v>3</v>
      </c>
      <c r="D73" s="3">
        <f t="shared" si="26"/>
        <v>4</v>
      </c>
      <c r="E73" s="3">
        <f t="shared" si="26"/>
        <v>4</v>
      </c>
      <c r="F73" s="3">
        <f t="shared" si="26"/>
        <v>4</v>
      </c>
      <c r="G73" s="3">
        <f t="shared" si="26"/>
        <v>4</v>
      </c>
      <c r="H73" s="3">
        <f t="shared" si="26"/>
        <v>6</v>
      </c>
      <c r="I73" s="3">
        <f t="shared" si="26"/>
        <v>7</v>
      </c>
      <c r="J73" s="4">
        <f t="shared" si="26"/>
        <v>5</v>
      </c>
      <c r="K73" s="12">
        <f>SUM(B73:J73)</f>
        <v>44</v>
      </c>
      <c r="N73" s="15"/>
      <c r="O73" s="15"/>
      <c r="P73" s="59"/>
      <c r="Q73" s="59"/>
      <c r="R73" s="59"/>
      <c r="S73" s="59"/>
      <c r="T73" s="59"/>
      <c r="W73" s="15"/>
      <c r="X73" s="15"/>
      <c r="Y73" s="15"/>
      <c r="Z73" s="15"/>
      <c r="AA73" s="15"/>
    </row>
    <row r="74" spans="1:27" s="16" customFormat="1" x14ac:dyDescent="0.2">
      <c r="A74" s="30">
        <f>A19</f>
        <v>7</v>
      </c>
      <c r="B74" s="18">
        <f>IF(AND(ISNUMBER($A68),ISNUMBER($A74)),IF((RANK(B$4,$B$4:$J$4,1))&lt;=($A74-$A68),1,0),"")</f>
        <v>1</v>
      </c>
      <c r="C74" s="6">
        <f t="shared" ref="C74:J75" si="27">IF(AND(ISNUMBER($A68),ISNUMBER($A74)),IF((RANK(C$4,$B$4:$J$4,1))&lt;=($A74-$A68),1,0),"")</f>
        <v>0</v>
      </c>
      <c r="D74" s="6">
        <f t="shared" si="27"/>
        <v>0</v>
      </c>
      <c r="E74" s="6">
        <f t="shared" si="27"/>
        <v>0</v>
      </c>
      <c r="F74" s="6">
        <f t="shared" si="27"/>
        <v>0</v>
      </c>
      <c r="G74" s="6">
        <f t="shared" si="27"/>
        <v>0</v>
      </c>
      <c r="H74" s="6">
        <f t="shared" si="27"/>
        <v>0</v>
      </c>
      <c r="I74" s="6">
        <f t="shared" si="27"/>
        <v>1</v>
      </c>
      <c r="J74" s="7">
        <f t="shared" si="27"/>
        <v>0</v>
      </c>
      <c r="K74" s="13">
        <f>SUM(B74:J74)</f>
        <v>2</v>
      </c>
      <c r="N74" s="15"/>
      <c r="O74" s="15"/>
      <c r="P74" s="59"/>
      <c r="Q74" s="59"/>
      <c r="R74" s="59"/>
      <c r="S74" s="59"/>
      <c r="T74" s="59"/>
      <c r="W74" s="15"/>
      <c r="X74" s="15"/>
      <c r="Y74" s="15"/>
      <c r="Z74" s="15"/>
      <c r="AA74" s="15"/>
    </row>
    <row r="75" spans="1:27" s="16" customFormat="1" x14ac:dyDescent="0.2">
      <c r="A75" s="30">
        <f>IF((A74-A68)&gt;9,(A74-A68-9),0)</f>
        <v>0</v>
      </c>
      <c r="B75" s="18">
        <f>IF(AND(ISNUMBER($A69),ISNUMBER($A75)),IF((RANK(B$4,$B$4:$J$4,1))&lt;=($A75-$A69),1,0),"")</f>
        <v>0</v>
      </c>
      <c r="C75" s="6">
        <f t="shared" si="27"/>
        <v>0</v>
      </c>
      <c r="D75" s="6">
        <f t="shared" si="27"/>
        <v>0</v>
      </c>
      <c r="E75" s="6">
        <f t="shared" si="27"/>
        <v>0</v>
      </c>
      <c r="F75" s="6">
        <f t="shared" si="27"/>
        <v>0</v>
      </c>
      <c r="G75" s="6">
        <f t="shared" si="27"/>
        <v>0</v>
      </c>
      <c r="H75" s="6">
        <f t="shared" si="27"/>
        <v>0</v>
      </c>
      <c r="I75" s="6">
        <f t="shared" si="27"/>
        <v>0</v>
      </c>
      <c r="J75" s="7">
        <f t="shared" si="27"/>
        <v>0</v>
      </c>
      <c r="K75" s="13">
        <f>SUM(B75:J75)</f>
        <v>0</v>
      </c>
      <c r="N75" s="15"/>
      <c r="O75" s="15"/>
      <c r="P75" s="59"/>
      <c r="Q75" s="59"/>
      <c r="R75" s="59"/>
      <c r="S75" s="59"/>
      <c r="T75" s="59"/>
      <c r="W75" s="15"/>
      <c r="X75" s="15"/>
      <c r="Y75" s="15"/>
      <c r="Z75" s="15"/>
      <c r="AA75" s="15"/>
    </row>
    <row r="76" spans="1:27" s="16" customFormat="1" x14ac:dyDescent="0.2">
      <c r="A76" s="30"/>
      <c r="B76" s="82">
        <f>IF(AND(ISNUMBER(B73),ISNUMBER(B74)),B73-B74-B75," ")</f>
        <v>6</v>
      </c>
      <c r="C76" s="83">
        <f t="shared" ref="C76:J76" si="28">IF(AND(ISNUMBER(C73),ISNUMBER(C74)),C73-C74-C75," ")</f>
        <v>3</v>
      </c>
      <c r="D76" s="83">
        <f t="shared" si="28"/>
        <v>4</v>
      </c>
      <c r="E76" s="83">
        <f t="shared" si="28"/>
        <v>4</v>
      </c>
      <c r="F76" s="83">
        <f t="shared" si="28"/>
        <v>4</v>
      </c>
      <c r="G76" s="83">
        <f t="shared" si="28"/>
        <v>4</v>
      </c>
      <c r="H76" s="83">
        <f t="shared" si="28"/>
        <v>6</v>
      </c>
      <c r="I76" s="83">
        <f t="shared" si="28"/>
        <v>6</v>
      </c>
      <c r="J76" s="84">
        <f t="shared" si="28"/>
        <v>5</v>
      </c>
      <c r="K76" s="13">
        <f>IF(ISNUMBER(FIND("Wins",K77)), 2, IF(ISNUMBER(FIND("Tie",K77)), 1, 0))</f>
        <v>1</v>
      </c>
      <c r="N76" s="15"/>
      <c r="O76" s="15"/>
      <c r="P76" s="59"/>
      <c r="Q76" s="59"/>
      <c r="R76" s="59"/>
      <c r="S76" s="59"/>
      <c r="T76" s="59"/>
      <c r="W76" s="15"/>
      <c r="X76" s="15"/>
      <c r="Y76" s="15"/>
      <c r="Z76" s="15"/>
      <c r="AA76" s="15"/>
    </row>
    <row r="77" spans="1:27" s="16" customFormat="1" ht="13.5" thickBot="1" x14ac:dyDescent="0.25">
      <c r="A77" s="31"/>
      <c r="B77" s="19">
        <f>IF(AND(ISNUMBER(B70),ISNUMBER(B76)),IF(B76&lt;B70, 0+1, (IF(B76&gt;B70, 0-1, 0)))," ")</f>
        <v>-1</v>
      </c>
      <c r="C77" s="9">
        <f t="shared" ref="C77:J77" si="29">IF(AND(ISNUMBER(C70),ISNUMBER(C76)),IF(C76&lt;C70, +B77+1, (IF(C76&gt;C70, +B77-1, +B77)))," ")</f>
        <v>0</v>
      </c>
      <c r="D77" s="9">
        <f t="shared" si="29"/>
        <v>1</v>
      </c>
      <c r="E77" s="9">
        <f t="shared" si="29"/>
        <v>2</v>
      </c>
      <c r="F77" s="9">
        <f t="shared" si="29"/>
        <v>1</v>
      </c>
      <c r="G77" s="9">
        <f t="shared" si="29"/>
        <v>2</v>
      </c>
      <c r="H77" s="9">
        <f t="shared" si="29"/>
        <v>2</v>
      </c>
      <c r="I77" s="9">
        <f t="shared" si="29"/>
        <v>1</v>
      </c>
      <c r="J77" s="10">
        <f t="shared" si="29"/>
        <v>0</v>
      </c>
      <c r="K77" s="14" t="str">
        <f>IF(ISNUMBER(J77),IF(F77&gt;4,"Wins " &amp; F77 &amp; " &amp; 4",IF(G77&gt;3,"Wins " &amp; G77 &amp; " &amp; 3",IF(H77&gt;2,"Wins " &amp; H77 &amp; " &amp; 2",IF(I77&gt;1,"Wins " &amp; I77 &amp; " &amp; 1",IF(J77&gt;J71,"Wins " &amp; J77 &amp; " Up",IF(J77&lt;J71,"Loss","Tie"))))))," ")</f>
        <v>Tie</v>
      </c>
      <c r="N77" s="15"/>
      <c r="O77" s="15"/>
      <c r="P77" s="59"/>
      <c r="Q77" s="59"/>
      <c r="R77" s="59"/>
      <c r="S77" s="59"/>
      <c r="T77" s="59"/>
      <c r="W77" s="15"/>
      <c r="X77" s="15"/>
      <c r="Y77" s="15"/>
      <c r="Z77" s="15"/>
      <c r="AA77" s="15"/>
    </row>
    <row r="78" spans="1:27" s="16" customFormat="1" x14ac:dyDescent="0.2">
      <c r="A78" s="26"/>
      <c r="B78" s="15"/>
      <c r="C78" s="15"/>
      <c r="D78" s="15"/>
      <c r="E78" s="15"/>
      <c r="F78" s="15"/>
      <c r="G78" s="15"/>
      <c r="H78" s="15"/>
      <c r="I78" s="15"/>
      <c r="J78" s="15"/>
      <c r="K78" s="15"/>
      <c r="N78" s="15"/>
      <c r="O78" s="15"/>
      <c r="P78" s="59"/>
      <c r="Q78" s="59"/>
      <c r="R78" s="59"/>
      <c r="S78" s="59"/>
      <c r="T78" s="59"/>
      <c r="W78" s="15"/>
      <c r="X78" s="15"/>
      <c r="Y78" s="15"/>
      <c r="Z78" s="15"/>
      <c r="AA78" s="15"/>
    </row>
    <row r="79" spans="1:27" s="16" customFormat="1" ht="13.5" thickBot="1" x14ac:dyDescent="0.25">
      <c r="A79" s="24" t="s">
        <v>11</v>
      </c>
      <c r="B79" s="2"/>
      <c r="C79" s="2"/>
      <c r="D79" s="2"/>
      <c r="E79" s="2"/>
      <c r="F79" s="2"/>
      <c r="G79" s="2"/>
      <c r="H79" s="2"/>
      <c r="I79" s="2"/>
      <c r="J79" s="2"/>
      <c r="K79" s="2"/>
      <c r="N79" s="15"/>
      <c r="O79" s="15"/>
      <c r="P79" s="59"/>
      <c r="Q79" s="59"/>
      <c r="R79" s="59"/>
      <c r="S79" s="59"/>
      <c r="T79" s="59"/>
      <c r="W79" s="15"/>
      <c r="X79" s="15"/>
      <c r="Y79" s="15"/>
      <c r="Z79" s="15"/>
      <c r="AA79" s="15"/>
    </row>
    <row r="80" spans="1:27" s="16" customFormat="1" x14ac:dyDescent="0.2">
      <c r="A80" s="29" t="str">
        <f t="shared" ref="A80:J80" si="30">A16</f>
        <v>Keith</v>
      </c>
      <c r="B80" s="17">
        <f t="shared" si="30"/>
        <v>5</v>
      </c>
      <c r="C80" s="3">
        <f t="shared" si="30"/>
        <v>8</v>
      </c>
      <c r="D80" s="3">
        <f t="shared" si="30"/>
        <v>9</v>
      </c>
      <c r="E80" s="3">
        <f t="shared" si="30"/>
        <v>5</v>
      </c>
      <c r="F80" s="3">
        <f t="shared" si="30"/>
        <v>6</v>
      </c>
      <c r="G80" s="3">
        <f t="shared" si="30"/>
        <v>5</v>
      </c>
      <c r="H80" s="3">
        <f t="shared" si="30"/>
        <v>9</v>
      </c>
      <c r="I80" s="3">
        <f t="shared" si="30"/>
        <v>9</v>
      </c>
      <c r="J80" s="4">
        <f t="shared" si="30"/>
        <v>8</v>
      </c>
      <c r="K80" s="12">
        <f>SUM(B80:J80)</f>
        <v>64</v>
      </c>
      <c r="N80" s="15"/>
      <c r="O80" s="15"/>
      <c r="P80" s="59"/>
      <c r="Q80" s="59"/>
      <c r="R80" s="59"/>
      <c r="S80" s="59"/>
      <c r="T80" s="59"/>
      <c r="W80" s="15"/>
      <c r="X80" s="15"/>
      <c r="Y80" s="15"/>
      <c r="Z80" s="15"/>
      <c r="AA80" s="15"/>
    </row>
    <row r="81" spans="1:27" s="16" customFormat="1" x14ac:dyDescent="0.2">
      <c r="A81" s="30">
        <f>A17</f>
        <v>16</v>
      </c>
      <c r="B81" s="18">
        <f>IF(AND(ISNUMBER($A81),ISNUMBER($A87)),IF((RANK(B$4,$B$4:$J$4,1))&lt;=($A81-$A87),1,0),"")</f>
        <v>1</v>
      </c>
      <c r="C81" s="6">
        <f t="shared" ref="C81:J82" si="31">IF(AND(ISNUMBER($A81),ISNUMBER($A87)),IF((RANK(C$4,$B$4:$J$4,1))&lt;=($A81-$A87),1,0),"")</f>
        <v>1</v>
      </c>
      <c r="D81" s="6">
        <f t="shared" si="31"/>
        <v>1</v>
      </c>
      <c r="E81" s="6">
        <f t="shared" si="31"/>
        <v>1</v>
      </c>
      <c r="F81" s="6">
        <f t="shared" si="31"/>
        <v>0</v>
      </c>
      <c r="G81" s="6">
        <f t="shared" si="31"/>
        <v>1</v>
      </c>
      <c r="H81" s="6">
        <f t="shared" si="31"/>
        <v>1</v>
      </c>
      <c r="I81" s="6">
        <f t="shared" si="31"/>
        <v>1</v>
      </c>
      <c r="J81" s="7">
        <f t="shared" si="31"/>
        <v>1</v>
      </c>
      <c r="K81" s="13">
        <f>SUM(B81:J81)</f>
        <v>8</v>
      </c>
      <c r="N81" s="15"/>
      <c r="O81" s="15"/>
      <c r="P81" s="59"/>
      <c r="Q81" s="59"/>
      <c r="R81" s="59"/>
      <c r="S81" s="59"/>
      <c r="T81" s="59"/>
      <c r="W81" s="15"/>
      <c r="X81" s="15"/>
      <c r="Y81" s="15"/>
      <c r="Z81" s="15"/>
      <c r="AA81" s="15"/>
    </row>
    <row r="82" spans="1:27" s="16" customFormat="1" x14ac:dyDescent="0.2">
      <c r="A82" s="30">
        <f>IF((A81-A87)&gt;9,(A81-A87-9),0)</f>
        <v>0</v>
      </c>
      <c r="B82" s="18">
        <f>IF(AND(ISNUMBER($A82),ISNUMBER($A88)),IF((RANK(B$4,$B$4:$J$4,1))&lt;=($A82-$A88),1,0),"")</f>
        <v>0</v>
      </c>
      <c r="C82" s="6">
        <f t="shared" si="31"/>
        <v>0</v>
      </c>
      <c r="D82" s="6">
        <f t="shared" si="31"/>
        <v>0</v>
      </c>
      <c r="E82" s="6">
        <f t="shared" si="31"/>
        <v>0</v>
      </c>
      <c r="F82" s="6">
        <f t="shared" si="31"/>
        <v>0</v>
      </c>
      <c r="G82" s="6">
        <f t="shared" si="31"/>
        <v>0</v>
      </c>
      <c r="H82" s="6">
        <f t="shared" si="31"/>
        <v>0</v>
      </c>
      <c r="I82" s="6">
        <f t="shared" si="31"/>
        <v>0</v>
      </c>
      <c r="J82" s="7">
        <f t="shared" si="31"/>
        <v>0</v>
      </c>
      <c r="K82" s="13">
        <f>SUM(B82:J82)</f>
        <v>0</v>
      </c>
      <c r="N82" s="15"/>
      <c r="O82" s="15"/>
      <c r="P82" s="59"/>
      <c r="Q82" s="59"/>
      <c r="R82" s="59"/>
      <c r="S82" s="59"/>
      <c r="T82" s="59"/>
      <c r="W82" s="15"/>
      <c r="X82" s="15"/>
      <c r="Y82" s="15"/>
      <c r="Z82" s="15"/>
      <c r="AA82" s="15"/>
    </row>
    <row r="83" spans="1:27" s="16" customFormat="1" x14ac:dyDescent="0.2">
      <c r="A83" s="30"/>
      <c r="B83" s="82">
        <f>IF(AND(ISNUMBER(B80),ISNUMBER(B81)),B80-B81-B82," ")</f>
        <v>4</v>
      </c>
      <c r="C83" s="83">
        <f t="shared" ref="C83:J83" si="32">IF(AND(ISNUMBER(C80),ISNUMBER(C81)),C80-C81-C82," ")</f>
        <v>7</v>
      </c>
      <c r="D83" s="83">
        <f t="shared" si="32"/>
        <v>8</v>
      </c>
      <c r="E83" s="83">
        <f t="shared" si="32"/>
        <v>4</v>
      </c>
      <c r="F83" s="83">
        <f t="shared" si="32"/>
        <v>6</v>
      </c>
      <c r="G83" s="83">
        <f t="shared" si="32"/>
        <v>4</v>
      </c>
      <c r="H83" s="83">
        <f t="shared" si="32"/>
        <v>8</v>
      </c>
      <c r="I83" s="83">
        <f t="shared" si="32"/>
        <v>8</v>
      </c>
      <c r="J83" s="84">
        <f t="shared" si="32"/>
        <v>7</v>
      </c>
      <c r="K83" s="13">
        <f>IF(ISNUMBER(FIND("Wins",K84)), 2, IF(ISNUMBER(FIND("Tie",K84)), 1, 0))</f>
        <v>0</v>
      </c>
      <c r="N83" s="15"/>
      <c r="O83" s="15"/>
      <c r="P83" s="59"/>
      <c r="Q83" s="59"/>
      <c r="R83" s="59"/>
      <c r="S83" s="59"/>
      <c r="T83" s="59"/>
      <c r="W83" s="15"/>
      <c r="X83" s="15"/>
      <c r="Y83" s="15"/>
      <c r="Z83" s="15"/>
      <c r="AA83" s="15"/>
    </row>
    <row r="84" spans="1:27" s="16" customFormat="1" ht="13.5" thickBot="1" x14ac:dyDescent="0.25">
      <c r="A84" s="31"/>
      <c r="B84" s="19">
        <f>IF(AND(ISNUMBER(B83),ISNUMBER(B89)),IF(B83&lt;B89, 0+1, (IF(B83&gt;B89, 0-1, 0)))," ")</f>
        <v>1</v>
      </c>
      <c r="C84" s="9">
        <f t="shared" ref="C84:J84" si="33">IF(AND(ISNUMBER(C83),ISNUMBER(C89)),IF(C83&lt;C89, +B84+1, (IF(C83&gt;C89, +B84-1, +B84)))," ")</f>
        <v>0</v>
      </c>
      <c r="D84" s="9">
        <f t="shared" si="33"/>
        <v>-1</v>
      </c>
      <c r="E84" s="9">
        <f t="shared" si="33"/>
        <v>-1</v>
      </c>
      <c r="F84" s="9">
        <f t="shared" si="33"/>
        <v>-2</v>
      </c>
      <c r="G84" s="9">
        <f t="shared" si="33"/>
        <v>-1</v>
      </c>
      <c r="H84" s="9">
        <f t="shared" si="33"/>
        <v>0</v>
      </c>
      <c r="I84" s="9">
        <f t="shared" si="33"/>
        <v>-1</v>
      </c>
      <c r="J84" s="10">
        <f t="shared" si="33"/>
        <v>-2</v>
      </c>
      <c r="K84" s="14" t="str">
        <f>IF(ISNUMBER(J84),IF(F84&gt;4,"Wins " &amp; F84 &amp; " &amp; 4",IF(G84&gt;3,"Wins " &amp; G84 &amp; " &amp; 3",IF(H84&gt;2,"Wins " &amp; H84 &amp; " &amp; 2",IF(I84&gt;1,"Wins " &amp; I84 &amp; " &amp; 1",IF(J84&gt;J90,"Wins " &amp; J84 &amp; " Up",IF(J84&lt;J90,"Loss","Tie"))))))," ")</f>
        <v>Loss</v>
      </c>
      <c r="N84" s="15"/>
      <c r="O84" s="15"/>
      <c r="P84" s="59"/>
      <c r="Q84" s="59"/>
      <c r="R84" s="59"/>
      <c r="S84" s="59"/>
      <c r="T84" s="59"/>
      <c r="W84" s="15"/>
      <c r="X84" s="15"/>
      <c r="Y84" s="15"/>
      <c r="Z84" s="15"/>
      <c r="AA84" s="15"/>
    </row>
    <row r="85" spans="1:27" s="16" customFormat="1" ht="13.5" thickBot="1" x14ac:dyDescent="0.2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N85" s="15"/>
      <c r="O85" s="15"/>
      <c r="P85" s="59"/>
      <c r="Q85" s="59"/>
      <c r="R85" s="59"/>
      <c r="S85" s="59"/>
      <c r="T85" s="59"/>
      <c r="W85" s="15"/>
      <c r="X85" s="15"/>
      <c r="Y85" s="15"/>
      <c r="Z85" s="15"/>
      <c r="AA85" s="15"/>
    </row>
    <row r="86" spans="1:27" s="16" customFormat="1" x14ac:dyDescent="0.2">
      <c r="A86" s="29" t="str">
        <f t="shared" ref="A86:J86" si="34">A20</f>
        <v>Patrick</v>
      </c>
      <c r="B86" s="17">
        <f t="shared" si="34"/>
        <v>6</v>
      </c>
      <c r="C86" s="3">
        <f t="shared" si="34"/>
        <v>3</v>
      </c>
      <c r="D86" s="3">
        <f t="shared" si="34"/>
        <v>5</v>
      </c>
      <c r="E86" s="3">
        <f t="shared" si="34"/>
        <v>4</v>
      </c>
      <c r="F86" s="3">
        <f t="shared" si="34"/>
        <v>5</v>
      </c>
      <c r="G86" s="3">
        <f t="shared" si="34"/>
        <v>6</v>
      </c>
      <c r="H86" s="3">
        <f t="shared" si="34"/>
        <v>9</v>
      </c>
      <c r="I86" s="3">
        <f t="shared" si="34"/>
        <v>7</v>
      </c>
      <c r="J86" s="4">
        <f t="shared" si="34"/>
        <v>5</v>
      </c>
      <c r="K86" s="12">
        <f>SUM(B86:J86)</f>
        <v>50</v>
      </c>
      <c r="N86" s="15"/>
      <c r="O86" s="15"/>
      <c r="P86" s="59"/>
      <c r="Q86" s="59"/>
      <c r="R86" s="59"/>
      <c r="S86" s="59"/>
      <c r="T86" s="59"/>
      <c r="W86" s="15"/>
      <c r="X86" s="15"/>
      <c r="Y86" s="15"/>
      <c r="Z86" s="15"/>
      <c r="AA86" s="15"/>
    </row>
    <row r="87" spans="1:27" s="16" customFormat="1" x14ac:dyDescent="0.2">
      <c r="A87" s="30">
        <f>A21</f>
        <v>8</v>
      </c>
      <c r="B87" s="18">
        <f>IF(AND(ISNUMBER($A81),ISNUMBER($A87)),IF((RANK(B$4,$B$4:$J$4,1))&lt;=($A87-$A81),1,0),"")</f>
        <v>0</v>
      </c>
      <c r="C87" s="6">
        <f t="shared" ref="C87:J88" si="35">IF(AND(ISNUMBER($A81),ISNUMBER($A87)),IF((RANK(C$4,$B$4:$J$4,1))&lt;=($A87-$A81),1,0),"")</f>
        <v>0</v>
      </c>
      <c r="D87" s="6">
        <f t="shared" si="35"/>
        <v>0</v>
      </c>
      <c r="E87" s="6">
        <f t="shared" si="35"/>
        <v>0</v>
      </c>
      <c r="F87" s="6">
        <f t="shared" si="35"/>
        <v>0</v>
      </c>
      <c r="G87" s="6">
        <f t="shared" si="35"/>
        <v>0</v>
      </c>
      <c r="H87" s="6">
        <f t="shared" si="35"/>
        <v>0</v>
      </c>
      <c r="I87" s="6">
        <f t="shared" si="35"/>
        <v>0</v>
      </c>
      <c r="J87" s="7">
        <f t="shared" si="35"/>
        <v>0</v>
      </c>
      <c r="K87" s="13">
        <f>SUM(B87:J87)</f>
        <v>0</v>
      </c>
      <c r="N87" s="15"/>
      <c r="O87" s="15"/>
      <c r="P87" s="59"/>
      <c r="Q87" s="59"/>
      <c r="R87" s="59"/>
      <c r="S87" s="59"/>
      <c r="T87" s="59"/>
      <c r="W87" s="15"/>
      <c r="X87" s="15"/>
      <c r="Y87" s="15"/>
      <c r="Z87" s="15"/>
      <c r="AA87" s="15"/>
    </row>
    <row r="88" spans="1:27" s="16" customFormat="1" x14ac:dyDescent="0.2">
      <c r="A88" s="30">
        <f>IF((A87-A81)&gt;9,(A87-A81-9),0)</f>
        <v>0</v>
      </c>
      <c r="B88" s="18">
        <f>IF(AND(ISNUMBER($A82),ISNUMBER($A88)),IF((RANK(B$4,$B$4:$J$4,1))&lt;=($A88-$A82),1,0),"")</f>
        <v>0</v>
      </c>
      <c r="C88" s="6">
        <f t="shared" si="35"/>
        <v>0</v>
      </c>
      <c r="D88" s="6">
        <f t="shared" si="35"/>
        <v>0</v>
      </c>
      <c r="E88" s="6">
        <f t="shared" si="35"/>
        <v>0</v>
      </c>
      <c r="F88" s="6">
        <f t="shared" si="35"/>
        <v>0</v>
      </c>
      <c r="G88" s="6">
        <f t="shared" si="35"/>
        <v>0</v>
      </c>
      <c r="H88" s="6">
        <f t="shared" si="35"/>
        <v>0</v>
      </c>
      <c r="I88" s="6">
        <f t="shared" si="35"/>
        <v>0</v>
      </c>
      <c r="J88" s="7">
        <f t="shared" si="35"/>
        <v>0</v>
      </c>
      <c r="K88" s="13">
        <f>SUM(B88:J88)</f>
        <v>0</v>
      </c>
      <c r="N88" s="15"/>
      <c r="O88" s="15"/>
      <c r="P88" s="59"/>
      <c r="Q88" s="59"/>
      <c r="R88" s="59"/>
      <c r="S88" s="59"/>
      <c r="T88" s="59"/>
      <c r="W88" s="15"/>
      <c r="X88" s="15"/>
      <c r="Y88" s="15"/>
      <c r="Z88" s="15"/>
      <c r="AA88" s="15"/>
    </row>
    <row r="89" spans="1:27" s="16" customFormat="1" x14ac:dyDescent="0.2">
      <c r="A89" s="30"/>
      <c r="B89" s="82">
        <f>IF(AND(ISNUMBER(B86),ISNUMBER(B87)),B86-B87-B88," ")</f>
        <v>6</v>
      </c>
      <c r="C89" s="83">
        <f t="shared" ref="C89:J89" si="36">IF(AND(ISNUMBER(C86),ISNUMBER(C87)),C86-C87-C88," ")</f>
        <v>3</v>
      </c>
      <c r="D89" s="83">
        <f t="shared" si="36"/>
        <v>5</v>
      </c>
      <c r="E89" s="83">
        <f t="shared" si="36"/>
        <v>4</v>
      </c>
      <c r="F89" s="83">
        <f t="shared" si="36"/>
        <v>5</v>
      </c>
      <c r="G89" s="83">
        <f t="shared" si="36"/>
        <v>6</v>
      </c>
      <c r="H89" s="83">
        <f t="shared" si="36"/>
        <v>9</v>
      </c>
      <c r="I89" s="83">
        <f t="shared" si="36"/>
        <v>7</v>
      </c>
      <c r="J89" s="84">
        <f t="shared" si="36"/>
        <v>5</v>
      </c>
      <c r="K89" s="13">
        <f>IF(ISNUMBER(FIND("Wins",K90)), 2, IF(ISNUMBER(FIND("Tie",K90)), 1, 0))</f>
        <v>2</v>
      </c>
      <c r="N89" s="15"/>
      <c r="O89" s="15"/>
      <c r="P89" s="59"/>
      <c r="Q89" s="59"/>
      <c r="R89" s="59"/>
      <c r="S89" s="59"/>
      <c r="T89" s="59"/>
      <c r="W89" s="15"/>
      <c r="X89" s="15"/>
      <c r="Y89" s="15"/>
      <c r="Z89" s="15"/>
      <c r="AA89" s="15"/>
    </row>
    <row r="90" spans="1:27" s="16" customFormat="1" ht="13.5" thickBot="1" x14ac:dyDescent="0.25">
      <c r="A90" s="31"/>
      <c r="B90" s="19">
        <f>IF(AND(ISNUMBER(B83),ISNUMBER(B89)),IF(B89&lt;B83, 0+1, (IF(B89&gt;B83, 0-1, 0)))," ")</f>
        <v>-1</v>
      </c>
      <c r="C90" s="9">
        <f t="shared" ref="C90:J90" si="37">IF(AND(ISNUMBER(C83),ISNUMBER(C89)),IF(C89&lt;C83, +B90+1, (IF(C89&gt;C83, +B90-1, +B90)))," ")</f>
        <v>0</v>
      </c>
      <c r="D90" s="9">
        <f t="shared" si="37"/>
        <v>1</v>
      </c>
      <c r="E90" s="9">
        <f t="shared" si="37"/>
        <v>1</v>
      </c>
      <c r="F90" s="9">
        <f t="shared" si="37"/>
        <v>2</v>
      </c>
      <c r="G90" s="9">
        <f t="shared" si="37"/>
        <v>1</v>
      </c>
      <c r="H90" s="9">
        <f t="shared" si="37"/>
        <v>0</v>
      </c>
      <c r="I90" s="9">
        <f t="shared" si="37"/>
        <v>1</v>
      </c>
      <c r="J90" s="10">
        <f t="shared" si="37"/>
        <v>2</v>
      </c>
      <c r="K90" s="14" t="str">
        <f>IF(ISNUMBER(J90),IF(F90&gt;4,"Wins " &amp; F90 &amp; " &amp; 4",IF(G90&gt;3,"Wins " &amp; G90 &amp; " &amp; 3",IF(H90&gt;2,"Wins " &amp; H90 &amp; " &amp; 2",IF(I90&gt;1,"Wins " &amp; I90 &amp; " &amp; 1",IF(J90&gt;J84,"Wins " &amp; J90 &amp; " Up",IF(J90&lt;J84,"Loss","Tie"))))))," ")</f>
        <v>Wins 2 Up</v>
      </c>
      <c r="N90" s="15"/>
      <c r="O90" s="15"/>
      <c r="P90" s="59"/>
      <c r="Q90" s="59"/>
      <c r="R90" s="59"/>
      <c r="S90" s="59"/>
      <c r="T90" s="59"/>
      <c r="W90" s="15"/>
      <c r="X90" s="15"/>
      <c r="Y90" s="15"/>
      <c r="Z90" s="15"/>
      <c r="AA90" s="15"/>
    </row>
    <row r="91" spans="1:27" s="16" customFormat="1" x14ac:dyDescent="0.2">
      <c r="A91" s="26"/>
      <c r="B91" s="15"/>
      <c r="C91" s="15"/>
      <c r="D91" s="15"/>
      <c r="E91" s="15"/>
      <c r="F91" s="15"/>
      <c r="G91" s="15"/>
      <c r="H91" s="15"/>
      <c r="I91" s="15"/>
      <c r="J91" s="15"/>
      <c r="K91" s="15"/>
      <c r="N91" s="15"/>
      <c r="O91" s="15"/>
      <c r="P91" s="59"/>
      <c r="Q91" s="59"/>
      <c r="R91" s="59"/>
      <c r="S91" s="59"/>
      <c r="T91" s="59"/>
      <c r="W91" s="15"/>
      <c r="X91" s="15"/>
      <c r="Y91" s="15"/>
      <c r="Z91" s="15"/>
      <c r="AA91" s="15"/>
    </row>
    <row r="92" spans="1:27" s="16" customFormat="1" ht="13.5" thickBot="1" x14ac:dyDescent="0.25">
      <c r="A92" s="24" t="s">
        <v>12</v>
      </c>
      <c r="B92" s="2"/>
      <c r="C92" s="2"/>
      <c r="D92" s="2"/>
      <c r="E92" s="2"/>
      <c r="F92" s="2"/>
      <c r="G92" s="2"/>
      <c r="H92" s="2"/>
      <c r="I92" s="2"/>
      <c r="J92" s="2"/>
      <c r="K92" s="2"/>
      <c r="N92" s="15"/>
      <c r="O92" s="15"/>
      <c r="P92" s="59"/>
      <c r="Q92" s="59"/>
      <c r="R92" s="59"/>
      <c r="S92" s="59"/>
      <c r="T92" s="59"/>
      <c r="W92" s="15"/>
      <c r="X92" s="15"/>
      <c r="Y92" s="15"/>
      <c r="Z92" s="15"/>
      <c r="AA92" s="15"/>
    </row>
    <row r="93" spans="1:27" s="16" customFormat="1" x14ac:dyDescent="0.2">
      <c r="A93" s="29" t="str">
        <f t="shared" ref="A93:J93" si="38">A22</f>
        <v>Brian P</v>
      </c>
      <c r="B93" s="17">
        <f t="shared" si="38"/>
        <v>7</v>
      </c>
      <c r="C93" s="3">
        <f t="shared" si="38"/>
        <v>7</v>
      </c>
      <c r="D93" s="3">
        <f t="shared" si="38"/>
        <v>5</v>
      </c>
      <c r="E93" s="3">
        <f t="shared" si="38"/>
        <v>7</v>
      </c>
      <c r="F93" s="3">
        <f t="shared" si="38"/>
        <v>4</v>
      </c>
      <c r="G93" s="3">
        <f t="shared" si="38"/>
        <v>5</v>
      </c>
      <c r="H93" s="3">
        <f t="shared" si="38"/>
        <v>6</v>
      </c>
      <c r="I93" s="3">
        <f t="shared" si="38"/>
        <v>5</v>
      </c>
      <c r="J93" s="4">
        <f t="shared" si="38"/>
        <v>5</v>
      </c>
      <c r="K93" s="12">
        <f>SUM(B93:J93)</f>
        <v>51</v>
      </c>
      <c r="N93" s="15"/>
      <c r="O93" s="15"/>
      <c r="P93" s="59"/>
      <c r="Q93" s="59"/>
      <c r="R93" s="59"/>
      <c r="S93" s="59"/>
      <c r="T93" s="59"/>
      <c r="W93" s="15"/>
      <c r="X93" s="15"/>
      <c r="Y93" s="15"/>
      <c r="Z93" s="15"/>
      <c r="AA93" s="15"/>
    </row>
    <row r="94" spans="1:27" s="16" customFormat="1" x14ac:dyDescent="0.2">
      <c r="A94" s="30">
        <f>A23</f>
        <v>6</v>
      </c>
      <c r="B94" s="18">
        <f>IF(AND(ISNUMBER($A94),ISNUMBER($A100)),IF((RANK(B$4,$B$4:$J$4,1))&lt;=($A94-$A100),1,0),"")</f>
        <v>0</v>
      </c>
      <c r="C94" s="6">
        <f t="shared" ref="C94:J95" si="39">IF(AND(ISNUMBER($A94),ISNUMBER($A100)),IF((RANK(C$4,$B$4:$J$4,1))&lt;=($A94-$A100),1,0),"")</f>
        <v>0</v>
      </c>
      <c r="D94" s="6">
        <f t="shared" si="39"/>
        <v>0</v>
      </c>
      <c r="E94" s="6">
        <f t="shared" si="39"/>
        <v>0</v>
      </c>
      <c r="F94" s="6">
        <f t="shared" si="39"/>
        <v>0</v>
      </c>
      <c r="G94" s="6">
        <f t="shared" si="39"/>
        <v>0</v>
      </c>
      <c r="H94" s="6">
        <f t="shared" si="39"/>
        <v>0</v>
      </c>
      <c r="I94" s="6">
        <f t="shared" si="39"/>
        <v>0</v>
      </c>
      <c r="J94" s="7">
        <f t="shared" si="39"/>
        <v>0</v>
      </c>
      <c r="K94" s="13">
        <f>SUM(B94:J94)</f>
        <v>0</v>
      </c>
      <c r="N94" s="15"/>
      <c r="O94" s="15"/>
      <c r="P94" s="59"/>
      <c r="Q94" s="59"/>
      <c r="R94" s="59"/>
      <c r="S94" s="59"/>
      <c r="T94" s="59"/>
      <c r="W94" s="15"/>
      <c r="X94" s="15"/>
      <c r="Y94" s="15"/>
      <c r="Z94" s="15"/>
      <c r="AA94" s="15"/>
    </row>
    <row r="95" spans="1:27" s="16" customFormat="1" x14ac:dyDescent="0.2">
      <c r="A95" s="30">
        <f>IF((A94-A100)&gt;9,(A94-A100-9),0)</f>
        <v>0</v>
      </c>
      <c r="B95" s="18">
        <f>IF(AND(ISNUMBER($A95),ISNUMBER($A101)),IF((RANK(B$4,$B$4:$J$4,1))&lt;=($A95-$A101),1,0),"")</f>
        <v>0</v>
      </c>
      <c r="C95" s="6">
        <f t="shared" si="39"/>
        <v>0</v>
      </c>
      <c r="D95" s="6">
        <f t="shared" si="39"/>
        <v>0</v>
      </c>
      <c r="E95" s="6">
        <f t="shared" si="39"/>
        <v>0</v>
      </c>
      <c r="F95" s="6">
        <f t="shared" si="39"/>
        <v>0</v>
      </c>
      <c r="G95" s="6">
        <f t="shared" si="39"/>
        <v>0</v>
      </c>
      <c r="H95" s="6">
        <f t="shared" si="39"/>
        <v>0</v>
      </c>
      <c r="I95" s="6">
        <f t="shared" si="39"/>
        <v>0</v>
      </c>
      <c r="J95" s="7">
        <f t="shared" si="39"/>
        <v>0</v>
      </c>
      <c r="K95" s="13">
        <f>SUM(B95:J95)</f>
        <v>0</v>
      </c>
      <c r="N95" s="15"/>
      <c r="O95" s="15"/>
      <c r="P95" s="59"/>
      <c r="Q95" s="59"/>
      <c r="R95" s="59"/>
      <c r="S95" s="59"/>
      <c r="T95" s="59"/>
      <c r="W95" s="15"/>
      <c r="X95" s="15"/>
      <c r="Y95" s="15"/>
      <c r="Z95" s="15"/>
      <c r="AA95" s="15"/>
    </row>
    <row r="96" spans="1:27" s="16" customFormat="1" x14ac:dyDescent="0.2">
      <c r="A96" s="30"/>
      <c r="B96" s="82">
        <f>IF(AND(ISNUMBER(B93),ISNUMBER(B94)),B93-B94-B95," ")</f>
        <v>7</v>
      </c>
      <c r="C96" s="83">
        <f t="shared" ref="C96:J96" si="40">IF(AND(ISNUMBER(C93),ISNUMBER(C94)),C93-C94-C95," ")</f>
        <v>7</v>
      </c>
      <c r="D96" s="83">
        <f t="shared" si="40"/>
        <v>5</v>
      </c>
      <c r="E96" s="83">
        <f t="shared" si="40"/>
        <v>7</v>
      </c>
      <c r="F96" s="83">
        <f t="shared" si="40"/>
        <v>4</v>
      </c>
      <c r="G96" s="83">
        <f t="shared" si="40"/>
        <v>5</v>
      </c>
      <c r="H96" s="83">
        <f t="shared" si="40"/>
        <v>6</v>
      </c>
      <c r="I96" s="83">
        <f t="shared" si="40"/>
        <v>5</v>
      </c>
      <c r="J96" s="84">
        <f t="shared" si="40"/>
        <v>5</v>
      </c>
      <c r="K96" s="13">
        <f>IF(ISNUMBER(FIND("Wins",K97)), 2, IF(ISNUMBER(FIND("Tie",K97)), 1, 0))</f>
        <v>2</v>
      </c>
      <c r="N96" s="15"/>
      <c r="O96" s="15"/>
      <c r="P96" s="59"/>
      <c r="Q96" s="59"/>
      <c r="R96" s="59"/>
      <c r="S96" s="59"/>
      <c r="T96" s="59"/>
      <c r="W96" s="15"/>
      <c r="X96" s="15"/>
      <c r="Y96" s="15"/>
      <c r="Z96" s="15"/>
      <c r="AA96" s="15"/>
    </row>
    <row r="97" spans="1:27" s="16" customFormat="1" ht="13.5" thickBot="1" x14ac:dyDescent="0.25">
      <c r="A97" s="31"/>
      <c r="B97" s="19">
        <f>IF(AND(ISNUMBER(B96),ISNUMBER(B102)),IF(B96&lt;B102, 0+1, (IF(B96&gt;B102, 0-1, 0)))," ")</f>
        <v>-1</v>
      </c>
      <c r="C97" s="9">
        <f t="shared" ref="C97:J97" si="41">IF(AND(ISNUMBER(C96),ISNUMBER(C102)),IF(C96&lt;C102, +B97+1, (IF(C96&gt;C102, +B97-1, +B97)))," ")</f>
        <v>-1</v>
      </c>
      <c r="D97" s="9">
        <f t="shared" si="41"/>
        <v>-2</v>
      </c>
      <c r="E97" s="9">
        <f t="shared" si="41"/>
        <v>-3</v>
      </c>
      <c r="F97" s="9">
        <f t="shared" si="41"/>
        <v>-2</v>
      </c>
      <c r="G97" s="9">
        <f t="shared" si="41"/>
        <v>-1</v>
      </c>
      <c r="H97" s="9">
        <f t="shared" si="41"/>
        <v>-1</v>
      </c>
      <c r="I97" s="9">
        <f t="shared" si="41"/>
        <v>0</v>
      </c>
      <c r="J97" s="10">
        <f t="shared" si="41"/>
        <v>1</v>
      </c>
      <c r="K97" s="14" t="str">
        <f>IF(ISNUMBER(J97),IF(F97&gt;4,"Wins " &amp; F97 &amp; " &amp; 4",IF(G97&gt;3,"Wins " &amp; G97 &amp; " &amp; 3",IF(H97&gt;2,"Wins " &amp; H97 &amp; " &amp; 2",IF(I97&gt;1,"Wins " &amp; I97 &amp; " &amp; 1",IF(J97&gt;J103,"Wins " &amp; J97 &amp; " Up",IF(J97&lt;J103,"Loss","Tie"))))))," ")</f>
        <v>Wins 1 Up</v>
      </c>
      <c r="N97" s="15"/>
      <c r="O97" s="15"/>
      <c r="P97" s="59"/>
      <c r="Q97" s="59"/>
      <c r="R97" s="59"/>
      <c r="S97" s="59"/>
      <c r="T97" s="59"/>
      <c r="W97" s="15"/>
      <c r="X97" s="15"/>
      <c r="Y97" s="15"/>
      <c r="Z97" s="15"/>
      <c r="AA97" s="15"/>
    </row>
    <row r="98" spans="1:27" s="16" customFormat="1" ht="13.5" thickBot="1" x14ac:dyDescent="0.25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N98" s="15"/>
      <c r="O98" s="15"/>
      <c r="P98" s="59"/>
      <c r="Q98" s="59"/>
      <c r="R98" s="59"/>
      <c r="S98" s="59"/>
      <c r="T98" s="59"/>
      <c r="W98" s="15"/>
      <c r="X98" s="15"/>
      <c r="Y98" s="15"/>
      <c r="Z98" s="15"/>
      <c r="AA98" s="15"/>
    </row>
    <row r="99" spans="1:27" s="16" customFormat="1" x14ac:dyDescent="0.2">
      <c r="A99" s="79" t="str">
        <f t="shared" ref="A99:J99" si="42">A26</f>
        <v>Brian S</v>
      </c>
      <c r="B99" s="17">
        <f t="shared" si="42"/>
        <v>6</v>
      </c>
      <c r="C99" s="3">
        <f t="shared" si="42"/>
        <v>7</v>
      </c>
      <c r="D99" s="3">
        <f t="shared" si="42"/>
        <v>5</v>
      </c>
      <c r="E99" s="3">
        <f t="shared" si="42"/>
        <v>5</v>
      </c>
      <c r="F99" s="3">
        <f t="shared" si="42"/>
        <v>5</v>
      </c>
      <c r="G99" s="3">
        <f t="shared" si="42"/>
        <v>8</v>
      </c>
      <c r="H99" s="3">
        <f t="shared" si="42"/>
        <v>7</v>
      </c>
      <c r="I99" s="3">
        <f t="shared" si="42"/>
        <v>7</v>
      </c>
      <c r="J99" s="4">
        <f t="shared" si="42"/>
        <v>7</v>
      </c>
      <c r="K99" s="12">
        <f>SUM(B99:J99)</f>
        <v>57</v>
      </c>
      <c r="N99" s="15"/>
      <c r="O99" s="15"/>
      <c r="P99" s="59"/>
      <c r="Q99" s="59"/>
      <c r="R99" s="59"/>
      <c r="S99" s="59"/>
      <c r="T99" s="59"/>
      <c r="W99" s="15"/>
      <c r="X99" s="15"/>
      <c r="Y99" s="15"/>
      <c r="Z99" s="15"/>
      <c r="AA99" s="15"/>
    </row>
    <row r="100" spans="1:27" s="16" customFormat="1" x14ac:dyDescent="0.2">
      <c r="A100" s="80">
        <f>A27</f>
        <v>13</v>
      </c>
      <c r="B100" s="18">
        <f>IF(AND(ISNUMBER($A94),ISNUMBER($A100)),IF((RANK(B$4,$B$4:$J$4,1))&lt;=($A100-$A94),1,0),"")</f>
        <v>1</v>
      </c>
      <c r="C100" s="6">
        <f t="shared" ref="C100:J101" si="43">IF(AND(ISNUMBER($A94),ISNUMBER($A100)),IF((RANK(C$4,$B$4:$J$4,1))&lt;=($A100-$A94),1,0),"")</f>
        <v>0</v>
      </c>
      <c r="D100" s="6">
        <f t="shared" si="43"/>
        <v>1</v>
      </c>
      <c r="E100" s="6">
        <f t="shared" si="43"/>
        <v>1</v>
      </c>
      <c r="F100" s="6">
        <f t="shared" si="43"/>
        <v>0</v>
      </c>
      <c r="G100" s="6">
        <f t="shared" si="43"/>
        <v>1</v>
      </c>
      <c r="H100" s="6">
        <f t="shared" si="43"/>
        <v>1</v>
      </c>
      <c r="I100" s="6">
        <f t="shared" si="43"/>
        <v>1</v>
      </c>
      <c r="J100" s="7">
        <f t="shared" si="43"/>
        <v>1</v>
      </c>
      <c r="K100" s="13">
        <f>SUM(B100:J100)</f>
        <v>7</v>
      </c>
      <c r="N100" s="15"/>
      <c r="O100" s="15"/>
      <c r="P100" s="59"/>
      <c r="Q100" s="59"/>
      <c r="R100" s="59"/>
      <c r="S100" s="59"/>
      <c r="T100" s="59"/>
      <c r="W100" s="15"/>
      <c r="X100" s="15"/>
      <c r="Y100" s="15"/>
      <c r="Z100" s="15"/>
      <c r="AA100" s="15"/>
    </row>
    <row r="101" spans="1:27" s="16" customFormat="1" x14ac:dyDescent="0.2">
      <c r="A101" s="80">
        <f>IF((A100-A94)&gt;9,(A100-A94-9),0)</f>
        <v>0</v>
      </c>
      <c r="B101" s="18">
        <f>IF(AND(ISNUMBER($A95),ISNUMBER($A101)),IF((RANK(B$4,$B$4:$J$4,1))&lt;=($A101-$A95),1,0),"")</f>
        <v>0</v>
      </c>
      <c r="C101" s="6">
        <f t="shared" si="43"/>
        <v>0</v>
      </c>
      <c r="D101" s="6">
        <f t="shared" si="43"/>
        <v>0</v>
      </c>
      <c r="E101" s="6">
        <f t="shared" si="43"/>
        <v>0</v>
      </c>
      <c r="F101" s="6">
        <f t="shared" si="43"/>
        <v>0</v>
      </c>
      <c r="G101" s="6">
        <f t="shared" si="43"/>
        <v>0</v>
      </c>
      <c r="H101" s="6">
        <f t="shared" si="43"/>
        <v>0</v>
      </c>
      <c r="I101" s="6">
        <f t="shared" si="43"/>
        <v>0</v>
      </c>
      <c r="J101" s="7">
        <f t="shared" si="43"/>
        <v>0</v>
      </c>
      <c r="K101" s="13">
        <f>SUM(B101:J101)</f>
        <v>0</v>
      </c>
      <c r="N101" s="15"/>
      <c r="O101" s="15"/>
      <c r="P101" s="59"/>
      <c r="Q101" s="59"/>
      <c r="R101" s="59"/>
      <c r="S101" s="59"/>
      <c r="T101" s="59"/>
      <c r="W101" s="15"/>
      <c r="X101" s="15"/>
      <c r="Y101" s="15"/>
      <c r="Z101" s="15"/>
      <c r="AA101" s="15"/>
    </row>
    <row r="102" spans="1:27" s="16" customFormat="1" x14ac:dyDescent="0.2">
      <c r="A102" s="80"/>
      <c r="B102" s="82">
        <f>IF(AND(ISNUMBER(B99),ISNUMBER(B100)),B99-B100-B101," ")</f>
        <v>5</v>
      </c>
      <c r="C102" s="83">
        <f t="shared" ref="C102:J102" si="44">IF(AND(ISNUMBER(C99),ISNUMBER(C100)),C99-C100-C101," ")</f>
        <v>7</v>
      </c>
      <c r="D102" s="83">
        <f t="shared" si="44"/>
        <v>4</v>
      </c>
      <c r="E102" s="83">
        <f t="shared" si="44"/>
        <v>4</v>
      </c>
      <c r="F102" s="83">
        <f t="shared" si="44"/>
        <v>5</v>
      </c>
      <c r="G102" s="83">
        <f t="shared" si="44"/>
        <v>7</v>
      </c>
      <c r="H102" s="83">
        <f t="shared" si="44"/>
        <v>6</v>
      </c>
      <c r="I102" s="83">
        <f t="shared" si="44"/>
        <v>6</v>
      </c>
      <c r="J102" s="84">
        <f t="shared" si="44"/>
        <v>6</v>
      </c>
      <c r="K102" s="13">
        <f>IF(ISNUMBER(FIND("Wins",K103)), 2, IF(ISNUMBER(FIND("Tie",K103)), 1, 0))</f>
        <v>0</v>
      </c>
      <c r="N102" s="15"/>
      <c r="O102" s="15"/>
      <c r="P102" s="59"/>
      <c r="Q102" s="59"/>
      <c r="R102" s="59"/>
      <c r="S102" s="59"/>
      <c r="T102" s="59"/>
      <c r="W102" s="15"/>
      <c r="X102" s="15"/>
      <c r="Y102" s="15"/>
      <c r="Z102" s="15"/>
      <c r="AA102" s="15"/>
    </row>
    <row r="103" spans="1:27" s="16" customFormat="1" ht="13.5" thickBot="1" x14ac:dyDescent="0.25">
      <c r="A103" s="81"/>
      <c r="B103" s="19">
        <f>IF(AND(ISNUMBER(B96),ISNUMBER(B102)),IF(B102&lt;B96, 0+1, (IF(B102&gt;B96, 0-1, 0)))," ")</f>
        <v>1</v>
      </c>
      <c r="C103" s="9">
        <f t="shared" ref="C103:J103" si="45">IF(AND(ISNUMBER(C96),ISNUMBER(C102)),IF(C102&lt;C96, +B103+1, (IF(C102&gt;C96, +B103-1, +B103)))," ")</f>
        <v>1</v>
      </c>
      <c r="D103" s="9">
        <f t="shared" si="45"/>
        <v>2</v>
      </c>
      <c r="E103" s="9">
        <f t="shared" si="45"/>
        <v>3</v>
      </c>
      <c r="F103" s="9">
        <f t="shared" si="45"/>
        <v>2</v>
      </c>
      <c r="G103" s="9">
        <f t="shared" si="45"/>
        <v>1</v>
      </c>
      <c r="H103" s="9">
        <f t="shared" si="45"/>
        <v>1</v>
      </c>
      <c r="I103" s="9">
        <f t="shared" si="45"/>
        <v>0</v>
      </c>
      <c r="J103" s="10">
        <f t="shared" si="45"/>
        <v>-1</v>
      </c>
      <c r="K103" s="14" t="str">
        <f>IF(ISNUMBER(J103),IF(F103&gt;4,"Wins " &amp; F103 &amp; " &amp; 4",IF(G103&gt;3,"Wins " &amp; G103 &amp; " &amp; 3",IF(H103&gt;2,"Wins " &amp; H103 &amp; " &amp; 2",IF(I103&gt;1,"Wins " &amp; I103 &amp; " &amp; 1",IF(J103&gt;J97,"Wins " &amp; J103 &amp; " Up",IF(J103&lt;J97,"Loss","Tie"))))))," ")</f>
        <v>Loss</v>
      </c>
      <c r="N103" s="15"/>
      <c r="O103" s="15"/>
      <c r="P103" s="59"/>
      <c r="Q103" s="59"/>
      <c r="R103" s="59"/>
      <c r="S103" s="59"/>
      <c r="T103" s="59"/>
      <c r="W103" s="15"/>
      <c r="X103" s="15"/>
      <c r="Y103" s="15"/>
      <c r="Z103" s="15"/>
      <c r="AA103" s="15"/>
    </row>
    <row r="104" spans="1:27" s="16" customFormat="1" x14ac:dyDescent="0.2">
      <c r="A104" s="2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N104" s="15"/>
      <c r="O104" s="15"/>
      <c r="P104" s="59"/>
      <c r="Q104" s="59"/>
      <c r="R104" s="59"/>
      <c r="S104" s="59"/>
      <c r="T104" s="59"/>
      <c r="W104" s="15"/>
      <c r="X104" s="15"/>
      <c r="Y104" s="15"/>
      <c r="Z104" s="15"/>
      <c r="AA104" s="15"/>
    </row>
    <row r="105" spans="1:27" s="16" customFormat="1" ht="13.5" thickBot="1" x14ac:dyDescent="0.25">
      <c r="A105" s="24" t="s">
        <v>13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N105" s="15"/>
      <c r="O105" s="15"/>
      <c r="P105" s="59"/>
      <c r="Q105" s="59"/>
      <c r="R105" s="59"/>
      <c r="S105" s="59"/>
      <c r="T105" s="59"/>
      <c r="W105" s="15"/>
      <c r="X105" s="15"/>
      <c r="Y105" s="15"/>
      <c r="Z105" s="15"/>
      <c r="AA105" s="15"/>
    </row>
    <row r="106" spans="1:27" s="16" customFormat="1" x14ac:dyDescent="0.2">
      <c r="A106" s="29" t="str">
        <f t="shared" ref="A106:J106" si="46">A24</f>
        <v>Hunter</v>
      </c>
      <c r="B106" s="17">
        <f t="shared" si="46"/>
        <v>6</v>
      </c>
      <c r="C106" s="3">
        <f t="shared" si="46"/>
        <v>6</v>
      </c>
      <c r="D106" s="3">
        <f t="shared" si="46"/>
        <v>5</v>
      </c>
      <c r="E106" s="3">
        <f t="shared" si="46"/>
        <v>5</v>
      </c>
      <c r="F106" s="3">
        <f t="shared" si="46"/>
        <v>4</v>
      </c>
      <c r="G106" s="3">
        <f t="shared" si="46"/>
        <v>5</v>
      </c>
      <c r="H106" s="3">
        <f t="shared" si="46"/>
        <v>5</v>
      </c>
      <c r="I106" s="3">
        <f t="shared" si="46"/>
        <v>7</v>
      </c>
      <c r="J106" s="4">
        <f t="shared" si="46"/>
        <v>5</v>
      </c>
      <c r="K106" s="12">
        <f>SUM(B106:J106)</f>
        <v>48</v>
      </c>
      <c r="N106" s="15"/>
      <c r="O106" s="15"/>
      <c r="P106" s="59"/>
      <c r="Q106" s="59"/>
      <c r="R106" s="59"/>
      <c r="S106" s="59"/>
      <c r="T106" s="59"/>
      <c r="W106" s="15"/>
      <c r="X106" s="15"/>
      <c r="Y106" s="15"/>
      <c r="Z106" s="15"/>
      <c r="AA106" s="15"/>
    </row>
    <row r="107" spans="1:27" s="16" customFormat="1" x14ac:dyDescent="0.2">
      <c r="A107" s="30">
        <f>A25</f>
        <v>7</v>
      </c>
      <c r="B107" s="18">
        <f>IF(AND(ISNUMBER($A107),ISNUMBER($A113)),IF((RANK(B$4,$B$4:$J$4,1))&lt;=($A107-$A113),1,0),"")</f>
        <v>0</v>
      </c>
      <c r="C107" s="6">
        <f t="shared" ref="C107:J108" si="47">IF(AND(ISNUMBER($A107),ISNUMBER($A113)),IF((RANK(C$4,$B$4:$J$4,1))&lt;=($A107-$A113),1,0),"")</f>
        <v>0</v>
      </c>
      <c r="D107" s="6">
        <f t="shared" si="47"/>
        <v>0</v>
      </c>
      <c r="E107" s="6">
        <f t="shared" si="47"/>
        <v>0</v>
      </c>
      <c r="F107" s="6">
        <f t="shared" si="47"/>
        <v>0</v>
      </c>
      <c r="G107" s="6">
        <f t="shared" si="47"/>
        <v>0</v>
      </c>
      <c r="H107" s="6">
        <f t="shared" si="47"/>
        <v>0</v>
      </c>
      <c r="I107" s="6">
        <f t="shared" si="47"/>
        <v>0</v>
      </c>
      <c r="J107" s="7">
        <f t="shared" si="47"/>
        <v>0</v>
      </c>
      <c r="K107" s="13">
        <f>SUM(B107:J107)</f>
        <v>0</v>
      </c>
      <c r="N107" s="15"/>
      <c r="O107" s="15"/>
      <c r="P107" s="59"/>
      <c r="Q107" s="59"/>
      <c r="R107" s="59"/>
      <c r="S107" s="59"/>
      <c r="T107" s="59"/>
      <c r="W107" s="15"/>
      <c r="X107" s="15"/>
      <c r="Y107" s="15"/>
      <c r="Z107" s="15"/>
      <c r="AA107" s="15"/>
    </row>
    <row r="108" spans="1:27" s="16" customFormat="1" x14ac:dyDescent="0.2">
      <c r="A108" s="30">
        <f>IF((A107-A113)&gt;9,(A107-A113-9),0)</f>
        <v>0</v>
      </c>
      <c r="B108" s="18">
        <f>IF(AND(ISNUMBER($A108),ISNUMBER($A114)),IF((RANK(B$4,$B$4:$J$4,1))&lt;=($A108-$A114),1,0),"")</f>
        <v>0</v>
      </c>
      <c r="C108" s="6">
        <f t="shared" si="47"/>
        <v>0</v>
      </c>
      <c r="D108" s="6">
        <f t="shared" si="47"/>
        <v>0</v>
      </c>
      <c r="E108" s="6">
        <f t="shared" si="47"/>
        <v>0</v>
      </c>
      <c r="F108" s="6">
        <f t="shared" si="47"/>
        <v>0</v>
      </c>
      <c r="G108" s="6">
        <f t="shared" si="47"/>
        <v>0</v>
      </c>
      <c r="H108" s="6">
        <f t="shared" si="47"/>
        <v>0</v>
      </c>
      <c r="I108" s="6">
        <f t="shared" si="47"/>
        <v>0</v>
      </c>
      <c r="J108" s="7">
        <f t="shared" si="47"/>
        <v>0</v>
      </c>
      <c r="K108" s="13">
        <f>SUM(B108:J108)</f>
        <v>0</v>
      </c>
      <c r="N108" s="15"/>
      <c r="O108" s="15"/>
      <c r="P108" s="59"/>
      <c r="Q108" s="59"/>
      <c r="R108" s="59"/>
      <c r="S108" s="59"/>
      <c r="T108" s="59"/>
      <c r="W108" s="15"/>
      <c r="X108" s="15"/>
      <c r="Y108" s="15"/>
      <c r="Z108" s="15"/>
      <c r="AA108" s="15"/>
    </row>
    <row r="109" spans="1:27" s="16" customFormat="1" x14ac:dyDescent="0.2">
      <c r="A109" s="30"/>
      <c r="B109" s="82">
        <f>IF(AND(ISNUMBER(B106),ISNUMBER(B107)),B106-B107-B108," ")</f>
        <v>6</v>
      </c>
      <c r="C109" s="83">
        <f t="shared" ref="C109:J109" si="48">IF(AND(ISNUMBER(C106),ISNUMBER(C107)),C106-C107-C108," ")</f>
        <v>6</v>
      </c>
      <c r="D109" s="83">
        <f t="shared" si="48"/>
        <v>5</v>
      </c>
      <c r="E109" s="83">
        <f t="shared" si="48"/>
        <v>5</v>
      </c>
      <c r="F109" s="83">
        <f t="shared" si="48"/>
        <v>4</v>
      </c>
      <c r="G109" s="83">
        <f t="shared" si="48"/>
        <v>5</v>
      </c>
      <c r="H109" s="83">
        <f t="shared" si="48"/>
        <v>5</v>
      </c>
      <c r="I109" s="83">
        <f t="shared" si="48"/>
        <v>7</v>
      </c>
      <c r="J109" s="84">
        <f t="shared" si="48"/>
        <v>5</v>
      </c>
      <c r="K109" s="13">
        <f>IF(ISNUMBER(FIND("Wins",K110)), 2, IF(ISNUMBER(FIND("Tie",K110)), 1, 0))</f>
        <v>2</v>
      </c>
      <c r="N109" s="15"/>
      <c r="O109" s="15"/>
      <c r="P109" s="59"/>
      <c r="Q109" s="59"/>
      <c r="R109" s="59"/>
      <c r="S109" s="59"/>
      <c r="T109" s="59"/>
      <c r="W109" s="15"/>
      <c r="X109" s="15"/>
      <c r="Y109" s="15"/>
      <c r="Z109" s="15"/>
      <c r="AA109" s="15"/>
    </row>
    <row r="110" spans="1:27" s="16" customFormat="1" ht="13.5" thickBot="1" x14ac:dyDescent="0.25">
      <c r="A110" s="31"/>
      <c r="B110" s="19">
        <f>IF(AND(ISNUMBER(B109),ISNUMBER(B115)),IF(B109&lt;B115, 0+1, (IF(B109&gt;B115, 0-1, 0)))," ")</f>
        <v>0</v>
      </c>
      <c r="C110" s="9">
        <f t="shared" ref="C110:J110" si="49">IF(AND(ISNUMBER(C109),ISNUMBER(C115)),IF(C109&lt;C115, +B110+1, (IF(C109&gt;C115, +B110-1, +B110)))," ")</f>
        <v>-1</v>
      </c>
      <c r="D110" s="9">
        <f t="shared" si="49"/>
        <v>0</v>
      </c>
      <c r="E110" s="9">
        <f t="shared" si="49"/>
        <v>1</v>
      </c>
      <c r="F110" s="9">
        <f t="shared" si="49"/>
        <v>1</v>
      </c>
      <c r="G110" s="9">
        <f t="shared" si="49"/>
        <v>2</v>
      </c>
      <c r="H110" s="9">
        <f t="shared" si="49"/>
        <v>1</v>
      </c>
      <c r="I110" s="9">
        <f t="shared" si="49"/>
        <v>1</v>
      </c>
      <c r="J110" s="10">
        <f t="shared" si="49"/>
        <v>2</v>
      </c>
      <c r="K110" s="14" t="str">
        <f>IF(ISNUMBER(J110),IF(F110&gt;4,"Wins " &amp; F110 &amp; " &amp; 4",IF(G110&gt;3,"Wins " &amp; G110 &amp; " &amp; 3",IF(H110&gt;2,"Wins " &amp; H110 &amp; " &amp; 2",IF(I110&gt;1,"Wins " &amp; I110 &amp; " &amp; 1",IF(J110&gt;J116,"Wins " &amp; J110 &amp; " Up",IF(J110&lt;J116,"Loss","Tie"))))))," ")</f>
        <v>Wins 2 Up</v>
      </c>
      <c r="N110" s="15"/>
      <c r="O110" s="15"/>
      <c r="P110" s="59"/>
      <c r="Q110" s="59"/>
      <c r="R110" s="59"/>
      <c r="S110" s="59"/>
      <c r="T110" s="59"/>
      <c r="W110" s="15"/>
      <c r="X110" s="15"/>
      <c r="Y110" s="15"/>
      <c r="Z110" s="15"/>
      <c r="AA110" s="15"/>
    </row>
    <row r="111" spans="1:27" s="16" customFormat="1" ht="13.5" thickBot="1" x14ac:dyDescent="0.25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N111" s="15"/>
      <c r="O111" s="15"/>
      <c r="P111" s="59"/>
      <c r="Q111" s="59"/>
      <c r="R111" s="59"/>
      <c r="S111" s="59"/>
      <c r="T111" s="59"/>
      <c r="W111" s="15"/>
      <c r="X111" s="15"/>
      <c r="Y111" s="15"/>
      <c r="Z111" s="15"/>
      <c r="AA111" s="15"/>
    </row>
    <row r="112" spans="1:27" s="16" customFormat="1" x14ac:dyDescent="0.2">
      <c r="A112" s="29" t="str">
        <f t="shared" ref="A112:J112" si="50">A28</f>
        <v>Tony W</v>
      </c>
      <c r="B112" s="17">
        <f t="shared" si="50"/>
        <v>7</v>
      </c>
      <c r="C112" s="3">
        <f t="shared" si="50"/>
        <v>5</v>
      </c>
      <c r="D112" s="3">
        <f t="shared" si="50"/>
        <v>6</v>
      </c>
      <c r="E112" s="3">
        <f t="shared" si="50"/>
        <v>7</v>
      </c>
      <c r="F112" s="3">
        <f t="shared" si="50"/>
        <v>4</v>
      </c>
      <c r="G112" s="3">
        <f t="shared" si="50"/>
        <v>7</v>
      </c>
      <c r="H112" s="3">
        <f t="shared" si="50"/>
        <v>5</v>
      </c>
      <c r="I112" s="3">
        <f t="shared" si="50"/>
        <v>8</v>
      </c>
      <c r="J112" s="4">
        <f t="shared" si="50"/>
        <v>9</v>
      </c>
      <c r="K112" s="12">
        <f>SUM(B112:J112)</f>
        <v>58</v>
      </c>
      <c r="N112" s="15"/>
      <c r="O112" s="15"/>
      <c r="P112" s="59"/>
      <c r="Q112" s="59"/>
      <c r="R112" s="59"/>
      <c r="S112" s="59"/>
      <c r="T112" s="59"/>
      <c r="W112" s="15"/>
      <c r="X112" s="15"/>
      <c r="Y112" s="15"/>
      <c r="Z112" s="15"/>
      <c r="AA112" s="15"/>
    </row>
    <row r="113" spans="1:27" s="16" customFormat="1" x14ac:dyDescent="0.2">
      <c r="A113" s="30">
        <f>A29</f>
        <v>10</v>
      </c>
      <c r="B113" s="18">
        <f>IF(AND(ISNUMBER($A107),ISNUMBER($A113)),IF((RANK(B$4,$B$4:$J$4,1))&lt;=($A113-$A107),1,0),"")</f>
        <v>1</v>
      </c>
      <c r="C113" s="6">
        <f t="shared" ref="C113:J114" si="51">IF(AND(ISNUMBER($A107),ISNUMBER($A113)),IF((RANK(C$4,$B$4:$J$4,1))&lt;=($A113-$A107),1,0),"")</f>
        <v>0</v>
      </c>
      <c r="D113" s="6">
        <f t="shared" si="51"/>
        <v>0</v>
      </c>
      <c r="E113" s="6">
        <f t="shared" si="51"/>
        <v>0</v>
      </c>
      <c r="F113" s="6">
        <f t="shared" si="51"/>
        <v>0</v>
      </c>
      <c r="G113" s="6">
        <f t="shared" si="51"/>
        <v>0</v>
      </c>
      <c r="H113" s="6">
        <f t="shared" si="51"/>
        <v>1</v>
      </c>
      <c r="I113" s="6">
        <f t="shared" si="51"/>
        <v>1</v>
      </c>
      <c r="J113" s="7">
        <f t="shared" si="51"/>
        <v>0</v>
      </c>
      <c r="K113" s="13">
        <f>SUM(B113:J113)</f>
        <v>3</v>
      </c>
      <c r="N113" s="15"/>
      <c r="O113" s="15"/>
      <c r="P113" s="59"/>
      <c r="Q113" s="59"/>
      <c r="R113" s="59"/>
      <c r="S113" s="59"/>
      <c r="T113" s="59"/>
      <c r="W113" s="15"/>
      <c r="X113" s="15"/>
      <c r="Y113" s="15"/>
      <c r="Z113" s="15"/>
      <c r="AA113" s="15"/>
    </row>
    <row r="114" spans="1:27" s="16" customFormat="1" x14ac:dyDescent="0.2">
      <c r="A114" s="30">
        <f>IF((A113-A107)&gt;9,(A113-A107-9),0)</f>
        <v>0</v>
      </c>
      <c r="B114" s="18">
        <f>IF(AND(ISNUMBER($A108),ISNUMBER($A114)),IF((RANK(B$4,$B$4:$J$4,1))&lt;=($A114-$A108),1,0),"")</f>
        <v>0</v>
      </c>
      <c r="C114" s="6">
        <f t="shared" si="51"/>
        <v>0</v>
      </c>
      <c r="D114" s="6">
        <f t="shared" si="51"/>
        <v>0</v>
      </c>
      <c r="E114" s="6">
        <f t="shared" si="51"/>
        <v>0</v>
      </c>
      <c r="F114" s="6">
        <f t="shared" si="51"/>
        <v>0</v>
      </c>
      <c r="G114" s="6">
        <f t="shared" si="51"/>
        <v>0</v>
      </c>
      <c r="H114" s="6">
        <f t="shared" si="51"/>
        <v>0</v>
      </c>
      <c r="I114" s="6">
        <f t="shared" si="51"/>
        <v>0</v>
      </c>
      <c r="J114" s="7">
        <f t="shared" si="51"/>
        <v>0</v>
      </c>
      <c r="K114" s="13">
        <f>SUM(B114:J114)</f>
        <v>0</v>
      </c>
      <c r="N114" s="15"/>
      <c r="O114" s="15"/>
      <c r="P114" s="59"/>
      <c r="Q114" s="59"/>
      <c r="R114" s="59"/>
      <c r="S114" s="59"/>
      <c r="T114" s="59"/>
      <c r="W114" s="15"/>
      <c r="X114" s="15"/>
      <c r="Y114" s="15"/>
      <c r="Z114" s="15"/>
      <c r="AA114" s="15"/>
    </row>
    <row r="115" spans="1:27" s="16" customFormat="1" x14ac:dyDescent="0.2">
      <c r="A115" s="30"/>
      <c r="B115" s="82">
        <f>IF(AND(ISNUMBER(B112),ISNUMBER(B113)),B112-B113-B114," ")</f>
        <v>6</v>
      </c>
      <c r="C115" s="83">
        <f t="shared" ref="C115:J115" si="52">IF(AND(ISNUMBER(C112),ISNUMBER(C113)),C112-C113-C114," ")</f>
        <v>5</v>
      </c>
      <c r="D115" s="83">
        <f t="shared" si="52"/>
        <v>6</v>
      </c>
      <c r="E115" s="83">
        <f t="shared" si="52"/>
        <v>7</v>
      </c>
      <c r="F115" s="83">
        <f t="shared" si="52"/>
        <v>4</v>
      </c>
      <c r="G115" s="83">
        <f t="shared" si="52"/>
        <v>7</v>
      </c>
      <c r="H115" s="83">
        <f t="shared" si="52"/>
        <v>4</v>
      </c>
      <c r="I115" s="83">
        <f t="shared" si="52"/>
        <v>7</v>
      </c>
      <c r="J115" s="84">
        <f t="shared" si="52"/>
        <v>9</v>
      </c>
      <c r="K115" s="13">
        <f>IF(ISNUMBER(FIND("Wins",K116)), 2, IF(ISNUMBER(FIND("Tie",K116)), 1, 0))</f>
        <v>0</v>
      </c>
      <c r="N115" s="15"/>
      <c r="O115" s="15"/>
      <c r="P115" s="59"/>
      <c r="Q115" s="59"/>
      <c r="R115" s="59"/>
      <c r="S115" s="59"/>
      <c r="T115" s="59"/>
      <c r="W115" s="15"/>
      <c r="X115" s="15"/>
      <c r="Y115" s="15"/>
      <c r="Z115" s="15"/>
      <c r="AA115" s="15"/>
    </row>
    <row r="116" spans="1:27" s="16" customFormat="1" ht="13.5" thickBot="1" x14ac:dyDescent="0.25">
      <c r="A116" s="31"/>
      <c r="B116" s="19">
        <f>IF(AND(ISNUMBER(B109),ISNUMBER(B115)),IF(B115&lt;B109, 0+1, (IF(B115&gt;B109, 0-1, 0)))," ")</f>
        <v>0</v>
      </c>
      <c r="C116" s="9">
        <f t="shared" ref="C116:J116" si="53">IF(AND(ISNUMBER(C109),ISNUMBER(C115)),IF(C115&lt;C109, +B116+1, (IF(C115&gt;C109, +B116-1, +B116)))," ")</f>
        <v>1</v>
      </c>
      <c r="D116" s="9">
        <f t="shared" si="53"/>
        <v>0</v>
      </c>
      <c r="E116" s="9">
        <f t="shared" si="53"/>
        <v>-1</v>
      </c>
      <c r="F116" s="9">
        <f t="shared" si="53"/>
        <v>-1</v>
      </c>
      <c r="G116" s="9">
        <f t="shared" si="53"/>
        <v>-2</v>
      </c>
      <c r="H116" s="9">
        <f t="shared" si="53"/>
        <v>-1</v>
      </c>
      <c r="I116" s="9">
        <f t="shared" si="53"/>
        <v>-1</v>
      </c>
      <c r="J116" s="10">
        <f t="shared" si="53"/>
        <v>-2</v>
      </c>
      <c r="K116" s="14" t="str">
        <f>IF(ISNUMBER(J116),IF(F116&gt;4,"Wins " &amp; F116 &amp; " &amp; 4",IF(G116&gt;3,"Wins " &amp; G116 &amp; " &amp; 3",IF(H116&gt;2,"Wins " &amp; H116 &amp; " &amp; 2",IF(I116&gt;1,"Wins " &amp; I116 &amp; " &amp; 1",IF(J116&gt;J110,"Wins " &amp; J116 &amp; " Up",IF(J116&lt;J110,"Loss","Tie"))))))," ")</f>
        <v>Loss</v>
      </c>
      <c r="N116" s="15"/>
      <c r="O116" s="15"/>
      <c r="P116" s="59"/>
      <c r="Q116" s="59"/>
      <c r="R116" s="59"/>
      <c r="S116" s="59"/>
      <c r="T116" s="59"/>
      <c r="W116" s="15"/>
      <c r="X116" s="15"/>
      <c r="Y116" s="15"/>
      <c r="Z116" s="15"/>
      <c r="AA116" s="15"/>
    </row>
    <row r="117" spans="1:27" s="16" customFormat="1" x14ac:dyDescent="0.2">
      <c r="A117" s="26"/>
      <c r="B117" s="85"/>
      <c r="C117" s="85"/>
      <c r="D117" s="85"/>
      <c r="E117" s="85"/>
      <c r="F117" s="85"/>
      <c r="G117" s="85"/>
      <c r="H117" s="85"/>
      <c r="I117" s="85"/>
      <c r="J117" s="85"/>
      <c r="K117" s="15"/>
      <c r="N117" s="15"/>
      <c r="O117" s="15"/>
      <c r="P117" s="59"/>
      <c r="Q117" s="59"/>
      <c r="R117" s="59"/>
      <c r="S117" s="59"/>
      <c r="T117" s="59"/>
      <c r="W117" s="15"/>
      <c r="X117" s="15"/>
      <c r="Y117" s="15"/>
      <c r="Z117" s="15"/>
      <c r="AA117" s="15"/>
    </row>
    <row r="118" spans="1:27" ht="13.5" thickBot="1" x14ac:dyDescent="0.25">
      <c r="A118" s="24" t="s">
        <v>82</v>
      </c>
    </row>
    <row r="119" spans="1:27" x14ac:dyDescent="0.2">
      <c r="A119" s="79" t="str">
        <f t="shared" ref="A119:J119" si="54">A30</f>
        <v xml:space="preserve">Pat </v>
      </c>
      <c r="B119" s="17">
        <f t="shared" si="54"/>
        <v>6</v>
      </c>
      <c r="C119" s="3">
        <f t="shared" si="54"/>
        <v>4</v>
      </c>
      <c r="D119" s="3">
        <f t="shared" si="54"/>
        <v>6</v>
      </c>
      <c r="E119" s="3">
        <f t="shared" si="54"/>
        <v>5</v>
      </c>
      <c r="F119" s="3">
        <f t="shared" si="54"/>
        <v>4</v>
      </c>
      <c r="G119" s="3">
        <f t="shared" si="54"/>
        <v>5</v>
      </c>
      <c r="H119" s="3">
        <f t="shared" si="54"/>
        <v>5</v>
      </c>
      <c r="I119" s="3">
        <f t="shared" si="54"/>
        <v>8</v>
      </c>
      <c r="J119" s="4">
        <f t="shared" si="54"/>
        <v>4</v>
      </c>
      <c r="K119" s="12">
        <f>SUM(B119:J119)</f>
        <v>47</v>
      </c>
    </row>
    <row r="120" spans="1:27" x14ac:dyDescent="0.2">
      <c r="A120" s="80">
        <f>A31</f>
        <v>6</v>
      </c>
      <c r="B120" s="18">
        <f>IF(AND(ISNUMBER($A120),ISNUMBER($A126)),IF((RANK(B$4,$B$4:$J$4,1))&lt;=($A120-$A126),1,0),"")</f>
        <v>0</v>
      </c>
      <c r="C120" s="6">
        <f t="shared" ref="C120:J120" si="55">IF(AND(ISNUMBER($A120),ISNUMBER($A126)),IF((RANK(C$4,$B$4:$J$4,1))&lt;=($A120-$A126),1,0),"")</f>
        <v>0</v>
      </c>
      <c r="D120" s="6">
        <f t="shared" si="55"/>
        <v>0</v>
      </c>
      <c r="E120" s="6">
        <f t="shared" si="55"/>
        <v>0</v>
      </c>
      <c r="F120" s="6">
        <f t="shared" si="55"/>
        <v>0</v>
      </c>
      <c r="G120" s="6">
        <f t="shared" si="55"/>
        <v>0</v>
      </c>
      <c r="H120" s="6">
        <f t="shared" si="55"/>
        <v>0</v>
      </c>
      <c r="I120" s="6">
        <f t="shared" si="55"/>
        <v>0</v>
      </c>
      <c r="J120" s="7">
        <f t="shared" si="55"/>
        <v>0</v>
      </c>
      <c r="K120" s="13">
        <f>SUM(B120:J120)</f>
        <v>0</v>
      </c>
    </row>
    <row r="121" spans="1:27" x14ac:dyDescent="0.2">
      <c r="A121" s="80">
        <f>IF((A120-A126)&gt;9,(A120-A126-9),0)</f>
        <v>0</v>
      </c>
      <c r="B121" s="18">
        <f>IF(AND(ISNUMBER($A121),ISNUMBER($A127)),IF((RANK(B$4,$B$4:$J$4,1))&lt;=($A121-$A127),1,0),"")</f>
        <v>0</v>
      </c>
      <c r="C121" s="6">
        <f t="shared" ref="C121:J121" si="56">IF(AND(ISNUMBER($A121),ISNUMBER($A127)),IF((RANK(C$4,$B$4:$J$4,1))&lt;=($A121-$A127),1,0),"")</f>
        <v>0</v>
      </c>
      <c r="D121" s="6">
        <f t="shared" si="56"/>
        <v>0</v>
      </c>
      <c r="E121" s="6">
        <f t="shared" si="56"/>
        <v>0</v>
      </c>
      <c r="F121" s="6">
        <f t="shared" si="56"/>
        <v>0</v>
      </c>
      <c r="G121" s="6">
        <f t="shared" si="56"/>
        <v>0</v>
      </c>
      <c r="H121" s="6">
        <f t="shared" si="56"/>
        <v>0</v>
      </c>
      <c r="I121" s="6">
        <f t="shared" si="56"/>
        <v>0</v>
      </c>
      <c r="J121" s="7">
        <f t="shared" si="56"/>
        <v>0</v>
      </c>
      <c r="K121" s="13">
        <f>SUM(B121:J121)</f>
        <v>0</v>
      </c>
    </row>
    <row r="122" spans="1:27" x14ac:dyDescent="0.2">
      <c r="A122" s="80"/>
      <c r="B122" s="82">
        <f>IF(AND(ISNUMBER(B119),ISNUMBER(B120)),B119-B120-B121," ")</f>
        <v>6</v>
      </c>
      <c r="C122" s="83">
        <f t="shared" ref="C122:J122" si="57">IF(AND(ISNUMBER(C119),ISNUMBER(C120)),C119-C120-C121," ")</f>
        <v>4</v>
      </c>
      <c r="D122" s="83">
        <f t="shared" si="57"/>
        <v>6</v>
      </c>
      <c r="E122" s="83">
        <f t="shared" si="57"/>
        <v>5</v>
      </c>
      <c r="F122" s="83">
        <f t="shared" si="57"/>
        <v>4</v>
      </c>
      <c r="G122" s="83">
        <f t="shared" si="57"/>
        <v>5</v>
      </c>
      <c r="H122" s="83">
        <f t="shared" si="57"/>
        <v>5</v>
      </c>
      <c r="I122" s="83">
        <f t="shared" si="57"/>
        <v>8</v>
      </c>
      <c r="J122" s="84">
        <f t="shared" si="57"/>
        <v>4</v>
      </c>
      <c r="K122" s="13">
        <f>IF(ISNUMBER(FIND("Wins",K123)), 2, IF(ISNUMBER(FIND("Tie",K123)), 1, 0))</f>
        <v>0</v>
      </c>
    </row>
    <row r="123" spans="1:27" ht="13.5" thickBot="1" x14ac:dyDescent="0.25">
      <c r="A123" s="81"/>
      <c r="B123" s="19">
        <f>IF(AND(ISNUMBER(B122),ISNUMBER(B128)),IF(B122&lt;B128, 0+1, (IF(B122&gt;B128, 0-1, 0)))," ")</f>
        <v>-1</v>
      </c>
      <c r="C123" s="9">
        <f t="shared" ref="C123:J123" si="58">IF(AND(ISNUMBER(C122),ISNUMBER(C128)),IF(C122&lt;C128, +B123+1, (IF(C122&gt;C128, +B123-1, +B123)))," ")</f>
        <v>0</v>
      </c>
      <c r="D123" s="9">
        <f t="shared" si="58"/>
        <v>-1</v>
      </c>
      <c r="E123" s="9">
        <f t="shared" si="58"/>
        <v>-1</v>
      </c>
      <c r="F123" s="9">
        <f t="shared" si="58"/>
        <v>0</v>
      </c>
      <c r="G123" s="9">
        <f t="shared" si="58"/>
        <v>-1</v>
      </c>
      <c r="H123" s="9">
        <f t="shared" si="58"/>
        <v>-2</v>
      </c>
      <c r="I123" s="9">
        <f t="shared" si="58"/>
        <v>-3</v>
      </c>
      <c r="J123" s="10">
        <f t="shared" si="58"/>
        <v>-2</v>
      </c>
      <c r="K123" s="14" t="str">
        <f>IF(ISNUMBER(J123),IF(F123&gt;4,"Wins " &amp; F123 &amp; " &amp; 4",IF(G123&gt;3,"Wins " &amp; G123 &amp; " &amp; 3",IF(H123&gt;2,"Wins " &amp; H123 &amp; " &amp; 2",IF(I123&gt;1,"Wins " &amp; I123 &amp; " &amp; 1",IF(J123&gt;J129,"Wins " &amp; J123 &amp; " Up",IF(J123&lt;J129,"Loss","Tie"))))))," ")</f>
        <v>Loss</v>
      </c>
    </row>
    <row r="124" spans="1:27" ht="13.5" thickBot="1" x14ac:dyDescent="0.25">
      <c r="A124" s="32"/>
    </row>
    <row r="125" spans="1:27" x14ac:dyDescent="0.2">
      <c r="A125" s="79" t="str">
        <f t="shared" ref="A125:J125" si="59">A34</f>
        <v>Gerald C</v>
      </c>
      <c r="B125" s="17">
        <f t="shared" si="59"/>
        <v>6</v>
      </c>
      <c r="C125" s="3">
        <f t="shared" si="59"/>
        <v>6</v>
      </c>
      <c r="D125" s="3">
        <f t="shared" si="59"/>
        <v>5</v>
      </c>
      <c r="E125" s="3">
        <f t="shared" si="59"/>
        <v>6</v>
      </c>
      <c r="F125" s="3">
        <f t="shared" si="59"/>
        <v>6</v>
      </c>
      <c r="G125" s="3">
        <f t="shared" si="59"/>
        <v>4</v>
      </c>
      <c r="H125" s="3">
        <f t="shared" si="59"/>
        <v>5</v>
      </c>
      <c r="I125" s="3">
        <f t="shared" si="59"/>
        <v>5</v>
      </c>
      <c r="J125" s="4">
        <f t="shared" si="59"/>
        <v>8</v>
      </c>
      <c r="K125" s="12">
        <f>SUM(B125:J125)</f>
        <v>51</v>
      </c>
    </row>
    <row r="126" spans="1:27" x14ac:dyDescent="0.2">
      <c r="A126" s="80">
        <f>A35</f>
        <v>12</v>
      </c>
      <c r="B126" s="18">
        <f>IF(AND(ISNUMBER($A120),ISNUMBER($A126)),IF((RANK(B$4,$B$4:$J$4,1))&lt;=($A126-$A120),1,0),"")</f>
        <v>1</v>
      </c>
      <c r="C126" s="6">
        <f t="shared" ref="C126:J126" si="60">IF(AND(ISNUMBER($A120),ISNUMBER($A126)),IF((RANK(C$4,$B$4:$J$4,1))&lt;=($A126-$A120),1,0),"")</f>
        <v>0</v>
      </c>
      <c r="D126" s="6">
        <f t="shared" si="60"/>
        <v>1</v>
      </c>
      <c r="E126" s="6">
        <f t="shared" si="60"/>
        <v>1</v>
      </c>
      <c r="F126" s="6">
        <f t="shared" si="60"/>
        <v>0</v>
      </c>
      <c r="G126" s="6">
        <f t="shared" si="60"/>
        <v>0</v>
      </c>
      <c r="H126" s="6">
        <f t="shared" si="60"/>
        <v>1</v>
      </c>
      <c r="I126" s="6">
        <f t="shared" si="60"/>
        <v>1</v>
      </c>
      <c r="J126" s="7">
        <f t="shared" si="60"/>
        <v>1</v>
      </c>
      <c r="K126" s="13">
        <f>SUM(B126:J126)</f>
        <v>6</v>
      </c>
    </row>
    <row r="127" spans="1:27" x14ac:dyDescent="0.2">
      <c r="A127" s="80">
        <f>IF((A126-A120)&gt;9,(A126-A120-9),0)</f>
        <v>0</v>
      </c>
      <c r="B127" s="18">
        <f>IF(AND(ISNUMBER($A121),ISNUMBER($A127)),IF((RANK(B$4,$B$4:$J$4,1))&lt;=($A127-$A121),1,0),"")</f>
        <v>0</v>
      </c>
      <c r="C127" s="6">
        <f t="shared" ref="C127:J127" si="61">IF(AND(ISNUMBER($A121),ISNUMBER($A127)),IF((RANK(C$4,$B$4:$J$4,1))&lt;=($A127-$A121),1,0),"")</f>
        <v>0</v>
      </c>
      <c r="D127" s="6">
        <f t="shared" si="61"/>
        <v>0</v>
      </c>
      <c r="E127" s="6">
        <f t="shared" si="61"/>
        <v>0</v>
      </c>
      <c r="F127" s="6">
        <f t="shared" si="61"/>
        <v>0</v>
      </c>
      <c r="G127" s="6">
        <f t="shared" si="61"/>
        <v>0</v>
      </c>
      <c r="H127" s="6">
        <f t="shared" si="61"/>
        <v>0</v>
      </c>
      <c r="I127" s="6">
        <f t="shared" si="61"/>
        <v>0</v>
      </c>
      <c r="J127" s="7">
        <f t="shared" si="61"/>
        <v>0</v>
      </c>
      <c r="K127" s="13">
        <f>SUM(B127:J127)</f>
        <v>0</v>
      </c>
    </row>
    <row r="128" spans="1:27" x14ac:dyDescent="0.2">
      <c r="A128" s="80"/>
      <c r="B128" s="82">
        <f>IF(AND(ISNUMBER(B125),ISNUMBER(B126)),B125-B126-B127," ")</f>
        <v>5</v>
      </c>
      <c r="C128" s="83">
        <f t="shared" ref="C128:J128" si="62">IF(AND(ISNUMBER(C125),ISNUMBER(C126)),C125-C126-C127," ")</f>
        <v>6</v>
      </c>
      <c r="D128" s="83">
        <f t="shared" si="62"/>
        <v>4</v>
      </c>
      <c r="E128" s="83">
        <f t="shared" si="62"/>
        <v>5</v>
      </c>
      <c r="F128" s="83">
        <f t="shared" si="62"/>
        <v>6</v>
      </c>
      <c r="G128" s="83">
        <f t="shared" si="62"/>
        <v>4</v>
      </c>
      <c r="H128" s="83">
        <f t="shared" si="62"/>
        <v>4</v>
      </c>
      <c r="I128" s="83">
        <f t="shared" si="62"/>
        <v>4</v>
      </c>
      <c r="J128" s="84">
        <f t="shared" si="62"/>
        <v>7</v>
      </c>
      <c r="K128" s="13">
        <f>IF(ISNUMBER(FIND("Wins",K129)), 2, IF(ISNUMBER(FIND("Tie",K129)), 1, 0))</f>
        <v>2</v>
      </c>
    </row>
    <row r="129" spans="1:11" ht="13.5" thickBot="1" x14ac:dyDescent="0.25">
      <c r="A129" s="81"/>
      <c r="B129" s="19">
        <f>IF(AND(ISNUMBER(B122),ISNUMBER(B128)),IF(B128&lt;B122, 0+1, (IF(B128&gt;B122, 0-1, 0)))," ")</f>
        <v>1</v>
      </c>
      <c r="C129" s="9">
        <f t="shared" ref="C129:J129" si="63">IF(AND(ISNUMBER(C122),ISNUMBER(C128)),IF(C128&lt;C122, +B129+1, (IF(C128&gt;C122, +B129-1, +B129)))," ")</f>
        <v>0</v>
      </c>
      <c r="D129" s="9">
        <f t="shared" si="63"/>
        <v>1</v>
      </c>
      <c r="E129" s="9">
        <f t="shared" si="63"/>
        <v>1</v>
      </c>
      <c r="F129" s="9">
        <f t="shared" si="63"/>
        <v>0</v>
      </c>
      <c r="G129" s="9">
        <f t="shared" si="63"/>
        <v>1</v>
      </c>
      <c r="H129" s="9">
        <f t="shared" si="63"/>
        <v>2</v>
      </c>
      <c r="I129" s="9">
        <f t="shared" si="63"/>
        <v>3</v>
      </c>
      <c r="J129" s="10">
        <f t="shared" si="63"/>
        <v>2</v>
      </c>
      <c r="K129" s="14" t="str">
        <f>IF(ISNUMBER(J129),IF(F129&gt;4,"Wins " &amp; F129 &amp; " &amp; 4",IF(G129&gt;3,"Wins " &amp; G129 &amp; " &amp; 3",IF(H129&gt;2,"Wins " &amp; H129 &amp; " &amp; 2",IF(I129&gt;1,"Wins " &amp; I129 &amp; " &amp; 1",IF(J129&gt;J123,"Wins " &amp; J129 &amp; " Up",IF(J129&lt;J123,"Loss","Tie"))))))," ")</f>
        <v>Wins 3 &amp; 1</v>
      </c>
    </row>
    <row r="130" spans="1:11" x14ac:dyDescent="0.2">
      <c r="A130" s="26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ht="13.5" thickBot="1" x14ac:dyDescent="0.25">
      <c r="A131" s="24" t="s">
        <v>133</v>
      </c>
    </row>
    <row r="132" spans="1:11" x14ac:dyDescent="0.2">
      <c r="A132" s="29" t="str">
        <f t="shared" ref="A132:J132" si="64">A32</f>
        <v>Chris</v>
      </c>
      <c r="B132" s="17">
        <f t="shared" si="64"/>
        <v>6</v>
      </c>
      <c r="C132" s="3">
        <f t="shared" si="64"/>
        <v>5</v>
      </c>
      <c r="D132" s="3">
        <f t="shared" si="64"/>
        <v>5</v>
      </c>
      <c r="E132" s="3">
        <f t="shared" si="64"/>
        <v>5</v>
      </c>
      <c r="F132" s="3">
        <f t="shared" si="64"/>
        <v>4</v>
      </c>
      <c r="G132" s="3">
        <f t="shared" si="64"/>
        <v>5</v>
      </c>
      <c r="H132" s="3">
        <f t="shared" si="64"/>
        <v>4</v>
      </c>
      <c r="I132" s="3">
        <f t="shared" si="64"/>
        <v>8</v>
      </c>
      <c r="J132" s="4">
        <f t="shared" si="64"/>
        <v>6</v>
      </c>
      <c r="K132" s="12">
        <f>SUM(B132:J132)</f>
        <v>48</v>
      </c>
    </row>
    <row r="133" spans="1:11" x14ac:dyDescent="0.2">
      <c r="A133" s="30">
        <f>A33</f>
        <v>15</v>
      </c>
      <c r="B133" s="18">
        <f>IF(AND(ISNUMBER($A133),ISNUMBER($A139)),IF((RANK(B$4,$B$4:$J$4,1))&lt;=($A133-$A139),1,0),"")</f>
        <v>0</v>
      </c>
      <c r="C133" s="6">
        <f t="shared" ref="C133:J133" si="65">IF(AND(ISNUMBER($A133),ISNUMBER($A139)),IF((RANK(C$4,$B$4:$J$4,1))&lt;=($A133-$A139),1,0),"")</f>
        <v>0</v>
      </c>
      <c r="D133" s="6">
        <f t="shared" si="65"/>
        <v>0</v>
      </c>
      <c r="E133" s="6">
        <f t="shared" si="65"/>
        <v>0</v>
      </c>
      <c r="F133" s="6">
        <f t="shared" si="65"/>
        <v>0</v>
      </c>
      <c r="G133" s="6">
        <f t="shared" si="65"/>
        <v>0</v>
      </c>
      <c r="H133" s="6">
        <f t="shared" si="65"/>
        <v>0</v>
      </c>
      <c r="I133" s="6">
        <f t="shared" si="65"/>
        <v>1</v>
      </c>
      <c r="J133" s="7">
        <f t="shared" si="65"/>
        <v>0</v>
      </c>
      <c r="K133" s="13">
        <f>SUM(B133:J133)</f>
        <v>1</v>
      </c>
    </row>
    <row r="134" spans="1:11" x14ac:dyDescent="0.2">
      <c r="A134" s="30">
        <f>IF((A133-A139)&gt;9,(A133-A139-9),0)</f>
        <v>0</v>
      </c>
      <c r="B134" s="18">
        <f>IF(AND(ISNUMBER($A134),ISNUMBER($A140)),IF((RANK(B$4,$B$4:$J$4,1))&lt;=($A134-$A140),1,0),"")</f>
        <v>0</v>
      </c>
      <c r="C134" s="6">
        <f t="shared" ref="C134:J134" si="66">IF(AND(ISNUMBER($A134),ISNUMBER($A140)),IF((RANK(C$4,$B$4:$J$4,1))&lt;=($A134-$A140),1,0),"")</f>
        <v>0</v>
      </c>
      <c r="D134" s="6">
        <f t="shared" si="66"/>
        <v>0</v>
      </c>
      <c r="E134" s="6">
        <f t="shared" si="66"/>
        <v>0</v>
      </c>
      <c r="F134" s="6">
        <f t="shared" si="66"/>
        <v>0</v>
      </c>
      <c r="G134" s="6">
        <f t="shared" si="66"/>
        <v>0</v>
      </c>
      <c r="H134" s="6">
        <f t="shared" si="66"/>
        <v>0</v>
      </c>
      <c r="I134" s="6">
        <f t="shared" si="66"/>
        <v>0</v>
      </c>
      <c r="J134" s="7">
        <f t="shared" si="66"/>
        <v>0</v>
      </c>
      <c r="K134" s="13">
        <f>SUM(B134:J134)</f>
        <v>0</v>
      </c>
    </row>
    <row r="135" spans="1:11" x14ac:dyDescent="0.2">
      <c r="A135" s="30"/>
      <c r="B135" s="82">
        <f>IF(AND(ISNUMBER(B132),ISNUMBER(B133)),B132-B133-B134," ")</f>
        <v>6</v>
      </c>
      <c r="C135" s="83">
        <f t="shared" ref="C135:J135" si="67">IF(AND(ISNUMBER(C132),ISNUMBER(C133)),C132-C133-C134," ")</f>
        <v>5</v>
      </c>
      <c r="D135" s="83">
        <f t="shared" si="67"/>
        <v>5</v>
      </c>
      <c r="E135" s="83">
        <f t="shared" si="67"/>
        <v>5</v>
      </c>
      <c r="F135" s="83">
        <f t="shared" si="67"/>
        <v>4</v>
      </c>
      <c r="G135" s="83">
        <f t="shared" si="67"/>
        <v>5</v>
      </c>
      <c r="H135" s="83">
        <f t="shared" si="67"/>
        <v>4</v>
      </c>
      <c r="I135" s="83">
        <f t="shared" si="67"/>
        <v>7</v>
      </c>
      <c r="J135" s="84">
        <f t="shared" si="67"/>
        <v>6</v>
      </c>
      <c r="K135" s="13">
        <f>IF(ISNUMBER(FIND("Wins",K136)), 2, IF(ISNUMBER(FIND("Tie",K136)), 1, 0))</f>
        <v>2</v>
      </c>
    </row>
    <row r="136" spans="1:11" ht="13.5" thickBot="1" x14ac:dyDescent="0.25">
      <c r="A136" s="31"/>
      <c r="B136" s="19">
        <f>IF(AND(ISNUMBER(B135),ISNUMBER(B141)),IF(B135&lt;B141, 0+1, (IF(B135&gt;B141, 0-1, 0)))," ")</f>
        <v>1</v>
      </c>
      <c r="C136" s="9">
        <f t="shared" ref="C136:J136" si="68">IF(AND(ISNUMBER(C135),ISNUMBER(C141)),IF(C135&lt;C141, +B136+1, (IF(C135&gt;C141, +B136-1, +B136)))," ")</f>
        <v>2</v>
      </c>
      <c r="D136" s="9">
        <f t="shared" si="68"/>
        <v>3</v>
      </c>
      <c r="E136" s="9">
        <f t="shared" si="68"/>
        <v>4</v>
      </c>
      <c r="F136" s="9">
        <f t="shared" si="68"/>
        <v>3</v>
      </c>
      <c r="G136" s="9">
        <f t="shared" si="68"/>
        <v>3</v>
      </c>
      <c r="H136" s="9">
        <f t="shared" si="68"/>
        <v>4</v>
      </c>
      <c r="I136" s="9">
        <f t="shared" si="68"/>
        <v>5</v>
      </c>
      <c r="J136" s="10">
        <f t="shared" si="68"/>
        <v>5</v>
      </c>
      <c r="K136" s="14" t="str">
        <f>IF(ISNUMBER(J136),IF(F136&gt;4,"Wins " &amp; F136 &amp; " &amp; 4",IF(G136&gt;3,"Wins " &amp; G136 &amp; " &amp; 3",IF(H136&gt;2,"Wins " &amp; H136 &amp; " &amp; 2",IF(I136&gt;1,"Wins " &amp; I136 &amp; " &amp; 1",IF(J136&gt;J142,"Wins " &amp; J136 &amp; " Up",IF(J136&lt;J142,"Loss","Tie"))))))," ")</f>
        <v>Wins 4 &amp; 2</v>
      </c>
    </row>
    <row r="137" spans="1:11" ht="13.5" thickBot="1" x14ac:dyDescent="0.25">
      <c r="A137" s="32"/>
    </row>
    <row r="138" spans="1:11" x14ac:dyDescent="0.2">
      <c r="A138" s="29" t="str">
        <f t="shared" ref="A138:J138" si="69">A36</f>
        <v>Manny</v>
      </c>
      <c r="B138" s="17">
        <f t="shared" si="69"/>
        <v>10</v>
      </c>
      <c r="C138" s="3">
        <f t="shared" si="69"/>
        <v>7</v>
      </c>
      <c r="D138" s="3">
        <f t="shared" si="69"/>
        <v>6</v>
      </c>
      <c r="E138" s="3">
        <f t="shared" si="69"/>
        <v>7</v>
      </c>
      <c r="F138" s="3">
        <f t="shared" si="69"/>
        <v>3</v>
      </c>
      <c r="G138" s="3">
        <f t="shared" si="69"/>
        <v>5</v>
      </c>
      <c r="H138" s="3">
        <f t="shared" si="69"/>
        <v>6</v>
      </c>
      <c r="I138" s="3">
        <f t="shared" si="69"/>
        <v>8</v>
      </c>
      <c r="J138" s="4">
        <f t="shared" si="69"/>
        <v>6</v>
      </c>
      <c r="K138" s="12">
        <f>SUM(B138:J138)</f>
        <v>58</v>
      </c>
    </row>
    <row r="139" spans="1:11" x14ac:dyDescent="0.2">
      <c r="A139" s="30">
        <f>A37</f>
        <v>14</v>
      </c>
      <c r="B139" s="18">
        <f>IF(AND(ISNUMBER($A133),ISNUMBER($A139)),IF((RANK(B$4,$B$4:$J$4,1))&lt;=($A139-$A133),1,0),"")</f>
        <v>0</v>
      </c>
      <c r="C139" s="6">
        <f t="shared" ref="C139:J139" si="70">IF(AND(ISNUMBER($A133),ISNUMBER($A139)),IF((RANK(C$4,$B$4:$J$4,1))&lt;=($A139-$A133),1,0),"")</f>
        <v>0</v>
      </c>
      <c r="D139" s="6">
        <f t="shared" si="70"/>
        <v>0</v>
      </c>
      <c r="E139" s="6">
        <f t="shared" si="70"/>
        <v>0</v>
      </c>
      <c r="F139" s="6">
        <f t="shared" si="70"/>
        <v>0</v>
      </c>
      <c r="G139" s="6">
        <f t="shared" si="70"/>
        <v>0</v>
      </c>
      <c r="H139" s="6">
        <f t="shared" si="70"/>
        <v>0</v>
      </c>
      <c r="I139" s="6">
        <f t="shared" si="70"/>
        <v>0</v>
      </c>
      <c r="J139" s="7">
        <f t="shared" si="70"/>
        <v>0</v>
      </c>
      <c r="K139" s="13">
        <f>SUM(B139:J139)</f>
        <v>0</v>
      </c>
    </row>
    <row r="140" spans="1:11" x14ac:dyDescent="0.2">
      <c r="A140" s="30">
        <f>IF((A139-A133)&gt;9,(A139-A133-9),0)</f>
        <v>0</v>
      </c>
      <c r="B140" s="18">
        <f>IF(AND(ISNUMBER($A134),ISNUMBER($A140)),IF((RANK(B$4,$B$4:$J$4,1))&lt;=($A140-$A134),1,0),"")</f>
        <v>0</v>
      </c>
      <c r="C140" s="6">
        <f t="shared" ref="C140:J140" si="71">IF(AND(ISNUMBER($A134),ISNUMBER($A140)),IF((RANK(C$4,$B$4:$J$4,1))&lt;=($A140-$A134),1,0),"")</f>
        <v>0</v>
      </c>
      <c r="D140" s="6">
        <f t="shared" si="71"/>
        <v>0</v>
      </c>
      <c r="E140" s="6">
        <f t="shared" si="71"/>
        <v>0</v>
      </c>
      <c r="F140" s="6">
        <f t="shared" si="71"/>
        <v>0</v>
      </c>
      <c r="G140" s="6">
        <f t="shared" si="71"/>
        <v>0</v>
      </c>
      <c r="H140" s="6">
        <f t="shared" si="71"/>
        <v>0</v>
      </c>
      <c r="I140" s="6">
        <f t="shared" si="71"/>
        <v>0</v>
      </c>
      <c r="J140" s="7">
        <f t="shared" si="71"/>
        <v>0</v>
      </c>
      <c r="K140" s="13">
        <f>SUM(B140:J140)</f>
        <v>0</v>
      </c>
    </row>
    <row r="141" spans="1:11" x14ac:dyDescent="0.2">
      <c r="A141" s="30"/>
      <c r="B141" s="82">
        <f>IF(AND(ISNUMBER(B138),ISNUMBER(B139)),B138-B139-B140," ")</f>
        <v>10</v>
      </c>
      <c r="C141" s="83">
        <f t="shared" ref="C141:J141" si="72">IF(AND(ISNUMBER(C138),ISNUMBER(C139)),C138-C139-C140," ")</f>
        <v>7</v>
      </c>
      <c r="D141" s="83">
        <f t="shared" si="72"/>
        <v>6</v>
      </c>
      <c r="E141" s="83">
        <f t="shared" si="72"/>
        <v>7</v>
      </c>
      <c r="F141" s="83">
        <f t="shared" si="72"/>
        <v>3</v>
      </c>
      <c r="G141" s="83">
        <f t="shared" si="72"/>
        <v>5</v>
      </c>
      <c r="H141" s="83">
        <f t="shared" si="72"/>
        <v>6</v>
      </c>
      <c r="I141" s="83">
        <f t="shared" si="72"/>
        <v>8</v>
      </c>
      <c r="J141" s="84">
        <f t="shared" si="72"/>
        <v>6</v>
      </c>
      <c r="K141" s="13">
        <f>IF(ISNUMBER(FIND("Wins",K142)), 2, IF(ISNUMBER(FIND("Tie",K142)), 1, 0))</f>
        <v>0</v>
      </c>
    </row>
    <row r="142" spans="1:11" ht="13.5" thickBot="1" x14ac:dyDescent="0.25">
      <c r="A142" s="31"/>
      <c r="B142" s="19">
        <f>IF(AND(ISNUMBER(B135),ISNUMBER(B141)),IF(B141&lt;B135, 0+1, (IF(B141&gt;B135, 0-1, 0)))," ")</f>
        <v>-1</v>
      </c>
      <c r="C142" s="9">
        <f t="shared" ref="C142:J142" si="73">IF(AND(ISNUMBER(C135),ISNUMBER(C141)),IF(C141&lt;C135, +B142+1, (IF(C141&gt;C135, +B142-1, +B142)))," ")</f>
        <v>-2</v>
      </c>
      <c r="D142" s="9">
        <f t="shared" si="73"/>
        <v>-3</v>
      </c>
      <c r="E142" s="9">
        <f t="shared" si="73"/>
        <v>-4</v>
      </c>
      <c r="F142" s="9">
        <f t="shared" si="73"/>
        <v>-3</v>
      </c>
      <c r="G142" s="9">
        <f t="shared" si="73"/>
        <v>-3</v>
      </c>
      <c r="H142" s="9">
        <f t="shared" si="73"/>
        <v>-4</v>
      </c>
      <c r="I142" s="9">
        <f t="shared" si="73"/>
        <v>-5</v>
      </c>
      <c r="J142" s="10">
        <f t="shared" si="73"/>
        <v>-5</v>
      </c>
      <c r="K142" s="14" t="str">
        <f>IF(ISNUMBER(J142),IF(F142&gt;4,"Wins " &amp; F142 &amp; " &amp; 4",IF(G142&gt;3,"Wins " &amp; G142 &amp; " &amp; 3",IF(H142&gt;2,"Wins " &amp; H142 &amp; " &amp; 2",IF(I142&gt;1,"Wins " &amp; I142 &amp; " &amp; 1",IF(J142&gt;J136,"Wins " &amp; J142 &amp; " Up",IF(J142&lt;J136,"Loss","Tie"))))))," ")</f>
        <v>Loss</v>
      </c>
    </row>
    <row r="143" spans="1:11" x14ac:dyDescent="0.2">
      <c r="A143" s="26"/>
      <c r="B143" s="85"/>
      <c r="C143" s="85"/>
      <c r="D143" s="85"/>
      <c r="E143" s="85"/>
      <c r="F143" s="85"/>
      <c r="G143" s="85"/>
      <c r="H143" s="85"/>
      <c r="I143" s="85"/>
      <c r="J143" s="85"/>
      <c r="K143" s="15"/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43"/>
  <sheetViews>
    <sheetView zoomScaleNormal="100" workbookViewId="0">
      <pane xSplit="1" ySplit="4" topLeftCell="B5" activePane="bottomRight" state="frozen"/>
      <selection activeCell="A144" sqref="A144:XFD169"/>
      <selection pane="topRight" activeCell="A144" sqref="A144:XFD169"/>
      <selection pane="bottomLeft" activeCell="A144" sqref="A144:XFD169"/>
      <selection pane="bottomRight" activeCell="N44" sqref="N44"/>
    </sheetView>
  </sheetViews>
  <sheetFormatPr defaultColWidth="9.140625" defaultRowHeight="12.75" x14ac:dyDescent="0.2"/>
  <cols>
    <col min="1" max="1" width="19.7109375" style="20" customWidth="1"/>
    <col min="2" max="10" width="9.140625" style="2"/>
    <col min="11" max="11" width="13.42578125" style="2" customWidth="1"/>
    <col min="12" max="12" width="9.140625" style="1"/>
    <col min="13" max="13" width="11.140625" style="1" customWidth="1"/>
    <col min="14" max="15" width="11.140625" style="2" customWidth="1"/>
    <col min="16" max="20" width="11.85546875" style="52" customWidth="1"/>
    <col min="21" max="22" width="9.140625" style="1"/>
    <col min="23" max="26" width="9.140625" style="2"/>
    <col min="27" max="27" width="9.85546875" style="2" customWidth="1"/>
    <col min="28" max="16384" width="9.140625" style="1"/>
  </cols>
  <sheetData>
    <row r="1" spans="1:27" ht="13.5" thickBot="1" x14ac:dyDescent="0.25"/>
    <row r="2" spans="1:27" x14ac:dyDescent="0.2">
      <c r="A2" s="21" t="s">
        <v>1</v>
      </c>
      <c r="B2" s="76">
        <f>'Day 2A - Match 5'!B2</f>
        <v>10</v>
      </c>
      <c r="C2" s="267">
        <f>'Day 2A - Match 5'!C2</f>
        <v>11</v>
      </c>
      <c r="D2" s="267">
        <f>'Day 2A - Match 5'!D2</f>
        <v>12</v>
      </c>
      <c r="E2" s="267">
        <f>'Day 2A - Match 5'!E2</f>
        <v>13</v>
      </c>
      <c r="F2" s="267">
        <f>'Day 2A - Match 5'!F2</f>
        <v>14</v>
      </c>
      <c r="G2" s="267">
        <f>'Day 2A - Match 5'!G2</f>
        <v>15</v>
      </c>
      <c r="H2" s="267">
        <f>'Day 2A - Match 5'!H2</f>
        <v>16</v>
      </c>
      <c r="I2" s="267">
        <f>'Day 2A - Match 5'!I2</f>
        <v>17</v>
      </c>
      <c r="J2" s="73">
        <f>'Day 2A - Match 5'!J2</f>
        <v>18</v>
      </c>
      <c r="K2" s="36"/>
    </row>
    <row r="3" spans="1:27" x14ac:dyDescent="0.2">
      <c r="A3" s="22" t="s">
        <v>2</v>
      </c>
      <c r="B3" s="77">
        <f>'Day 2A - Match 5'!B3</f>
        <v>5</v>
      </c>
      <c r="C3" s="38">
        <f>'Day 2A - Match 5'!C3</f>
        <v>3</v>
      </c>
      <c r="D3" s="38">
        <f>'Day 2A - Match 5'!D3</f>
        <v>4</v>
      </c>
      <c r="E3" s="38">
        <f>'Day 2A - Match 5'!E3</f>
        <v>4</v>
      </c>
      <c r="F3" s="38">
        <f>'Day 2A - Match 5'!F3</f>
        <v>3</v>
      </c>
      <c r="G3" s="38">
        <f>'Day 2A - Match 5'!G3</f>
        <v>4</v>
      </c>
      <c r="H3" s="38">
        <f>'Day 2A - Match 5'!H3</f>
        <v>4</v>
      </c>
      <c r="I3" s="38">
        <f>'Day 2A - Match 5'!I3</f>
        <v>5</v>
      </c>
      <c r="J3" s="74">
        <f>'Day 2A - Match 5'!J3</f>
        <v>4</v>
      </c>
      <c r="K3" s="41">
        <f>SUM(B3:J3)</f>
        <v>36</v>
      </c>
      <c r="P3" s="55" t="s">
        <v>32</v>
      </c>
    </row>
    <row r="4" spans="1:27" ht="13.5" thickBot="1" x14ac:dyDescent="0.25">
      <c r="A4" s="23" t="s">
        <v>3</v>
      </c>
      <c r="B4" s="78">
        <f>'Day 2A - Match 5'!B4</f>
        <v>4</v>
      </c>
      <c r="C4" s="43">
        <f>'Day 2A - Match 5'!C4</f>
        <v>16</v>
      </c>
      <c r="D4" s="43">
        <f>'Day 2A - Match 5'!D4</f>
        <v>10</v>
      </c>
      <c r="E4" s="43">
        <f>'Day 2A - Match 5'!E4</f>
        <v>12</v>
      </c>
      <c r="F4" s="43">
        <f>'Day 2A - Match 5'!F4</f>
        <v>18</v>
      </c>
      <c r="G4" s="43">
        <f>'Day 2A - Match 5'!G4</f>
        <v>14</v>
      </c>
      <c r="H4" s="43">
        <f>'Day 2A - Match 5'!H4</f>
        <v>6</v>
      </c>
      <c r="I4" s="43">
        <f>'Day 2A - Match 5'!I4</f>
        <v>2</v>
      </c>
      <c r="J4" s="75">
        <f>'Day 2A - Match 5'!J4</f>
        <v>8</v>
      </c>
      <c r="K4" s="46"/>
    </row>
    <row r="5" spans="1:27" ht="13.5" thickBot="1" x14ac:dyDescent="0.25">
      <c r="A5" s="26"/>
      <c r="M5" s="167" t="s">
        <v>16</v>
      </c>
      <c r="N5" s="232" t="s">
        <v>17</v>
      </c>
      <c r="O5" s="232" t="s">
        <v>36</v>
      </c>
      <c r="P5" s="161" t="str">
        <f>Results!C40</f>
        <v>Long Drive</v>
      </c>
      <c r="Q5" s="50" t="str">
        <f>Results!D40</f>
        <v>Closest to Pin</v>
      </c>
      <c r="R5" s="50" t="str">
        <f>Results!E40</f>
        <v>Long Putt</v>
      </c>
      <c r="S5" s="50" t="str">
        <f>Results!F40</f>
        <v>Secret Snowman</v>
      </c>
      <c r="T5" s="51" t="str">
        <f>Results!G40</f>
        <v>Closest to Pin</v>
      </c>
      <c r="V5" s="2">
        <v>1</v>
      </c>
      <c r="W5" s="2">
        <v>2</v>
      </c>
      <c r="X5" s="2">
        <v>3</v>
      </c>
      <c r="Y5" s="2">
        <v>4</v>
      </c>
      <c r="Z5" s="2">
        <v>5</v>
      </c>
    </row>
    <row r="6" spans="1:27" x14ac:dyDescent="0.2">
      <c r="A6" s="47" t="str">
        <f>Matchups!D3</f>
        <v>Rick</v>
      </c>
      <c r="B6" s="237">
        <f>'Day 2A - Match 5'!B6</f>
        <v>6</v>
      </c>
      <c r="C6" s="238">
        <f>'Day 2A - Match 5'!C6</f>
        <v>4</v>
      </c>
      <c r="D6" s="238">
        <f>'Day 2A - Match 5'!D6</f>
        <v>5</v>
      </c>
      <c r="E6" s="238">
        <f>'Day 2A - Match 5'!E6</f>
        <v>3</v>
      </c>
      <c r="F6" s="238">
        <f>'Day 2A - Match 5'!F6</f>
        <v>2</v>
      </c>
      <c r="G6" s="238">
        <f>'Day 2A - Match 5'!G6</f>
        <v>6</v>
      </c>
      <c r="H6" s="238">
        <f>'Day 2A - Match 5'!H6</f>
        <v>5</v>
      </c>
      <c r="I6" s="238">
        <f>'Day 2A - Match 5'!I6</f>
        <v>6</v>
      </c>
      <c r="J6" s="239">
        <f>'Day 2A - Match 5'!J6</f>
        <v>5</v>
      </c>
      <c r="K6" s="12">
        <f>SUM(B6:J6)</f>
        <v>42</v>
      </c>
      <c r="M6" s="90" t="str">
        <f>A8</f>
        <v>Mil</v>
      </c>
      <c r="N6" s="5">
        <f>K8</f>
        <v>43</v>
      </c>
      <c r="O6" s="5">
        <f>K63</f>
        <v>0</v>
      </c>
      <c r="P6" s="162"/>
      <c r="Q6" s="65"/>
      <c r="R6" s="65"/>
      <c r="S6" s="65"/>
      <c r="T6" s="153"/>
      <c r="V6" s="2" t="str">
        <f t="shared" ref="V6:V37" si="0">IF($S$39=V$5,S6*V$5,"")</f>
        <v/>
      </c>
      <c r="W6" s="2" t="str">
        <f t="shared" ref="W6:W37" si="1">IF($S$39=W$5,S6*W$5,"")</f>
        <v/>
      </c>
      <c r="X6" s="2" t="str">
        <f t="shared" ref="X6:X37" si="2">IF($S$39=X$5,S6*X$5,"")</f>
        <v/>
      </c>
      <c r="Y6" s="2" t="str">
        <f t="shared" ref="Y6:Y37" si="3">IF($S$39=Y$5,S6*Y$5,"")</f>
        <v/>
      </c>
      <c r="Z6" s="2" t="str">
        <f t="shared" ref="Z6:Z37" si="4">IF($S$39=Z$5,S6*Z$5,"")</f>
        <v/>
      </c>
      <c r="AA6" s="144">
        <f>IF(SUM(V6:Z6)=0,0,Setup!F$44/SUM(V6:Z6))</f>
        <v>0</v>
      </c>
    </row>
    <row r="7" spans="1:27" hidden="1" x14ac:dyDescent="0.2">
      <c r="A7" s="48">
        <f>Matchups!D4</f>
        <v>7</v>
      </c>
      <c r="B7" s="240"/>
      <c r="C7" s="241"/>
      <c r="D7" s="241"/>
      <c r="E7" s="241"/>
      <c r="F7" s="241"/>
      <c r="G7" s="241"/>
      <c r="H7" s="241"/>
      <c r="I7" s="241"/>
      <c r="J7" s="242"/>
      <c r="K7" s="13"/>
      <c r="M7" s="91"/>
      <c r="N7" s="8"/>
      <c r="O7" s="8"/>
      <c r="P7" s="164"/>
      <c r="Q7" s="66"/>
      <c r="R7" s="66"/>
      <c r="S7" s="66"/>
      <c r="T7" s="154"/>
      <c r="V7" s="2" t="str">
        <f t="shared" si="0"/>
        <v/>
      </c>
      <c r="W7" s="2" t="str">
        <f t="shared" si="1"/>
        <v/>
      </c>
      <c r="X7" s="2" t="str">
        <f t="shared" si="2"/>
        <v/>
      </c>
      <c r="Y7" s="2" t="str">
        <f t="shared" si="3"/>
        <v/>
      </c>
      <c r="Z7" s="2" t="str">
        <f t="shared" si="4"/>
        <v/>
      </c>
      <c r="AA7" s="144">
        <f>IF(SUM(V7:Z7)=0,0,Setup!F$44/SUM(V7:Z7))</f>
        <v>0</v>
      </c>
    </row>
    <row r="8" spans="1:27" x14ac:dyDescent="0.2">
      <c r="A8" s="48" t="str">
        <f>Matchups!D5</f>
        <v>Mil</v>
      </c>
      <c r="B8" s="240">
        <f>'Day 2A - Match 5'!B8</f>
        <v>5</v>
      </c>
      <c r="C8" s="241">
        <f>'Day 2A - Match 5'!C8</f>
        <v>4</v>
      </c>
      <c r="D8" s="241">
        <f>'Day 2A - Match 5'!D8</f>
        <v>4</v>
      </c>
      <c r="E8" s="241">
        <f>'Day 2A - Match 5'!E8</f>
        <v>4</v>
      </c>
      <c r="F8" s="241">
        <f>'Day 2A - Match 5'!F8</f>
        <v>3</v>
      </c>
      <c r="G8" s="241">
        <f>'Day 2A - Match 5'!G8</f>
        <v>7</v>
      </c>
      <c r="H8" s="241">
        <f>'Day 2A - Match 5'!H8</f>
        <v>5</v>
      </c>
      <c r="I8" s="241">
        <f>'Day 2A - Match 5'!I8</f>
        <v>6</v>
      </c>
      <c r="J8" s="242">
        <f>'Day 2A - Match 5'!J8</f>
        <v>5</v>
      </c>
      <c r="K8" s="13">
        <f t="shared" ref="K8:K28" si="5">SUM(B8:J8)</f>
        <v>43</v>
      </c>
      <c r="M8" s="91" t="str">
        <f>A18</f>
        <v>John</v>
      </c>
      <c r="N8" s="8">
        <f>K18</f>
        <v>44</v>
      </c>
      <c r="O8" s="8">
        <f>K83</f>
        <v>2</v>
      </c>
      <c r="P8" s="164"/>
      <c r="Q8" s="66"/>
      <c r="R8" s="66"/>
      <c r="S8" s="66"/>
      <c r="T8" s="154"/>
      <c r="V8" s="2" t="str">
        <f t="shared" si="0"/>
        <v/>
      </c>
      <c r="W8" s="2" t="str">
        <f t="shared" si="1"/>
        <v/>
      </c>
      <c r="X8" s="2" t="str">
        <f t="shared" si="2"/>
        <v/>
      </c>
      <c r="Y8" s="2" t="str">
        <f t="shared" si="3"/>
        <v/>
      </c>
      <c r="Z8" s="2" t="str">
        <f t="shared" si="4"/>
        <v/>
      </c>
      <c r="AA8" s="144">
        <f>IF(SUM(V8:Z8)=0,0,Setup!F$44/SUM(V8:Z8))</f>
        <v>0</v>
      </c>
    </row>
    <row r="9" spans="1:27" hidden="1" x14ac:dyDescent="0.2">
      <c r="A9" s="48">
        <f>Matchups!D6</f>
        <v>6</v>
      </c>
      <c r="B9" s="240"/>
      <c r="C9" s="241"/>
      <c r="D9" s="241"/>
      <c r="E9" s="241"/>
      <c r="F9" s="241"/>
      <c r="G9" s="241"/>
      <c r="H9" s="241"/>
      <c r="I9" s="241"/>
      <c r="J9" s="242"/>
      <c r="K9" s="13"/>
      <c r="M9" s="91"/>
      <c r="N9" s="8"/>
      <c r="O9" s="8"/>
      <c r="P9" s="164"/>
      <c r="Q9" s="66"/>
      <c r="R9" s="66"/>
      <c r="S9" s="66"/>
      <c r="T9" s="154"/>
      <c r="V9" s="2" t="str">
        <f t="shared" si="0"/>
        <v/>
      </c>
      <c r="W9" s="2" t="str">
        <f t="shared" si="1"/>
        <v/>
      </c>
      <c r="X9" s="2" t="str">
        <f t="shared" si="2"/>
        <v/>
      </c>
      <c r="Y9" s="2" t="str">
        <f t="shared" si="3"/>
        <v/>
      </c>
      <c r="Z9" s="2" t="str">
        <f t="shared" si="4"/>
        <v/>
      </c>
      <c r="AA9" s="144">
        <f>IF(SUM(V9:Z9)=0,0,Setup!F$44/SUM(V9:Z9))</f>
        <v>0</v>
      </c>
    </row>
    <row r="10" spans="1:27" x14ac:dyDescent="0.2">
      <c r="A10" s="48" t="str">
        <f>Matchups!D7</f>
        <v>Tommy</v>
      </c>
      <c r="B10" s="240">
        <f>'Day 2A - Match 5'!B10</f>
        <v>6</v>
      </c>
      <c r="C10" s="241">
        <f>'Day 2A - Match 5'!C10</f>
        <v>3</v>
      </c>
      <c r="D10" s="241">
        <f>'Day 2A - Match 5'!D10</f>
        <v>4</v>
      </c>
      <c r="E10" s="241">
        <f>'Day 2A - Match 5'!E10</f>
        <v>4</v>
      </c>
      <c r="F10" s="241">
        <f>'Day 2A - Match 5'!F10</f>
        <v>2</v>
      </c>
      <c r="G10" s="241">
        <f>'Day 2A - Match 5'!G10</f>
        <v>4</v>
      </c>
      <c r="H10" s="241">
        <f>'Day 2A - Match 5'!H10</f>
        <v>5</v>
      </c>
      <c r="I10" s="241">
        <f>'Day 2A - Match 5'!I10</f>
        <v>6</v>
      </c>
      <c r="J10" s="242">
        <f>'Day 2A - Match 5'!J10</f>
        <v>5</v>
      </c>
      <c r="K10" s="13">
        <f t="shared" si="5"/>
        <v>39</v>
      </c>
      <c r="M10" s="91" t="str">
        <f>A22</f>
        <v>Brian P</v>
      </c>
      <c r="N10" s="8">
        <f>K22</f>
        <v>51</v>
      </c>
      <c r="O10" s="8">
        <f>K96</f>
        <v>2</v>
      </c>
      <c r="P10" s="164"/>
      <c r="Q10" s="66"/>
      <c r="R10" s="66"/>
      <c r="S10" s="66"/>
      <c r="T10" s="154"/>
      <c r="V10" s="2" t="str">
        <f t="shared" si="0"/>
        <v/>
      </c>
      <c r="W10" s="2" t="str">
        <f t="shared" si="1"/>
        <v/>
      </c>
      <c r="X10" s="2" t="str">
        <f t="shared" si="2"/>
        <v/>
      </c>
      <c r="Y10" s="2" t="str">
        <f t="shared" si="3"/>
        <v/>
      </c>
      <c r="Z10" s="2" t="str">
        <f t="shared" si="4"/>
        <v/>
      </c>
      <c r="AA10" s="144">
        <f>IF(SUM(V10:Z10)=0,0,Setup!F$44/SUM(V10:Z10))</f>
        <v>0</v>
      </c>
    </row>
    <row r="11" spans="1:27" hidden="1" x14ac:dyDescent="0.2">
      <c r="A11" s="48">
        <f>Matchups!D8</f>
        <v>5</v>
      </c>
      <c r="B11" s="240"/>
      <c r="C11" s="241"/>
      <c r="D11" s="241"/>
      <c r="E11" s="241"/>
      <c r="F11" s="241"/>
      <c r="G11" s="241"/>
      <c r="H11" s="241"/>
      <c r="I11" s="241"/>
      <c r="J11" s="242"/>
      <c r="K11" s="13"/>
      <c r="M11" s="91"/>
      <c r="N11" s="8"/>
      <c r="O11" s="8"/>
      <c r="P11" s="164"/>
      <c r="Q11" s="66"/>
      <c r="R11" s="66"/>
      <c r="S11" s="66"/>
      <c r="T11" s="154"/>
      <c r="V11" s="2" t="str">
        <f t="shared" si="0"/>
        <v/>
      </c>
      <c r="W11" s="2" t="str">
        <f t="shared" si="1"/>
        <v/>
      </c>
      <c r="X11" s="2" t="str">
        <f t="shared" si="2"/>
        <v/>
      </c>
      <c r="Y11" s="2" t="str">
        <f t="shared" si="3"/>
        <v/>
      </c>
      <c r="Z11" s="2" t="str">
        <f t="shared" si="4"/>
        <v/>
      </c>
      <c r="AA11" s="144">
        <f>IF(SUM(V11:Z11)=0,0,Setup!F$44/SUM(V11:Z11))</f>
        <v>0</v>
      </c>
    </row>
    <row r="12" spans="1:27" ht="13.5" thickBot="1" x14ac:dyDescent="0.25">
      <c r="A12" s="236" t="str">
        <f>Matchups!D9</f>
        <v>Bob</v>
      </c>
      <c r="B12" s="240">
        <f>'Day 2A - Match 5'!B12</f>
        <v>6</v>
      </c>
      <c r="C12" s="241">
        <f>'Day 2A - Match 5'!C12</f>
        <v>3</v>
      </c>
      <c r="D12" s="241">
        <f>'Day 2A - Match 5'!D12</f>
        <v>5</v>
      </c>
      <c r="E12" s="241">
        <f>'Day 2A - Match 5'!E12</f>
        <v>5</v>
      </c>
      <c r="F12" s="241">
        <f>'Day 2A - Match 5'!F12</f>
        <v>2</v>
      </c>
      <c r="G12" s="241">
        <f>'Day 2A - Match 5'!G12</f>
        <v>6</v>
      </c>
      <c r="H12" s="241">
        <f>'Day 2A - Match 5'!H12</f>
        <v>5</v>
      </c>
      <c r="I12" s="241">
        <f>'Day 2A - Match 5'!I12</f>
        <v>6</v>
      </c>
      <c r="J12" s="242">
        <f>'Day 2A - Match 5'!J12</f>
        <v>4</v>
      </c>
      <c r="K12" s="14">
        <f t="shared" si="5"/>
        <v>42</v>
      </c>
      <c r="M12" s="91" t="str">
        <f>A30</f>
        <v xml:space="preserve">Pat </v>
      </c>
      <c r="N12" s="8">
        <f>K30</f>
        <v>47</v>
      </c>
      <c r="O12" s="8">
        <f>K122</f>
        <v>1</v>
      </c>
      <c r="P12" s="164"/>
      <c r="Q12" s="66"/>
      <c r="R12" s="66"/>
      <c r="S12" s="66"/>
      <c r="T12" s="154"/>
      <c r="V12" s="2" t="str">
        <f t="shared" si="0"/>
        <v/>
      </c>
      <c r="W12" s="2" t="str">
        <f t="shared" si="1"/>
        <v/>
      </c>
      <c r="X12" s="2" t="str">
        <f t="shared" si="2"/>
        <v/>
      </c>
      <c r="Y12" s="2" t="str">
        <f t="shared" si="3"/>
        <v/>
      </c>
      <c r="Z12" s="2" t="str">
        <f t="shared" si="4"/>
        <v/>
      </c>
      <c r="AA12" s="144">
        <f>IF(SUM(V12:Z12)=0,0,Setup!F$44/SUM(V12:Z12))</f>
        <v>0</v>
      </c>
    </row>
    <row r="13" spans="1:27" ht="13.5" hidden="1" thickBot="1" x14ac:dyDescent="0.25">
      <c r="A13" s="72">
        <f>Matchups!D10</f>
        <v>10</v>
      </c>
      <c r="B13" s="243"/>
      <c r="C13" s="244"/>
      <c r="D13" s="244"/>
      <c r="E13" s="244"/>
      <c r="F13" s="244"/>
      <c r="G13" s="244"/>
      <c r="H13" s="244"/>
      <c r="I13" s="244"/>
      <c r="J13" s="245"/>
      <c r="K13" s="250"/>
      <c r="M13" s="133"/>
      <c r="N13" s="70"/>
      <c r="O13" s="70"/>
      <c r="P13" s="165"/>
      <c r="Q13" s="155"/>
      <c r="R13" s="155"/>
      <c r="S13" s="155"/>
      <c r="T13" s="156"/>
      <c r="V13" s="2" t="str">
        <f t="shared" si="0"/>
        <v/>
      </c>
      <c r="W13" s="2" t="str">
        <f t="shared" si="1"/>
        <v/>
      </c>
      <c r="X13" s="2" t="str">
        <f t="shared" si="2"/>
        <v/>
      </c>
      <c r="Y13" s="2" t="str">
        <f t="shared" si="3"/>
        <v/>
      </c>
      <c r="Z13" s="2" t="str">
        <f t="shared" si="4"/>
        <v/>
      </c>
      <c r="AA13" s="144">
        <f>IF(SUM(V13:Z13)=0,0,Setup!F$44/SUM(V13:Z13))</f>
        <v>0</v>
      </c>
    </row>
    <row r="14" spans="1:27" x14ac:dyDescent="0.2">
      <c r="A14" s="21" t="str">
        <f>Matchups!D11</f>
        <v>Dave</v>
      </c>
      <c r="B14" s="539">
        <f>'Day 2A - Match 5'!B14</f>
        <v>5</v>
      </c>
      <c r="C14" s="238">
        <f>'Day 2A - Match 5'!C14</f>
        <v>4</v>
      </c>
      <c r="D14" s="238">
        <f>'Day 2A - Match 5'!D14</f>
        <v>5</v>
      </c>
      <c r="E14" s="238">
        <f>'Day 2A - Match 5'!E14</f>
        <v>5</v>
      </c>
      <c r="F14" s="238">
        <f>'Day 2A - Match 5'!F14</f>
        <v>3</v>
      </c>
      <c r="G14" s="238">
        <f>'Day 2A - Match 5'!G14</f>
        <v>5</v>
      </c>
      <c r="H14" s="238">
        <f>'Day 2A - Match 5'!H14</f>
        <v>6</v>
      </c>
      <c r="I14" s="238">
        <f>'Day 2A - Match 5'!I14</f>
        <v>5</v>
      </c>
      <c r="J14" s="239">
        <f>'Day 2A - Match 5'!J14</f>
        <v>4</v>
      </c>
      <c r="K14" s="12">
        <f t="shared" si="5"/>
        <v>42</v>
      </c>
      <c r="M14" s="226" t="str">
        <f>A6</f>
        <v>Rick</v>
      </c>
      <c r="N14" s="5">
        <f>K6</f>
        <v>42</v>
      </c>
      <c r="O14" s="5">
        <f>K44</f>
        <v>0</v>
      </c>
      <c r="P14" s="162"/>
      <c r="Q14" s="65"/>
      <c r="R14" s="65"/>
      <c r="S14" s="65"/>
      <c r="T14" s="153"/>
      <c r="V14" s="2" t="str">
        <f t="shared" si="0"/>
        <v/>
      </c>
      <c r="W14" s="2" t="str">
        <f t="shared" si="1"/>
        <v/>
      </c>
      <c r="X14" s="2" t="str">
        <f t="shared" si="2"/>
        <v/>
      </c>
      <c r="Y14" s="2" t="str">
        <f t="shared" si="3"/>
        <v/>
      </c>
      <c r="Z14" s="2" t="str">
        <f t="shared" si="4"/>
        <v/>
      </c>
      <c r="AA14" s="144">
        <f>IF(SUM(V14:Z14)=0,0,Setup!F$44/SUM(V14:Z14))</f>
        <v>0</v>
      </c>
    </row>
    <row r="15" spans="1:27" hidden="1" x14ac:dyDescent="0.2">
      <c r="A15" s="22">
        <f>Matchups!D12</f>
        <v>5</v>
      </c>
      <c r="B15" s="526"/>
      <c r="C15" s="241"/>
      <c r="D15" s="241"/>
      <c r="E15" s="241"/>
      <c r="F15" s="241"/>
      <c r="G15" s="241"/>
      <c r="H15" s="241"/>
      <c r="I15" s="241"/>
      <c r="J15" s="242"/>
      <c r="K15" s="13"/>
      <c r="M15" s="227"/>
      <c r="N15" s="8"/>
      <c r="O15" s="8"/>
      <c r="P15" s="164"/>
      <c r="Q15" s="66"/>
      <c r="R15" s="66"/>
      <c r="S15" s="66"/>
      <c r="T15" s="154"/>
      <c r="V15" s="2" t="str">
        <f t="shared" si="0"/>
        <v/>
      </c>
      <c r="W15" s="2" t="str">
        <f t="shared" si="1"/>
        <v/>
      </c>
      <c r="X15" s="2" t="str">
        <f t="shared" si="2"/>
        <v/>
      </c>
      <c r="Y15" s="2" t="str">
        <f t="shared" si="3"/>
        <v/>
      </c>
      <c r="Z15" s="2" t="str">
        <f t="shared" si="4"/>
        <v/>
      </c>
      <c r="AA15" s="144">
        <f>IF(SUM(V15:Z15)=0,0,Setup!F$44/SUM(V15:Z15))</f>
        <v>0</v>
      </c>
    </row>
    <row r="16" spans="1:27" x14ac:dyDescent="0.2">
      <c r="A16" s="22" t="str">
        <f>Matchups!D13</f>
        <v>Keith</v>
      </c>
      <c r="B16" s="526">
        <f>'Day 2A - Match 5'!B16</f>
        <v>5</v>
      </c>
      <c r="C16" s="241">
        <f>'Day 2A - Match 5'!C16</f>
        <v>8</v>
      </c>
      <c r="D16" s="241">
        <f>'Day 2A - Match 5'!D16</f>
        <v>9</v>
      </c>
      <c r="E16" s="241">
        <f>'Day 2A - Match 5'!E16</f>
        <v>5</v>
      </c>
      <c r="F16" s="241">
        <f>'Day 2A - Match 5'!F16</f>
        <v>6</v>
      </c>
      <c r="G16" s="241">
        <f>'Day 2A - Match 5'!G16</f>
        <v>5</v>
      </c>
      <c r="H16" s="241">
        <f>'Day 2A - Match 5'!H16</f>
        <v>9</v>
      </c>
      <c r="I16" s="241">
        <f>'Day 2A - Match 5'!I16</f>
        <v>9</v>
      </c>
      <c r="J16" s="242">
        <f>'Day 2A - Match 5'!J16</f>
        <v>8</v>
      </c>
      <c r="K16" s="13">
        <f t="shared" si="5"/>
        <v>64</v>
      </c>
      <c r="M16" s="227" t="str">
        <f>A16</f>
        <v>Keith</v>
      </c>
      <c r="N16" s="8">
        <f>K16</f>
        <v>64</v>
      </c>
      <c r="O16" s="8">
        <f>K89</f>
        <v>0</v>
      </c>
      <c r="P16" s="164"/>
      <c r="Q16" s="66"/>
      <c r="R16" s="66"/>
      <c r="S16" s="66"/>
      <c r="T16" s="154"/>
      <c r="V16" s="2" t="str">
        <f t="shared" si="0"/>
        <v/>
      </c>
      <c r="W16" s="2" t="str">
        <f t="shared" si="1"/>
        <v/>
      </c>
      <c r="X16" s="2" t="str">
        <f t="shared" si="2"/>
        <v/>
      </c>
      <c r="Y16" s="2" t="str">
        <f t="shared" si="3"/>
        <v/>
      </c>
      <c r="Z16" s="2" t="str">
        <f t="shared" si="4"/>
        <v/>
      </c>
      <c r="AA16" s="144">
        <f>IF(SUM(V16:Z16)=0,0,Setup!F$44/SUM(V16:Z16))</f>
        <v>0</v>
      </c>
    </row>
    <row r="17" spans="1:27" hidden="1" x14ac:dyDescent="0.2">
      <c r="A17" s="22">
        <f>Matchups!D14</f>
        <v>16</v>
      </c>
      <c r="B17" s="526"/>
      <c r="C17" s="241"/>
      <c r="D17" s="241"/>
      <c r="E17" s="241"/>
      <c r="F17" s="241"/>
      <c r="G17" s="241"/>
      <c r="H17" s="241"/>
      <c r="I17" s="241"/>
      <c r="J17" s="242"/>
      <c r="K17" s="13"/>
      <c r="M17" s="227"/>
      <c r="N17" s="8"/>
      <c r="O17" s="8"/>
      <c r="P17" s="164"/>
      <c r="Q17" s="66"/>
      <c r="R17" s="66"/>
      <c r="S17" s="66"/>
      <c r="T17" s="154"/>
      <c r="V17" s="2" t="str">
        <f t="shared" si="0"/>
        <v/>
      </c>
      <c r="W17" s="2" t="str">
        <f t="shared" si="1"/>
        <v/>
      </c>
      <c r="X17" s="2" t="str">
        <f t="shared" si="2"/>
        <v/>
      </c>
      <c r="Y17" s="2" t="str">
        <f t="shared" si="3"/>
        <v/>
      </c>
      <c r="Z17" s="2" t="str">
        <f t="shared" si="4"/>
        <v/>
      </c>
      <c r="AA17" s="144">
        <f>IF(SUM(V17:Z17)=0,0,Setup!F$44/SUM(V17:Z17))</f>
        <v>0</v>
      </c>
    </row>
    <row r="18" spans="1:27" x14ac:dyDescent="0.2">
      <c r="A18" s="22" t="str">
        <f>Matchups!D15</f>
        <v>John</v>
      </c>
      <c r="B18" s="526">
        <f>'Day 2A - Match 5'!B18</f>
        <v>7</v>
      </c>
      <c r="C18" s="241">
        <f>'Day 2A - Match 5'!C18</f>
        <v>3</v>
      </c>
      <c r="D18" s="241">
        <f>'Day 2A - Match 5'!D18</f>
        <v>4</v>
      </c>
      <c r="E18" s="241">
        <f>'Day 2A - Match 5'!E18</f>
        <v>4</v>
      </c>
      <c r="F18" s="241">
        <f>'Day 2A - Match 5'!F18</f>
        <v>4</v>
      </c>
      <c r="G18" s="241">
        <f>'Day 2A - Match 5'!G18</f>
        <v>4</v>
      </c>
      <c r="H18" s="241">
        <f>'Day 2A - Match 5'!H18</f>
        <v>6</v>
      </c>
      <c r="I18" s="241">
        <f>'Day 2A - Match 5'!I18</f>
        <v>7</v>
      </c>
      <c r="J18" s="242">
        <f>'Day 2A - Match 5'!J18</f>
        <v>5</v>
      </c>
      <c r="K18" s="13">
        <f t="shared" si="5"/>
        <v>44</v>
      </c>
      <c r="M18" s="227" t="str">
        <f>A28</f>
        <v>Tony W</v>
      </c>
      <c r="N18" s="8">
        <f>K28</f>
        <v>58</v>
      </c>
      <c r="O18" s="8">
        <f>K102</f>
        <v>0</v>
      </c>
      <c r="P18" s="164"/>
      <c r="Q18" s="66"/>
      <c r="R18" s="66"/>
      <c r="S18" s="66"/>
      <c r="T18" s="154"/>
      <c r="V18" s="2" t="str">
        <f t="shared" si="0"/>
        <v/>
      </c>
      <c r="W18" s="2" t="str">
        <f t="shared" si="1"/>
        <v/>
      </c>
      <c r="X18" s="2" t="str">
        <f t="shared" si="2"/>
        <v/>
      </c>
      <c r="Y18" s="2" t="str">
        <f t="shared" si="3"/>
        <v/>
      </c>
      <c r="Z18" s="2" t="str">
        <f t="shared" si="4"/>
        <v/>
      </c>
      <c r="AA18" s="144">
        <f>IF(SUM(V18:Z18)=0,0,Setup!F$44/SUM(V18:Z18))</f>
        <v>0</v>
      </c>
    </row>
    <row r="19" spans="1:27" hidden="1" x14ac:dyDescent="0.2">
      <c r="A19" s="409">
        <f>Matchups!D16</f>
        <v>7</v>
      </c>
      <c r="B19" s="540"/>
      <c r="C19" s="244"/>
      <c r="D19" s="244"/>
      <c r="E19" s="244"/>
      <c r="F19" s="244"/>
      <c r="G19" s="244"/>
      <c r="H19" s="244"/>
      <c r="I19" s="244"/>
      <c r="J19" s="245"/>
      <c r="K19" s="229"/>
      <c r="M19" s="334"/>
      <c r="N19" s="70"/>
      <c r="O19" s="70"/>
      <c r="P19" s="165"/>
      <c r="Q19" s="155"/>
      <c r="R19" s="155"/>
      <c r="S19" s="155"/>
      <c r="T19" s="156"/>
      <c r="V19" s="2" t="str">
        <f t="shared" si="0"/>
        <v/>
      </c>
      <c r="W19" s="2" t="str">
        <f t="shared" si="1"/>
        <v/>
      </c>
      <c r="X19" s="2" t="str">
        <f t="shared" si="2"/>
        <v/>
      </c>
      <c r="Y19" s="2" t="str">
        <f t="shared" si="3"/>
        <v/>
      </c>
      <c r="Z19" s="2" t="str">
        <f t="shared" si="4"/>
        <v/>
      </c>
      <c r="AA19" s="144">
        <f>IF(SUM(V19:Z19)=0,0,Setup!F$44/SUM(V19:Z19))</f>
        <v>0</v>
      </c>
    </row>
    <row r="20" spans="1:27" ht="13.5" thickBot="1" x14ac:dyDescent="0.25">
      <c r="A20" s="22" t="str">
        <f>Matchups!D17</f>
        <v>Patrick</v>
      </c>
      <c r="B20" s="526">
        <f>'Day 2A - Match 5'!B20</f>
        <v>6</v>
      </c>
      <c r="C20" s="241">
        <f>'Day 2A - Match 5'!C20</f>
        <v>3</v>
      </c>
      <c r="D20" s="241">
        <f>'Day 2A - Match 5'!D20</f>
        <v>5</v>
      </c>
      <c r="E20" s="241">
        <f>'Day 2A - Match 5'!E20</f>
        <v>4</v>
      </c>
      <c r="F20" s="241">
        <f>'Day 2A - Match 5'!F20</f>
        <v>5</v>
      </c>
      <c r="G20" s="241">
        <f>'Day 2A - Match 5'!G20</f>
        <v>6</v>
      </c>
      <c r="H20" s="241">
        <f>'Day 2A - Match 5'!H20</f>
        <v>9</v>
      </c>
      <c r="I20" s="241">
        <f>'Day 2A - Match 5'!I20</f>
        <v>7</v>
      </c>
      <c r="J20" s="242">
        <f>'Day 2A - Match 5'!J20</f>
        <v>5</v>
      </c>
      <c r="K20" s="13">
        <f t="shared" si="5"/>
        <v>50</v>
      </c>
      <c r="M20" s="227" t="str">
        <f>A36</f>
        <v>Manny</v>
      </c>
      <c r="N20" s="8">
        <f>K36</f>
        <v>58</v>
      </c>
      <c r="O20" s="8">
        <f>K128</f>
        <v>1</v>
      </c>
      <c r="P20" s="164"/>
      <c r="Q20" s="66"/>
      <c r="R20" s="66"/>
      <c r="S20" s="66"/>
      <c r="T20" s="154"/>
      <c r="V20" s="2" t="str">
        <f t="shared" si="0"/>
        <v/>
      </c>
      <c r="W20" s="2" t="str">
        <f t="shared" si="1"/>
        <v/>
      </c>
      <c r="X20" s="2" t="str">
        <f t="shared" si="2"/>
        <v/>
      </c>
      <c r="Y20" s="2" t="str">
        <f t="shared" si="3"/>
        <v/>
      </c>
      <c r="Z20" s="2" t="str">
        <f t="shared" si="4"/>
        <v/>
      </c>
      <c r="AA20" s="144">
        <f>IF(SUM(V20:Z20)=0,0,Setup!F$44/SUM(V20:Z20))</f>
        <v>0</v>
      </c>
    </row>
    <row r="21" spans="1:27" ht="13.5" hidden="1" thickBot="1" x14ac:dyDescent="0.25">
      <c r="A21" s="409">
        <f>Matchups!D18</f>
        <v>8</v>
      </c>
      <c r="B21" s="540"/>
      <c r="C21" s="244"/>
      <c r="D21" s="244"/>
      <c r="E21" s="244"/>
      <c r="F21" s="244"/>
      <c r="G21" s="244"/>
      <c r="H21" s="244"/>
      <c r="I21" s="244"/>
      <c r="J21" s="245"/>
      <c r="K21" s="229"/>
      <c r="M21" s="334"/>
      <c r="N21" s="70"/>
      <c r="O21" s="70"/>
      <c r="P21" s="165"/>
      <c r="Q21" s="155"/>
      <c r="R21" s="155"/>
      <c r="S21" s="155"/>
      <c r="T21" s="156"/>
      <c r="V21" s="2" t="str">
        <f t="shared" si="0"/>
        <v/>
      </c>
      <c r="W21" s="2" t="str">
        <f t="shared" si="1"/>
        <v/>
      </c>
      <c r="X21" s="2" t="str">
        <f t="shared" si="2"/>
        <v/>
      </c>
      <c r="Y21" s="2" t="str">
        <f t="shared" si="3"/>
        <v/>
      </c>
      <c r="Z21" s="2" t="str">
        <f t="shared" si="4"/>
        <v/>
      </c>
      <c r="AA21" s="144">
        <f>IF(SUM(V21:Z21)=0,0,Setup!F$44/SUM(V21:Z21))</f>
        <v>0</v>
      </c>
    </row>
    <row r="22" spans="1:27" x14ac:dyDescent="0.2">
      <c r="A22" s="21" t="str">
        <f>Matchups!D19</f>
        <v>Brian P</v>
      </c>
      <c r="B22" s="539">
        <f>'Day 2A - Match 5'!B22</f>
        <v>7</v>
      </c>
      <c r="C22" s="238">
        <f>'Day 2A - Match 5'!C22</f>
        <v>7</v>
      </c>
      <c r="D22" s="238">
        <f>'Day 2A - Match 5'!D22</f>
        <v>5</v>
      </c>
      <c r="E22" s="238">
        <f>'Day 2A - Match 5'!E22</f>
        <v>7</v>
      </c>
      <c r="F22" s="238">
        <f>'Day 2A - Match 5'!F22</f>
        <v>4</v>
      </c>
      <c r="G22" s="238">
        <f>'Day 2A - Match 5'!G22</f>
        <v>5</v>
      </c>
      <c r="H22" s="238">
        <f>'Day 2A - Match 5'!H22</f>
        <v>6</v>
      </c>
      <c r="I22" s="238">
        <f>'Day 2A - Match 5'!I22</f>
        <v>5</v>
      </c>
      <c r="J22" s="239">
        <f>'Day 2A - Match 5'!J22</f>
        <v>5</v>
      </c>
      <c r="K22" s="12">
        <f t="shared" si="5"/>
        <v>51</v>
      </c>
      <c r="M22" s="226" t="str">
        <f>A10</f>
        <v>Tommy</v>
      </c>
      <c r="N22" s="5">
        <f>K10</f>
        <v>39</v>
      </c>
      <c r="O22" s="5">
        <f>K57</f>
        <v>2</v>
      </c>
      <c r="P22" s="162"/>
      <c r="Q22" s="65"/>
      <c r="R22" s="65"/>
      <c r="S22" s="65"/>
      <c r="T22" s="153"/>
      <c r="V22" s="2" t="str">
        <f t="shared" si="0"/>
        <v/>
      </c>
      <c r="W22" s="2" t="str">
        <f t="shared" si="1"/>
        <v/>
      </c>
      <c r="X22" s="2" t="str">
        <f t="shared" si="2"/>
        <v/>
      </c>
      <c r="Y22" s="2" t="str">
        <f t="shared" si="3"/>
        <v/>
      </c>
      <c r="Z22" s="2" t="str">
        <f t="shared" si="4"/>
        <v/>
      </c>
      <c r="AA22" s="144">
        <f>IF(SUM(V22:Z22)=0,0,Setup!F$44/SUM(V22:Z22))</f>
        <v>0</v>
      </c>
    </row>
    <row r="23" spans="1:27" hidden="1" x14ac:dyDescent="0.2">
      <c r="A23" s="22">
        <f>Matchups!D20</f>
        <v>6</v>
      </c>
      <c r="B23" s="526"/>
      <c r="C23" s="241"/>
      <c r="D23" s="241"/>
      <c r="E23" s="241"/>
      <c r="F23" s="241"/>
      <c r="G23" s="241"/>
      <c r="H23" s="241"/>
      <c r="I23" s="241"/>
      <c r="J23" s="242"/>
      <c r="K23" s="13"/>
      <c r="M23" s="227"/>
      <c r="N23" s="8"/>
      <c r="O23" s="8"/>
      <c r="P23" s="164"/>
      <c r="Q23" s="66"/>
      <c r="R23" s="66"/>
      <c r="S23" s="66"/>
      <c r="T23" s="154"/>
      <c r="V23" s="2" t="str">
        <f t="shared" si="0"/>
        <v/>
      </c>
      <c r="W23" s="2" t="str">
        <f t="shared" si="1"/>
        <v/>
      </c>
      <c r="X23" s="2" t="str">
        <f t="shared" si="2"/>
        <v/>
      </c>
      <c r="Y23" s="2" t="str">
        <f t="shared" si="3"/>
        <v/>
      </c>
      <c r="Z23" s="2" t="str">
        <f t="shared" si="4"/>
        <v/>
      </c>
      <c r="AA23" s="144">
        <f>IF(SUM(V23:Z23)=0,0,Setup!F$44/SUM(V23:Z23))</f>
        <v>0</v>
      </c>
    </row>
    <row r="24" spans="1:27" x14ac:dyDescent="0.2">
      <c r="A24" s="22" t="str">
        <f>Matchups!D21</f>
        <v>Hunter</v>
      </c>
      <c r="B24" s="526">
        <f>'Day 2A - Match 5'!B24</f>
        <v>6</v>
      </c>
      <c r="C24" s="241">
        <f>'Day 2A - Match 5'!C24</f>
        <v>6</v>
      </c>
      <c r="D24" s="241">
        <f>'Day 2A - Match 5'!D24</f>
        <v>5</v>
      </c>
      <c r="E24" s="241">
        <f>'Day 2A - Match 5'!E24</f>
        <v>5</v>
      </c>
      <c r="F24" s="241">
        <f>'Day 2A - Match 5'!F24</f>
        <v>4</v>
      </c>
      <c r="G24" s="241">
        <f>'Day 2A - Match 5'!G24</f>
        <v>5</v>
      </c>
      <c r="H24" s="241">
        <f>'Day 2A - Match 5'!H24</f>
        <v>5</v>
      </c>
      <c r="I24" s="241">
        <f>'Day 2A - Match 5'!I24</f>
        <v>7</v>
      </c>
      <c r="J24" s="242">
        <f>'Day 2A - Match 5'!J24</f>
        <v>5</v>
      </c>
      <c r="K24" s="13">
        <f t="shared" si="5"/>
        <v>48</v>
      </c>
      <c r="M24" s="227" t="str">
        <f>A14</f>
        <v>Dave</v>
      </c>
      <c r="N24" s="8">
        <f>K14</f>
        <v>42</v>
      </c>
      <c r="O24" s="8">
        <f>K70</f>
        <v>2</v>
      </c>
      <c r="P24" s="164"/>
      <c r="Q24" s="66"/>
      <c r="R24" s="66"/>
      <c r="S24" s="66"/>
      <c r="T24" s="154"/>
      <c r="V24" s="2" t="str">
        <f t="shared" si="0"/>
        <v/>
      </c>
      <c r="W24" s="2" t="str">
        <f t="shared" si="1"/>
        <v/>
      </c>
      <c r="X24" s="2" t="str">
        <f t="shared" si="2"/>
        <v/>
      </c>
      <c r="Y24" s="2" t="str">
        <f t="shared" si="3"/>
        <v/>
      </c>
      <c r="Z24" s="2" t="str">
        <f t="shared" si="4"/>
        <v/>
      </c>
      <c r="AA24" s="144">
        <f>IF(SUM(V24:Z24)=0,0,Setup!F$44/SUM(V24:Z24))</f>
        <v>0</v>
      </c>
    </row>
    <row r="25" spans="1:27" hidden="1" x14ac:dyDescent="0.2">
      <c r="A25" s="22">
        <f>Matchups!D22</f>
        <v>7</v>
      </c>
      <c r="B25" s="526"/>
      <c r="C25" s="241"/>
      <c r="D25" s="241"/>
      <c r="E25" s="241"/>
      <c r="F25" s="241"/>
      <c r="G25" s="241"/>
      <c r="H25" s="241"/>
      <c r="I25" s="241"/>
      <c r="J25" s="242"/>
      <c r="K25" s="13"/>
      <c r="M25" s="227"/>
      <c r="N25" s="8"/>
      <c r="O25" s="8"/>
      <c r="P25" s="164"/>
      <c r="Q25" s="66"/>
      <c r="R25" s="66"/>
      <c r="S25" s="66"/>
      <c r="T25" s="154"/>
      <c r="V25" s="2" t="str">
        <f t="shared" si="0"/>
        <v/>
      </c>
      <c r="W25" s="2" t="str">
        <f t="shared" si="1"/>
        <v/>
      </c>
      <c r="X25" s="2" t="str">
        <f t="shared" si="2"/>
        <v/>
      </c>
      <c r="Y25" s="2" t="str">
        <f t="shared" si="3"/>
        <v/>
      </c>
      <c r="Z25" s="2" t="str">
        <f t="shared" si="4"/>
        <v/>
      </c>
      <c r="AA25" s="144">
        <f>IF(SUM(V25:Z25)=0,0,Setup!F$44/SUM(V25:Z25))</f>
        <v>0</v>
      </c>
    </row>
    <row r="26" spans="1:27" x14ac:dyDescent="0.2">
      <c r="A26" s="22" t="str">
        <f>Matchups!D23</f>
        <v>Brian S</v>
      </c>
      <c r="B26" s="526">
        <f>'Day 2A - Match 5'!B26</f>
        <v>6</v>
      </c>
      <c r="C26" s="241">
        <f>'Day 2A - Match 5'!C26</f>
        <v>7</v>
      </c>
      <c r="D26" s="241">
        <f>'Day 2A - Match 5'!D26</f>
        <v>5</v>
      </c>
      <c r="E26" s="241">
        <f>'Day 2A - Match 5'!E26</f>
        <v>5</v>
      </c>
      <c r="F26" s="241">
        <f>'Day 2A - Match 5'!F26</f>
        <v>5</v>
      </c>
      <c r="G26" s="241">
        <f>'Day 2A - Match 5'!G26</f>
        <v>8</v>
      </c>
      <c r="H26" s="241">
        <f>'Day 2A - Match 5'!H26</f>
        <v>7</v>
      </c>
      <c r="I26" s="241">
        <f>'Day 2A - Match 5'!I26</f>
        <v>7</v>
      </c>
      <c r="J26" s="242">
        <f>'Day 2A - Match 5'!J26</f>
        <v>7</v>
      </c>
      <c r="K26" s="13">
        <f t="shared" si="5"/>
        <v>57</v>
      </c>
      <c r="M26" s="227" t="str">
        <f>A24</f>
        <v>Hunter</v>
      </c>
      <c r="N26" s="8">
        <f>K24</f>
        <v>48</v>
      </c>
      <c r="O26" s="8">
        <f>K115</f>
        <v>2</v>
      </c>
      <c r="P26" s="164"/>
      <c r="Q26" s="66"/>
      <c r="R26" s="66"/>
      <c r="S26" s="66"/>
      <c r="T26" s="154"/>
      <c r="V26" s="2" t="str">
        <f t="shared" si="0"/>
        <v/>
      </c>
      <c r="W26" s="2" t="str">
        <f t="shared" si="1"/>
        <v/>
      </c>
      <c r="X26" s="2" t="str">
        <f t="shared" si="2"/>
        <v/>
      </c>
      <c r="Y26" s="2" t="str">
        <f t="shared" si="3"/>
        <v/>
      </c>
      <c r="Z26" s="2" t="str">
        <f t="shared" si="4"/>
        <v/>
      </c>
      <c r="AA26" s="144">
        <f>IF(SUM(V26:Z26)=0,0,Setup!F$44/SUM(V26:Z26))</f>
        <v>0</v>
      </c>
    </row>
    <row r="27" spans="1:27" hidden="1" x14ac:dyDescent="0.2">
      <c r="A27" s="22">
        <f>Matchups!D24</f>
        <v>13</v>
      </c>
      <c r="B27" s="526"/>
      <c r="C27" s="241"/>
      <c r="D27" s="241"/>
      <c r="E27" s="241"/>
      <c r="F27" s="241"/>
      <c r="G27" s="241"/>
      <c r="H27" s="241"/>
      <c r="I27" s="241"/>
      <c r="J27" s="242"/>
      <c r="K27" s="13"/>
      <c r="M27" s="227"/>
      <c r="N27" s="8"/>
      <c r="O27" s="8"/>
      <c r="P27" s="164"/>
      <c r="Q27" s="66"/>
      <c r="R27" s="66"/>
      <c r="S27" s="66"/>
      <c r="T27" s="154"/>
      <c r="V27" s="2" t="str">
        <f t="shared" si="0"/>
        <v/>
      </c>
      <c r="W27" s="2" t="str">
        <f t="shared" si="1"/>
        <v/>
      </c>
      <c r="X27" s="2" t="str">
        <f t="shared" si="2"/>
        <v/>
      </c>
      <c r="Y27" s="2" t="str">
        <f t="shared" si="3"/>
        <v/>
      </c>
      <c r="Z27" s="2" t="str">
        <f t="shared" si="4"/>
        <v/>
      </c>
      <c r="AA27" s="144">
        <f>IF(SUM(V27:Z27)=0,0,Setup!F$44/SUM(V27:Z27))</f>
        <v>0</v>
      </c>
    </row>
    <row r="28" spans="1:27" ht="13.5" thickBot="1" x14ac:dyDescent="0.25">
      <c r="A28" s="23" t="str">
        <f>Matchups!D25</f>
        <v>Tony W</v>
      </c>
      <c r="B28" s="527">
        <f>'Day 2A - Match 5'!B28</f>
        <v>7</v>
      </c>
      <c r="C28" s="247">
        <f>'Day 2A - Match 5'!C28</f>
        <v>5</v>
      </c>
      <c r="D28" s="247">
        <f>'Day 2A - Match 5'!D28</f>
        <v>6</v>
      </c>
      <c r="E28" s="247">
        <f>'Day 2A - Match 5'!E28</f>
        <v>7</v>
      </c>
      <c r="F28" s="247">
        <f>'Day 2A - Match 5'!F28</f>
        <v>4</v>
      </c>
      <c r="G28" s="247">
        <f>'Day 2A - Match 5'!G28</f>
        <v>7</v>
      </c>
      <c r="H28" s="247">
        <f>'Day 2A - Match 5'!H28</f>
        <v>5</v>
      </c>
      <c r="I28" s="247">
        <f>'Day 2A - Match 5'!I28</f>
        <v>8</v>
      </c>
      <c r="J28" s="248">
        <f>'Day 2A - Match 5'!J28</f>
        <v>9</v>
      </c>
      <c r="K28" s="14">
        <f t="shared" si="5"/>
        <v>58</v>
      </c>
      <c r="M28" s="227" t="str">
        <f>A34</f>
        <v>Gerald C</v>
      </c>
      <c r="N28" s="8">
        <f>K34</f>
        <v>51</v>
      </c>
      <c r="O28" s="8">
        <f>K141</f>
        <v>0</v>
      </c>
      <c r="P28" s="164"/>
      <c r="Q28" s="66"/>
      <c r="R28" s="66"/>
      <c r="S28" s="66"/>
      <c r="T28" s="154"/>
      <c r="V28" s="2" t="str">
        <f t="shared" si="0"/>
        <v/>
      </c>
      <c r="W28" s="2" t="str">
        <f t="shared" si="1"/>
        <v/>
      </c>
      <c r="X28" s="2" t="str">
        <f t="shared" si="2"/>
        <v/>
      </c>
      <c r="Y28" s="2" t="str">
        <f t="shared" si="3"/>
        <v/>
      </c>
      <c r="Z28" s="2" t="str">
        <f t="shared" si="4"/>
        <v/>
      </c>
      <c r="AA28" s="144">
        <f>IF(SUM(V28:Z28)=0,0,Setup!F$44/SUM(V28:Z28))</f>
        <v>0</v>
      </c>
    </row>
    <row r="29" spans="1:27" ht="13.5" hidden="1" thickBot="1" x14ac:dyDescent="0.25">
      <c r="A29" s="400">
        <f>Matchups!D26</f>
        <v>10</v>
      </c>
      <c r="B29" s="541"/>
      <c r="C29" s="270"/>
      <c r="D29" s="270"/>
      <c r="E29" s="270"/>
      <c r="F29" s="270"/>
      <c r="G29" s="270"/>
      <c r="H29" s="270"/>
      <c r="I29" s="270"/>
      <c r="J29" s="272"/>
      <c r="K29" s="250"/>
      <c r="M29" s="334"/>
      <c r="N29" s="70"/>
      <c r="O29" s="70"/>
      <c r="P29" s="165"/>
      <c r="Q29" s="155"/>
      <c r="R29" s="155"/>
      <c r="S29" s="155"/>
      <c r="T29" s="156"/>
      <c r="V29" s="2" t="str">
        <f t="shared" si="0"/>
        <v/>
      </c>
      <c r="W29" s="2" t="str">
        <f t="shared" si="1"/>
        <v/>
      </c>
      <c r="X29" s="2" t="str">
        <f t="shared" si="2"/>
        <v/>
      </c>
      <c r="Y29" s="2" t="str">
        <f t="shared" si="3"/>
        <v/>
      </c>
      <c r="Z29" s="2" t="str">
        <f t="shared" si="4"/>
        <v/>
      </c>
      <c r="AA29" s="144">
        <f>IF(SUM(V29:Z29)=0,0,Setup!F$44/SUM(V29:Z29))</f>
        <v>0</v>
      </c>
    </row>
    <row r="30" spans="1:27" x14ac:dyDescent="0.2">
      <c r="A30" s="21" t="str">
        <f>Matchups!D27</f>
        <v xml:space="preserve">Pat </v>
      </c>
      <c r="B30" s="539">
        <f>'Day 2A - Match 5'!B30</f>
        <v>6</v>
      </c>
      <c r="C30" s="238">
        <f>'Day 2A - Match 5'!C30</f>
        <v>4</v>
      </c>
      <c r="D30" s="238">
        <f>'Day 2A - Match 5'!D30</f>
        <v>6</v>
      </c>
      <c r="E30" s="238">
        <f>'Day 2A - Match 5'!E30</f>
        <v>5</v>
      </c>
      <c r="F30" s="238">
        <f>'Day 2A - Match 5'!F30</f>
        <v>4</v>
      </c>
      <c r="G30" s="238">
        <f>'Day 2A - Match 5'!G30</f>
        <v>5</v>
      </c>
      <c r="H30" s="238">
        <f>'Day 2A - Match 5'!H30</f>
        <v>5</v>
      </c>
      <c r="I30" s="238">
        <f>'Day 2A - Match 5'!I30</f>
        <v>8</v>
      </c>
      <c r="J30" s="544">
        <f>'Day 2A - Match 5'!J30</f>
        <v>4</v>
      </c>
      <c r="K30" s="5">
        <f>SUM(B30:J30)</f>
        <v>47</v>
      </c>
      <c r="M30" s="226" t="str">
        <f>A12</f>
        <v>Bob</v>
      </c>
      <c r="N30" s="5">
        <f>K12</f>
        <v>42</v>
      </c>
      <c r="O30" s="5">
        <f>K50</f>
        <v>2</v>
      </c>
      <c r="P30" s="162"/>
      <c r="Q30" s="65"/>
      <c r="R30" s="65"/>
      <c r="S30" s="65"/>
      <c r="T30" s="153"/>
      <c r="V30" s="2" t="str">
        <f t="shared" si="0"/>
        <v/>
      </c>
      <c r="W30" s="2" t="str">
        <f t="shared" si="1"/>
        <v/>
      </c>
      <c r="X30" s="2" t="str">
        <f t="shared" si="2"/>
        <v/>
      </c>
      <c r="Y30" s="2" t="str">
        <f t="shared" si="3"/>
        <v/>
      </c>
      <c r="Z30" s="2" t="str">
        <f t="shared" si="4"/>
        <v/>
      </c>
      <c r="AA30" s="144">
        <f>IF(SUM(V30:Z30)=0,0,Setup!F$44/SUM(V30:Z30))</f>
        <v>0</v>
      </c>
    </row>
    <row r="31" spans="1:27" hidden="1" x14ac:dyDescent="0.2">
      <c r="A31" s="22">
        <f>Matchups!D28</f>
        <v>6</v>
      </c>
      <c r="B31" s="526"/>
      <c r="C31" s="241"/>
      <c r="D31" s="241"/>
      <c r="E31" s="241"/>
      <c r="F31" s="241"/>
      <c r="G31" s="241"/>
      <c r="H31" s="241"/>
      <c r="I31" s="241"/>
      <c r="J31" s="542"/>
      <c r="K31" s="8"/>
      <c r="M31" s="227"/>
      <c r="N31" s="8"/>
      <c r="O31" s="8"/>
      <c r="P31" s="164"/>
      <c r="Q31" s="66"/>
      <c r="R31" s="66"/>
      <c r="S31" s="66"/>
      <c r="T31" s="154"/>
      <c r="V31" s="2" t="str">
        <f t="shared" si="0"/>
        <v/>
      </c>
      <c r="W31" s="2" t="str">
        <f t="shared" si="1"/>
        <v/>
      </c>
      <c r="X31" s="2" t="str">
        <f t="shared" si="2"/>
        <v/>
      </c>
      <c r="Y31" s="2" t="str">
        <f t="shared" si="3"/>
        <v/>
      </c>
      <c r="Z31" s="2" t="str">
        <f t="shared" si="4"/>
        <v/>
      </c>
      <c r="AA31" s="144">
        <f>IF(SUM(V31:Z31)=0,0,Setup!F$44/SUM(V31:Z31))</f>
        <v>0</v>
      </c>
    </row>
    <row r="32" spans="1:27" x14ac:dyDescent="0.2">
      <c r="A32" s="22" t="str">
        <f>Matchups!D29</f>
        <v>Chris</v>
      </c>
      <c r="B32" s="526">
        <f>'Day 2A - Match 5'!B32</f>
        <v>6</v>
      </c>
      <c r="C32" s="241">
        <f>'Day 2A - Match 5'!C32</f>
        <v>5</v>
      </c>
      <c r="D32" s="241">
        <f>'Day 2A - Match 5'!D32</f>
        <v>5</v>
      </c>
      <c r="E32" s="241">
        <f>'Day 2A - Match 5'!E32</f>
        <v>5</v>
      </c>
      <c r="F32" s="241">
        <f>'Day 2A - Match 5'!F32</f>
        <v>4</v>
      </c>
      <c r="G32" s="241">
        <f>'Day 2A - Match 5'!G32</f>
        <v>5</v>
      </c>
      <c r="H32" s="241">
        <f>'Day 2A - Match 5'!H32</f>
        <v>4</v>
      </c>
      <c r="I32" s="241">
        <f>'Day 2A - Match 5'!I32</f>
        <v>8</v>
      </c>
      <c r="J32" s="542">
        <f>'Day 2A - Match 5'!J32</f>
        <v>6</v>
      </c>
      <c r="K32" s="8">
        <f>SUM(B32:J32)</f>
        <v>48</v>
      </c>
      <c r="M32" s="227" t="str">
        <f>A20</f>
        <v>Patrick</v>
      </c>
      <c r="N32" s="8">
        <f>K20</f>
        <v>50</v>
      </c>
      <c r="O32" s="8">
        <f>K76</f>
        <v>0</v>
      </c>
      <c r="P32" s="164"/>
      <c r="Q32" s="66"/>
      <c r="R32" s="66"/>
      <c r="S32" s="66"/>
      <c r="T32" s="154"/>
      <c r="V32" s="2" t="str">
        <f t="shared" si="0"/>
        <v/>
      </c>
      <c r="W32" s="2" t="str">
        <f t="shared" si="1"/>
        <v/>
      </c>
      <c r="X32" s="2" t="str">
        <f t="shared" si="2"/>
        <v/>
      </c>
      <c r="Y32" s="2" t="str">
        <f t="shared" si="3"/>
        <v/>
      </c>
      <c r="Z32" s="2" t="str">
        <f t="shared" si="4"/>
        <v/>
      </c>
      <c r="AA32" s="144">
        <f>IF(SUM(V32:Z32)=0,0,Setup!F$44/SUM(V32:Z32))</f>
        <v>0</v>
      </c>
    </row>
    <row r="33" spans="1:27" hidden="1" x14ac:dyDescent="0.2">
      <c r="A33" s="22">
        <f>Matchups!D30</f>
        <v>15</v>
      </c>
      <c r="B33" s="526"/>
      <c r="C33" s="241"/>
      <c r="D33" s="241"/>
      <c r="E33" s="241"/>
      <c r="F33" s="241"/>
      <c r="G33" s="241"/>
      <c r="H33" s="241"/>
      <c r="I33" s="241"/>
      <c r="J33" s="542"/>
      <c r="K33" s="8"/>
      <c r="M33" s="227"/>
      <c r="N33" s="8"/>
      <c r="O33" s="8"/>
      <c r="P33" s="164"/>
      <c r="Q33" s="66"/>
      <c r="R33" s="66"/>
      <c r="S33" s="66"/>
      <c r="T33" s="154"/>
      <c r="V33" s="2" t="str">
        <f t="shared" si="0"/>
        <v/>
      </c>
      <c r="W33" s="2" t="str">
        <f t="shared" si="1"/>
        <v/>
      </c>
      <c r="X33" s="2" t="str">
        <f t="shared" si="2"/>
        <v/>
      </c>
      <c r="Y33" s="2" t="str">
        <f t="shared" si="3"/>
        <v/>
      </c>
      <c r="Z33" s="2" t="str">
        <f t="shared" si="4"/>
        <v/>
      </c>
      <c r="AA33" s="144">
        <f>IF(SUM(V33:Z33)=0,0,Setup!F$44/SUM(V33:Z33))</f>
        <v>0</v>
      </c>
    </row>
    <row r="34" spans="1:27" x14ac:dyDescent="0.2">
      <c r="A34" s="22" t="str">
        <f>Matchups!D31</f>
        <v>Gerald C</v>
      </c>
      <c r="B34" s="526">
        <f>'Day 2A - Match 5'!B34</f>
        <v>6</v>
      </c>
      <c r="C34" s="241">
        <f>'Day 2A - Match 5'!C34</f>
        <v>6</v>
      </c>
      <c r="D34" s="241">
        <f>'Day 2A - Match 5'!D34</f>
        <v>5</v>
      </c>
      <c r="E34" s="241">
        <f>'Day 2A - Match 5'!E34</f>
        <v>6</v>
      </c>
      <c r="F34" s="241">
        <f>'Day 2A - Match 5'!F34</f>
        <v>6</v>
      </c>
      <c r="G34" s="241">
        <f>'Day 2A - Match 5'!G34</f>
        <v>4</v>
      </c>
      <c r="H34" s="241">
        <f>'Day 2A - Match 5'!H34</f>
        <v>5</v>
      </c>
      <c r="I34" s="241">
        <f>'Day 2A - Match 5'!I34</f>
        <v>5</v>
      </c>
      <c r="J34" s="542">
        <f>'Day 2A - Match 5'!J34</f>
        <v>8</v>
      </c>
      <c r="K34" s="8">
        <f>SUM(B34:J34)</f>
        <v>51</v>
      </c>
      <c r="L34" s="425"/>
      <c r="M34" s="227" t="str">
        <f>A26</f>
        <v>Brian S</v>
      </c>
      <c r="N34" s="528">
        <f>K26</f>
        <v>57</v>
      </c>
      <c r="O34" s="528">
        <f>K109</f>
        <v>0</v>
      </c>
      <c r="P34" s="164"/>
      <c r="Q34" s="66"/>
      <c r="R34" s="66"/>
      <c r="S34" s="66"/>
      <c r="T34" s="154"/>
      <c r="V34" s="2" t="str">
        <f t="shared" si="0"/>
        <v/>
      </c>
      <c r="W34" s="2" t="str">
        <f t="shared" si="1"/>
        <v/>
      </c>
      <c r="X34" s="2" t="str">
        <f t="shared" si="2"/>
        <v/>
      </c>
      <c r="Y34" s="2" t="str">
        <f t="shared" si="3"/>
        <v/>
      </c>
      <c r="Z34" s="2" t="str">
        <f t="shared" si="4"/>
        <v/>
      </c>
      <c r="AA34" s="144">
        <f>IF(SUM(V34:Z34)=0,0,Setup!F$44/SUM(V34:Z34))</f>
        <v>0</v>
      </c>
    </row>
    <row r="35" spans="1:27" hidden="1" x14ac:dyDescent="0.2">
      <c r="A35" s="22">
        <f>Matchups!D32</f>
        <v>12</v>
      </c>
      <c r="B35" s="526"/>
      <c r="C35" s="241"/>
      <c r="D35" s="241"/>
      <c r="E35" s="241"/>
      <c r="F35" s="241"/>
      <c r="G35" s="241"/>
      <c r="H35" s="241"/>
      <c r="I35" s="241"/>
      <c r="J35" s="542"/>
      <c r="K35" s="545"/>
      <c r="L35" s="425"/>
      <c r="M35" s="227"/>
      <c r="N35" s="528"/>
      <c r="O35" s="528"/>
      <c r="P35" s="164"/>
      <c r="Q35" s="66"/>
      <c r="R35" s="66"/>
      <c r="S35" s="66"/>
      <c r="T35" s="154"/>
      <c r="V35" s="2" t="str">
        <f t="shared" si="0"/>
        <v/>
      </c>
      <c r="W35" s="2" t="str">
        <f t="shared" si="1"/>
        <v/>
      </c>
      <c r="X35" s="2" t="str">
        <f t="shared" si="2"/>
        <v/>
      </c>
      <c r="Y35" s="2" t="str">
        <f t="shared" si="3"/>
        <v/>
      </c>
      <c r="Z35" s="2" t="str">
        <f t="shared" si="4"/>
        <v/>
      </c>
      <c r="AA35" s="144">
        <f>IF(SUM(V35:Z35)=0,0,Setup!F$44/SUM(V35:Z35))</f>
        <v>0</v>
      </c>
    </row>
    <row r="36" spans="1:27" ht="13.5" thickBot="1" x14ac:dyDescent="0.25">
      <c r="A36" s="23" t="str">
        <f>Matchups!D33</f>
        <v>Manny</v>
      </c>
      <c r="B36" s="527">
        <f>'Day 2A - Match 5'!B36</f>
        <v>10</v>
      </c>
      <c r="C36" s="247">
        <f>'Day 2A - Match 5'!C36</f>
        <v>7</v>
      </c>
      <c r="D36" s="247">
        <f>'Day 2A - Match 5'!D36</f>
        <v>6</v>
      </c>
      <c r="E36" s="247">
        <f>'Day 2A - Match 5'!E36</f>
        <v>7</v>
      </c>
      <c r="F36" s="247">
        <f>'Day 2A - Match 5'!F36</f>
        <v>3</v>
      </c>
      <c r="G36" s="247">
        <f>'Day 2A - Match 5'!G36</f>
        <v>5</v>
      </c>
      <c r="H36" s="247">
        <f>'Day 2A - Match 5'!H36</f>
        <v>6</v>
      </c>
      <c r="I36" s="247">
        <f>'Day 2A - Match 5'!I36</f>
        <v>8</v>
      </c>
      <c r="J36" s="543">
        <f>'Day 2A - Match 5'!J36</f>
        <v>6</v>
      </c>
      <c r="K36" s="11">
        <f>SUM(B36:J36)</f>
        <v>58</v>
      </c>
      <c r="L36" s="425"/>
      <c r="M36" s="228" t="str">
        <f>A32</f>
        <v>Chris</v>
      </c>
      <c r="N36" s="529">
        <f>K32</f>
        <v>48</v>
      </c>
      <c r="O36" s="529">
        <f>K135</f>
        <v>2</v>
      </c>
      <c r="P36" s="166"/>
      <c r="Q36" s="67"/>
      <c r="R36" s="67"/>
      <c r="S36" s="67"/>
      <c r="T36" s="157"/>
      <c r="V36" s="2" t="str">
        <f t="shared" si="0"/>
        <v/>
      </c>
      <c r="W36" s="2" t="str">
        <f t="shared" si="1"/>
        <v/>
      </c>
      <c r="X36" s="2" t="str">
        <f t="shared" si="2"/>
        <v/>
      </c>
      <c r="Y36" s="2" t="str">
        <f t="shared" si="3"/>
        <v/>
      </c>
      <c r="Z36" s="2" t="str">
        <f t="shared" si="4"/>
        <v/>
      </c>
      <c r="AA36" s="144">
        <f>IF(SUM(V36:Z36)=0,0,Setup!F$44/SUM(V36:Z36))</f>
        <v>0</v>
      </c>
    </row>
    <row r="37" spans="1:27" ht="13.5" hidden="1" thickBot="1" x14ac:dyDescent="0.25">
      <c r="A37" s="679">
        <f>Matchups!D34</f>
        <v>14</v>
      </c>
      <c r="B37" s="680"/>
      <c r="C37" s="681"/>
      <c r="D37" s="681"/>
      <c r="E37" s="681"/>
      <c r="F37" s="681"/>
      <c r="G37" s="681"/>
      <c r="H37" s="681"/>
      <c r="I37" s="681"/>
      <c r="J37" s="682"/>
      <c r="K37" s="546"/>
      <c r="L37" s="425"/>
      <c r="M37" s="262"/>
      <c r="N37" s="530"/>
      <c r="O37" s="530"/>
      <c r="P37" s="163"/>
      <c r="Q37" s="158"/>
      <c r="R37" s="158"/>
      <c r="S37" s="158"/>
      <c r="T37" s="159"/>
      <c r="V37" s="2" t="str">
        <f t="shared" si="0"/>
        <v/>
      </c>
      <c r="W37" s="2" t="str">
        <f t="shared" si="1"/>
        <v/>
      </c>
      <c r="X37" s="2" t="str">
        <f t="shared" si="2"/>
        <v/>
      </c>
      <c r="Y37" s="2" t="str">
        <f t="shared" si="3"/>
        <v/>
      </c>
      <c r="Z37" s="2" t="str">
        <f t="shared" si="4"/>
        <v/>
      </c>
      <c r="AA37" s="144">
        <f>IF(SUM(V37:Z37)=0,0,Setup!F$44/SUM(V37:Z37))</f>
        <v>0</v>
      </c>
    </row>
    <row r="38" spans="1:27" x14ac:dyDescent="0.2">
      <c r="A38" s="26"/>
      <c r="B38" s="15"/>
      <c r="C38" s="15"/>
      <c r="D38" s="15"/>
      <c r="E38" s="15"/>
      <c r="F38" s="15"/>
      <c r="G38" s="15"/>
      <c r="H38" s="15"/>
      <c r="I38" s="15"/>
      <c r="J38" s="15"/>
      <c r="K38" s="15"/>
      <c r="AA38" s="139"/>
    </row>
    <row r="39" spans="1:27" x14ac:dyDescent="0.2">
      <c r="S39" s="52">
        <f>COUNTIF(S6:S37,1)</f>
        <v>0</v>
      </c>
    </row>
    <row r="40" spans="1:27" ht="13.5" thickBot="1" x14ac:dyDescent="0.25">
      <c r="A40" s="24" t="s">
        <v>8</v>
      </c>
    </row>
    <row r="41" spans="1:27" x14ac:dyDescent="0.2">
      <c r="A41" s="79" t="str">
        <f t="shared" ref="A41:J41" si="6">A6</f>
        <v>Rick</v>
      </c>
      <c r="B41" s="17">
        <f t="shared" si="6"/>
        <v>6</v>
      </c>
      <c r="C41" s="3">
        <f t="shared" si="6"/>
        <v>4</v>
      </c>
      <c r="D41" s="3">
        <f t="shared" si="6"/>
        <v>5</v>
      </c>
      <c r="E41" s="3">
        <f t="shared" si="6"/>
        <v>3</v>
      </c>
      <c r="F41" s="3">
        <f t="shared" si="6"/>
        <v>2</v>
      </c>
      <c r="G41" s="3">
        <f t="shared" si="6"/>
        <v>6</v>
      </c>
      <c r="H41" s="3">
        <f t="shared" si="6"/>
        <v>5</v>
      </c>
      <c r="I41" s="3">
        <f t="shared" si="6"/>
        <v>6</v>
      </c>
      <c r="J41" s="4">
        <f t="shared" si="6"/>
        <v>5</v>
      </c>
      <c r="K41" s="12">
        <f>SUM(B41:J41)</f>
        <v>42</v>
      </c>
    </row>
    <row r="42" spans="1:27" x14ac:dyDescent="0.2">
      <c r="A42" s="80">
        <f>A7</f>
        <v>7</v>
      </c>
      <c r="B42" s="18">
        <f>IF(AND(ISNUMBER($A42),ISNUMBER($A48)),IF((RANK(B$4,$B$4:$J$4,1))&lt;=($A42-$A48),1,0),"")</f>
        <v>0</v>
      </c>
      <c r="C42" s="6">
        <f t="shared" ref="C42:J43" si="7">IF(AND(ISNUMBER($A42),ISNUMBER($A48)),IF((RANK(C$4,$B$4:$J$4,1))&lt;=($A42-$A48),1,0),"")</f>
        <v>0</v>
      </c>
      <c r="D42" s="6">
        <f t="shared" si="7"/>
        <v>0</v>
      </c>
      <c r="E42" s="6">
        <f t="shared" si="7"/>
        <v>0</v>
      </c>
      <c r="F42" s="6">
        <f t="shared" si="7"/>
        <v>0</v>
      </c>
      <c r="G42" s="6">
        <f t="shared" si="7"/>
        <v>0</v>
      </c>
      <c r="H42" s="6">
        <f t="shared" si="7"/>
        <v>0</v>
      </c>
      <c r="I42" s="6">
        <f t="shared" si="7"/>
        <v>0</v>
      </c>
      <c r="J42" s="7">
        <f t="shared" si="7"/>
        <v>0</v>
      </c>
      <c r="K42" s="8">
        <f>SUM(B42:J42)</f>
        <v>0</v>
      </c>
    </row>
    <row r="43" spans="1:27" x14ac:dyDescent="0.2">
      <c r="A43" s="80">
        <f>IF((A42-A48)&gt;9,(A42-A48-9),0)</f>
        <v>0</v>
      </c>
      <c r="B43" s="18">
        <f>IF(AND(ISNUMBER($A43),ISNUMBER($A49)),IF((RANK(B$4,$B$4:$J$4,1))&lt;=($A43-$A49),1,0),"")</f>
        <v>0</v>
      </c>
      <c r="C43" s="6">
        <f t="shared" si="7"/>
        <v>0</v>
      </c>
      <c r="D43" s="6">
        <f t="shared" si="7"/>
        <v>0</v>
      </c>
      <c r="E43" s="6">
        <f t="shared" si="7"/>
        <v>0</v>
      </c>
      <c r="F43" s="6">
        <f t="shared" si="7"/>
        <v>0</v>
      </c>
      <c r="G43" s="6">
        <f t="shared" si="7"/>
        <v>0</v>
      </c>
      <c r="H43" s="6">
        <f t="shared" si="7"/>
        <v>0</v>
      </c>
      <c r="I43" s="6">
        <f t="shared" si="7"/>
        <v>0</v>
      </c>
      <c r="J43" s="7">
        <f t="shared" si="7"/>
        <v>0</v>
      </c>
      <c r="K43" s="8">
        <f>SUM(B43:J43)</f>
        <v>0</v>
      </c>
    </row>
    <row r="44" spans="1:27" x14ac:dyDescent="0.2">
      <c r="A44" s="80"/>
      <c r="B44" s="82">
        <f>IF(AND(ISNUMBER(B41),ISNUMBER(B42)),B41-B42-B43," ")</f>
        <v>6</v>
      </c>
      <c r="C44" s="86">
        <f t="shared" ref="C44:J44" si="8">IF(AND(ISNUMBER(C41),ISNUMBER(C42)),C41-C42-C43," ")</f>
        <v>4</v>
      </c>
      <c r="D44" s="86">
        <f t="shared" si="8"/>
        <v>5</v>
      </c>
      <c r="E44" s="86">
        <f t="shared" si="8"/>
        <v>3</v>
      </c>
      <c r="F44" s="86">
        <f t="shared" si="8"/>
        <v>2</v>
      </c>
      <c r="G44" s="86">
        <f t="shared" si="8"/>
        <v>6</v>
      </c>
      <c r="H44" s="86">
        <f t="shared" si="8"/>
        <v>5</v>
      </c>
      <c r="I44" s="86">
        <f t="shared" si="8"/>
        <v>6</v>
      </c>
      <c r="J44" s="87">
        <f t="shared" si="8"/>
        <v>5</v>
      </c>
      <c r="K44" s="8">
        <f>IF(ISNUMBER(FIND("Wins",K45)), 2, IF(ISNUMBER(FIND("Tie",K45)), 1, 0))</f>
        <v>0</v>
      </c>
    </row>
    <row r="45" spans="1:27" ht="13.5" thickBot="1" x14ac:dyDescent="0.25">
      <c r="A45" s="81"/>
      <c r="B45" s="19">
        <f>IF(AND(ISNUMBER(B44),ISNUMBER(B50)),IF(B44&lt;B50, 0+1, (IF(B44&gt;B50, 0-1, 0)))," ")</f>
        <v>-1</v>
      </c>
      <c r="C45" s="9">
        <f t="shared" ref="C45:J45" si="9">IF(AND(ISNUMBER(C44),ISNUMBER(C50)),IF(C44&lt;C50, +B45+1, (IF(C44&gt;C50, +B45-1, +B45)))," ")</f>
        <v>-2</v>
      </c>
      <c r="D45" s="9">
        <f t="shared" si="9"/>
        <v>-2</v>
      </c>
      <c r="E45" s="9">
        <f t="shared" si="9"/>
        <v>-1</v>
      </c>
      <c r="F45" s="9">
        <f t="shared" si="9"/>
        <v>-1</v>
      </c>
      <c r="G45" s="9">
        <f t="shared" si="9"/>
        <v>-1</v>
      </c>
      <c r="H45" s="9">
        <f t="shared" si="9"/>
        <v>-2</v>
      </c>
      <c r="I45" s="9">
        <f t="shared" si="9"/>
        <v>-3</v>
      </c>
      <c r="J45" s="10">
        <f t="shared" si="9"/>
        <v>-4</v>
      </c>
      <c r="K45" s="11" t="str">
        <f>IF(ISNUMBER(J45),IF(F45&gt;4,"Wins " &amp; F45 &amp; " &amp; 4",IF(G45&gt;3,"Wins " &amp; G45 &amp; " &amp; 3",IF(H45&gt;2,"Wins " &amp; H45 &amp; " &amp; 2",IF(I45&gt;1,"Wins " &amp; I45 &amp; " &amp; 1",IF(J45&gt;J51,"Wins " &amp; J45 &amp; " Up",IF(J45&lt;J51,"Loss","Tie"))))))," ")</f>
        <v>Loss</v>
      </c>
    </row>
    <row r="46" spans="1:27" ht="13.5" thickBot="1" x14ac:dyDescent="0.25">
      <c r="A46" s="32"/>
    </row>
    <row r="47" spans="1:27" x14ac:dyDescent="0.2">
      <c r="A47" s="79" t="str">
        <f t="shared" ref="A47:J47" si="10">A12</f>
        <v>Bob</v>
      </c>
      <c r="B47" s="17">
        <f t="shared" si="10"/>
        <v>6</v>
      </c>
      <c r="C47" s="3">
        <f t="shared" si="10"/>
        <v>3</v>
      </c>
      <c r="D47" s="3">
        <f t="shared" si="10"/>
        <v>5</v>
      </c>
      <c r="E47" s="3">
        <f t="shared" si="10"/>
        <v>5</v>
      </c>
      <c r="F47" s="3">
        <f t="shared" si="10"/>
        <v>2</v>
      </c>
      <c r="G47" s="3">
        <f t="shared" si="10"/>
        <v>6</v>
      </c>
      <c r="H47" s="3">
        <f t="shared" si="10"/>
        <v>5</v>
      </c>
      <c r="I47" s="3">
        <f t="shared" si="10"/>
        <v>6</v>
      </c>
      <c r="J47" s="4">
        <f t="shared" si="10"/>
        <v>4</v>
      </c>
      <c r="K47" s="12">
        <f>SUM(B47:J47)</f>
        <v>42</v>
      </c>
    </row>
    <row r="48" spans="1:27" x14ac:dyDescent="0.2">
      <c r="A48" s="80">
        <f>A13</f>
        <v>10</v>
      </c>
      <c r="B48" s="18">
        <f>IF(AND(ISNUMBER($A42),ISNUMBER($A48)),IF((RANK(B$4,$B$4:$J$4,1))&lt;=($A48-$A42),1,0),"")</f>
        <v>1</v>
      </c>
      <c r="C48" s="6">
        <f t="shared" ref="C48:J49" si="11">IF(AND(ISNUMBER($A42),ISNUMBER($A48)),IF((RANK(C$4,$B$4:$J$4,1))&lt;=($A48-$A42),1,0),"")</f>
        <v>0</v>
      </c>
      <c r="D48" s="6">
        <f t="shared" si="11"/>
        <v>0</v>
      </c>
      <c r="E48" s="6">
        <f t="shared" si="11"/>
        <v>0</v>
      </c>
      <c r="F48" s="6">
        <f t="shared" si="11"/>
        <v>0</v>
      </c>
      <c r="G48" s="6">
        <f t="shared" si="11"/>
        <v>0</v>
      </c>
      <c r="H48" s="6">
        <f t="shared" si="11"/>
        <v>1</v>
      </c>
      <c r="I48" s="6">
        <f t="shared" si="11"/>
        <v>1</v>
      </c>
      <c r="J48" s="7">
        <f t="shared" si="11"/>
        <v>0</v>
      </c>
      <c r="K48" s="13">
        <f>SUM(B48:J48)</f>
        <v>3</v>
      </c>
    </row>
    <row r="49" spans="1:27" x14ac:dyDescent="0.2">
      <c r="A49" s="80">
        <f>IF((A48-A42)&gt;9,(A48-A42-9),0)</f>
        <v>0</v>
      </c>
      <c r="B49" s="18">
        <f>IF(AND(ISNUMBER($A43),ISNUMBER($A49)),IF((RANK(B$4,$B$4:$J$4,1))&lt;=($A49-$A43),1,0),"")</f>
        <v>0</v>
      </c>
      <c r="C49" s="6">
        <f t="shared" si="11"/>
        <v>0</v>
      </c>
      <c r="D49" s="6">
        <f t="shared" si="11"/>
        <v>0</v>
      </c>
      <c r="E49" s="6">
        <f t="shared" si="11"/>
        <v>0</v>
      </c>
      <c r="F49" s="6">
        <f t="shared" si="11"/>
        <v>0</v>
      </c>
      <c r="G49" s="6">
        <f t="shared" si="11"/>
        <v>0</v>
      </c>
      <c r="H49" s="6">
        <f t="shared" si="11"/>
        <v>0</v>
      </c>
      <c r="I49" s="6">
        <f t="shared" si="11"/>
        <v>0</v>
      </c>
      <c r="J49" s="7">
        <f t="shared" si="11"/>
        <v>0</v>
      </c>
      <c r="K49" s="13">
        <f>SUM(B49:J49)</f>
        <v>0</v>
      </c>
    </row>
    <row r="50" spans="1:27" x14ac:dyDescent="0.2">
      <c r="A50" s="80"/>
      <c r="B50" s="82">
        <f>IF(AND(ISNUMBER(B47),ISNUMBER(B48)),B47-B48-B49," ")</f>
        <v>5</v>
      </c>
      <c r="C50" s="83">
        <f t="shared" ref="C50:J50" si="12">IF(AND(ISNUMBER(C47),ISNUMBER(C48)),C47-C48-C49," ")</f>
        <v>3</v>
      </c>
      <c r="D50" s="83">
        <f t="shared" si="12"/>
        <v>5</v>
      </c>
      <c r="E50" s="83">
        <f t="shared" si="12"/>
        <v>5</v>
      </c>
      <c r="F50" s="83">
        <f t="shared" si="12"/>
        <v>2</v>
      </c>
      <c r="G50" s="83">
        <f t="shared" si="12"/>
        <v>6</v>
      </c>
      <c r="H50" s="83">
        <f t="shared" si="12"/>
        <v>4</v>
      </c>
      <c r="I50" s="83">
        <f t="shared" si="12"/>
        <v>5</v>
      </c>
      <c r="J50" s="84">
        <f t="shared" si="12"/>
        <v>4</v>
      </c>
      <c r="K50" s="13">
        <f>IF(ISNUMBER(FIND("Wins",K51)), 2, IF(ISNUMBER(FIND("Tie",K51)), 1, 0))</f>
        <v>2</v>
      </c>
    </row>
    <row r="51" spans="1:27" ht="13.5" thickBot="1" x14ac:dyDescent="0.25">
      <c r="A51" s="81"/>
      <c r="B51" s="19">
        <f>IF(AND(ISNUMBER(B44),ISNUMBER(B50)),IF(B50&lt;B44, 0+1, (IF(B50&gt;B44, 0-1, 0)))," ")</f>
        <v>1</v>
      </c>
      <c r="C51" s="9">
        <f t="shared" ref="C51:J51" si="13">IF(AND(ISNUMBER(C44),ISNUMBER(C50)),IF(C50&lt;C44, +B51+1, (IF(C50&gt;C44, +B51-1, +B51)))," ")</f>
        <v>2</v>
      </c>
      <c r="D51" s="9">
        <f t="shared" si="13"/>
        <v>2</v>
      </c>
      <c r="E51" s="9">
        <f t="shared" si="13"/>
        <v>1</v>
      </c>
      <c r="F51" s="9">
        <f t="shared" si="13"/>
        <v>1</v>
      </c>
      <c r="G51" s="9">
        <f t="shared" si="13"/>
        <v>1</v>
      </c>
      <c r="H51" s="9">
        <f t="shared" si="13"/>
        <v>2</v>
      </c>
      <c r="I51" s="9">
        <f t="shared" si="13"/>
        <v>3</v>
      </c>
      <c r="J51" s="10">
        <f t="shared" si="13"/>
        <v>4</v>
      </c>
      <c r="K51" s="14" t="str">
        <f>IF(ISNUMBER(J51),IF(F51&gt;4,"Wins " &amp; F51 &amp; " &amp; 4",IF(G51&gt;3,"Wins " &amp; G51 &amp; " &amp; 3",IF(H51&gt;2,"Wins " &amp; H51 &amp; " &amp; 2",IF(I51&gt;1,"Wins " &amp; I51 &amp; " &amp; 1",IF(J51&gt;J45,"Wins " &amp; J51 &amp; " Up",IF(J51&lt;J45,"Loss","Tie"))))))," ")</f>
        <v>Wins 3 &amp; 1</v>
      </c>
    </row>
    <row r="53" spans="1:27" s="16" customFormat="1" ht="13.5" thickBot="1" x14ac:dyDescent="0.25">
      <c r="A53" s="24" t="s">
        <v>9</v>
      </c>
      <c r="B53" s="2"/>
      <c r="C53" s="2"/>
      <c r="D53" s="2"/>
      <c r="E53" s="2"/>
      <c r="F53" s="2"/>
      <c r="G53" s="2"/>
      <c r="H53" s="2"/>
      <c r="I53" s="2"/>
      <c r="J53" s="2"/>
      <c r="K53" s="2"/>
      <c r="N53" s="15"/>
      <c r="O53" s="15"/>
      <c r="P53" s="59"/>
      <c r="Q53" s="59"/>
      <c r="R53" s="59"/>
      <c r="S53" s="59"/>
      <c r="T53" s="59"/>
      <c r="W53" s="15"/>
      <c r="X53" s="15"/>
      <c r="Y53" s="15"/>
      <c r="Z53" s="15"/>
      <c r="AA53" s="15"/>
    </row>
    <row r="54" spans="1:27" s="16" customFormat="1" x14ac:dyDescent="0.2">
      <c r="A54" s="29" t="str">
        <f t="shared" ref="A54:J54" si="14">A10</f>
        <v>Tommy</v>
      </c>
      <c r="B54" s="17">
        <f t="shared" si="14"/>
        <v>6</v>
      </c>
      <c r="C54" s="3">
        <f t="shared" si="14"/>
        <v>3</v>
      </c>
      <c r="D54" s="3">
        <f t="shared" si="14"/>
        <v>4</v>
      </c>
      <c r="E54" s="3">
        <f t="shared" si="14"/>
        <v>4</v>
      </c>
      <c r="F54" s="3">
        <f t="shared" si="14"/>
        <v>2</v>
      </c>
      <c r="G54" s="3">
        <f t="shared" si="14"/>
        <v>4</v>
      </c>
      <c r="H54" s="3">
        <f t="shared" si="14"/>
        <v>5</v>
      </c>
      <c r="I54" s="3">
        <f t="shared" si="14"/>
        <v>6</v>
      </c>
      <c r="J54" s="4">
        <f t="shared" si="14"/>
        <v>5</v>
      </c>
      <c r="K54" s="12">
        <f>SUM(B54:J54)</f>
        <v>39</v>
      </c>
      <c r="N54" s="15"/>
      <c r="O54" s="15"/>
      <c r="P54" s="59"/>
      <c r="Q54" s="59"/>
      <c r="R54" s="59"/>
      <c r="S54" s="59"/>
      <c r="T54" s="59"/>
      <c r="W54" s="15"/>
      <c r="X54" s="15"/>
      <c r="Y54" s="15"/>
      <c r="Z54" s="15"/>
      <c r="AA54" s="15"/>
    </row>
    <row r="55" spans="1:27" s="16" customFormat="1" x14ac:dyDescent="0.2">
      <c r="A55" s="30">
        <f>A11</f>
        <v>5</v>
      </c>
      <c r="B55" s="18">
        <f>IF(AND(ISNUMBER($A55),ISNUMBER($A61)),IF((RANK(B$4,$B$4:$J$4,1))&lt;=($A55-$A61),1,0),"")</f>
        <v>0</v>
      </c>
      <c r="C55" s="6">
        <f t="shared" ref="C55:J56" si="15">IF(AND(ISNUMBER($A55),ISNUMBER($A61)),IF((RANK(C$4,$B$4:$J$4,1))&lt;=($A55-$A61),1,0),"")</f>
        <v>0</v>
      </c>
      <c r="D55" s="6">
        <f t="shared" si="15"/>
        <v>0</v>
      </c>
      <c r="E55" s="6">
        <f t="shared" si="15"/>
        <v>0</v>
      </c>
      <c r="F55" s="6">
        <f t="shared" si="15"/>
        <v>0</v>
      </c>
      <c r="G55" s="6">
        <f t="shared" si="15"/>
        <v>0</v>
      </c>
      <c r="H55" s="6">
        <f t="shared" si="15"/>
        <v>0</v>
      </c>
      <c r="I55" s="6">
        <f t="shared" si="15"/>
        <v>0</v>
      </c>
      <c r="J55" s="7">
        <f t="shared" si="15"/>
        <v>0</v>
      </c>
      <c r="K55" s="13">
        <f>SUM(B55:J55)</f>
        <v>0</v>
      </c>
      <c r="N55" s="15"/>
      <c r="O55" s="15"/>
      <c r="P55" s="59"/>
      <c r="Q55" s="59"/>
      <c r="R55" s="59"/>
      <c r="S55" s="59"/>
      <c r="T55" s="59"/>
      <c r="W55" s="15"/>
      <c r="X55" s="15"/>
      <c r="Y55" s="15"/>
      <c r="Z55" s="15"/>
      <c r="AA55" s="15"/>
    </row>
    <row r="56" spans="1:27" s="16" customFormat="1" x14ac:dyDescent="0.2">
      <c r="A56" s="30">
        <f>IF((A55-A61)&gt;9,(A55-A61-9),0)</f>
        <v>0</v>
      </c>
      <c r="B56" s="18">
        <f>IF(AND(ISNUMBER($A56),ISNUMBER($A62)),IF((RANK(B$4,$B$4:$J$4,1))&lt;=($A56-$A62),1,0),"")</f>
        <v>0</v>
      </c>
      <c r="C56" s="6">
        <f t="shared" si="15"/>
        <v>0</v>
      </c>
      <c r="D56" s="6">
        <f t="shared" si="15"/>
        <v>0</v>
      </c>
      <c r="E56" s="6">
        <f t="shared" si="15"/>
        <v>0</v>
      </c>
      <c r="F56" s="6">
        <f t="shared" si="15"/>
        <v>0</v>
      </c>
      <c r="G56" s="6">
        <f t="shared" si="15"/>
        <v>0</v>
      </c>
      <c r="H56" s="6">
        <f t="shared" si="15"/>
        <v>0</v>
      </c>
      <c r="I56" s="6">
        <f t="shared" si="15"/>
        <v>0</v>
      </c>
      <c r="J56" s="7">
        <f t="shared" si="15"/>
        <v>0</v>
      </c>
      <c r="K56" s="13">
        <f>SUM(B56:J56)</f>
        <v>0</v>
      </c>
      <c r="N56" s="15"/>
      <c r="O56" s="15"/>
      <c r="P56" s="59"/>
      <c r="Q56" s="59"/>
      <c r="R56" s="59"/>
      <c r="S56" s="59"/>
      <c r="T56" s="59"/>
      <c r="W56" s="15"/>
      <c r="X56" s="15"/>
      <c r="Y56" s="15"/>
      <c r="Z56" s="15"/>
      <c r="AA56" s="15"/>
    </row>
    <row r="57" spans="1:27" s="16" customFormat="1" x14ac:dyDescent="0.2">
      <c r="A57" s="30"/>
      <c r="B57" s="82">
        <f>IF(AND(ISNUMBER(B54),ISNUMBER(B55)),B54-B55-B56," ")</f>
        <v>6</v>
      </c>
      <c r="C57" s="83">
        <f t="shared" ref="C57:J57" si="16">IF(AND(ISNUMBER(C54),ISNUMBER(C55)),C54-C55-C56," ")</f>
        <v>3</v>
      </c>
      <c r="D57" s="83">
        <f t="shared" si="16"/>
        <v>4</v>
      </c>
      <c r="E57" s="83">
        <f t="shared" si="16"/>
        <v>4</v>
      </c>
      <c r="F57" s="83">
        <f t="shared" si="16"/>
        <v>2</v>
      </c>
      <c r="G57" s="83">
        <f t="shared" si="16"/>
        <v>4</v>
      </c>
      <c r="H57" s="83">
        <f t="shared" si="16"/>
        <v>5</v>
      </c>
      <c r="I57" s="83">
        <f t="shared" si="16"/>
        <v>6</v>
      </c>
      <c r="J57" s="84">
        <f t="shared" si="16"/>
        <v>5</v>
      </c>
      <c r="K57" s="13">
        <f>IF(ISNUMBER(FIND("Wins",K58)), 2, IF(ISNUMBER(FIND("Tie",K58)), 1, 0))</f>
        <v>2</v>
      </c>
      <c r="N57" s="15"/>
      <c r="O57" s="15"/>
      <c r="P57" s="59"/>
      <c r="Q57" s="59"/>
      <c r="R57" s="59"/>
      <c r="S57" s="59"/>
      <c r="T57" s="59"/>
      <c r="W57" s="15"/>
      <c r="X57" s="15"/>
      <c r="Y57" s="15"/>
      <c r="Z57" s="15"/>
      <c r="AA57" s="15"/>
    </row>
    <row r="58" spans="1:27" s="16" customFormat="1" ht="13.5" thickBot="1" x14ac:dyDescent="0.25">
      <c r="A58" s="31"/>
      <c r="B58" s="19">
        <f>IF(AND(ISNUMBER(B57),ISNUMBER(B63)),IF(B57&lt;B63, 0+1, (IF(B57&gt;B63, 0-1, 0)))," ")</f>
        <v>-1</v>
      </c>
      <c r="C58" s="9">
        <f t="shared" ref="C58:J58" si="17">IF(AND(ISNUMBER(C57),ISNUMBER(C63)),IF(C57&lt;C63, +B58+1, (IF(C57&gt;C63, +B58-1, +B58)))," ")</f>
        <v>0</v>
      </c>
      <c r="D58" s="9">
        <f t="shared" si="17"/>
        <v>0</v>
      </c>
      <c r="E58" s="9">
        <f t="shared" si="17"/>
        <v>0</v>
      </c>
      <c r="F58" s="9">
        <f t="shared" si="17"/>
        <v>1</v>
      </c>
      <c r="G58" s="9">
        <f t="shared" si="17"/>
        <v>2</v>
      </c>
      <c r="H58" s="9">
        <f t="shared" si="17"/>
        <v>2</v>
      </c>
      <c r="I58" s="9">
        <f t="shared" si="17"/>
        <v>1</v>
      </c>
      <c r="J58" s="10">
        <f t="shared" si="17"/>
        <v>1</v>
      </c>
      <c r="K58" s="14" t="str">
        <f>IF(ISNUMBER(J58),IF(F58&gt;4,"Wins " &amp; F58 &amp; " &amp; 4",IF(G58&gt;3,"Wins " &amp; G58 &amp; " &amp; 3",IF(H58&gt;2,"Wins " &amp; H58 &amp; " &amp; 2",IF(I58&gt;1,"Wins " &amp; I58 &amp; " &amp; 1",IF(J58&gt;J64,"Wins " &amp; J58 &amp; " Up",IF(J58&lt;J64,"Loss","Tie"))))))," ")</f>
        <v>Wins 1 Up</v>
      </c>
      <c r="N58" s="15"/>
      <c r="O58" s="15"/>
      <c r="P58" s="59"/>
      <c r="Q58" s="59"/>
      <c r="R58" s="59"/>
      <c r="S58" s="59"/>
      <c r="T58" s="59"/>
      <c r="W58" s="15"/>
      <c r="X58" s="15"/>
      <c r="Y58" s="15"/>
      <c r="Z58" s="15"/>
      <c r="AA58" s="15"/>
    </row>
    <row r="59" spans="1:27" s="16" customFormat="1" ht="13.5" thickBot="1" x14ac:dyDescent="0.25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N59" s="15"/>
      <c r="O59" s="15"/>
      <c r="P59" s="59"/>
      <c r="Q59" s="59"/>
      <c r="R59" s="59"/>
      <c r="S59" s="59"/>
      <c r="T59" s="59"/>
      <c r="W59" s="15"/>
      <c r="X59" s="15"/>
      <c r="Y59" s="15"/>
      <c r="Z59" s="15"/>
      <c r="AA59" s="15"/>
    </row>
    <row r="60" spans="1:27" s="16" customFormat="1" x14ac:dyDescent="0.2">
      <c r="A60" s="79" t="str">
        <f t="shared" ref="A60:J60" si="18">A8</f>
        <v>Mil</v>
      </c>
      <c r="B60" s="17">
        <f t="shared" si="18"/>
        <v>5</v>
      </c>
      <c r="C60" s="3">
        <f t="shared" si="18"/>
        <v>4</v>
      </c>
      <c r="D60" s="3">
        <f t="shared" si="18"/>
        <v>4</v>
      </c>
      <c r="E60" s="3">
        <f t="shared" si="18"/>
        <v>4</v>
      </c>
      <c r="F60" s="3">
        <f t="shared" si="18"/>
        <v>3</v>
      </c>
      <c r="G60" s="3">
        <f t="shared" si="18"/>
        <v>7</v>
      </c>
      <c r="H60" s="3">
        <f t="shared" si="18"/>
        <v>5</v>
      </c>
      <c r="I60" s="3">
        <f t="shared" si="18"/>
        <v>6</v>
      </c>
      <c r="J60" s="4">
        <f t="shared" si="18"/>
        <v>5</v>
      </c>
      <c r="K60" s="12">
        <f>SUM(B60:J60)</f>
        <v>43</v>
      </c>
      <c r="N60" s="15"/>
      <c r="O60" s="15"/>
      <c r="P60" s="59"/>
      <c r="Q60" s="59"/>
      <c r="R60" s="59"/>
      <c r="S60" s="59"/>
      <c r="T60" s="59"/>
      <c r="W60" s="15"/>
      <c r="X60" s="15"/>
      <c r="Y60" s="15"/>
      <c r="Z60" s="15"/>
      <c r="AA60" s="15"/>
    </row>
    <row r="61" spans="1:27" s="16" customFormat="1" x14ac:dyDescent="0.2">
      <c r="A61" s="80">
        <f>A9</f>
        <v>6</v>
      </c>
      <c r="B61" s="18">
        <f>IF(AND(ISNUMBER($A55),ISNUMBER($A61)),IF((RANK(B$4,$B$4:$J$4,1))&lt;=($A61-$A55),1,0),"")</f>
        <v>0</v>
      </c>
      <c r="C61" s="6">
        <f t="shared" ref="C61:J62" si="19">IF(AND(ISNUMBER($A55),ISNUMBER($A61)),IF((RANK(C$4,$B$4:$J$4,1))&lt;=($A61-$A55),1,0),"")</f>
        <v>0</v>
      </c>
      <c r="D61" s="6">
        <f t="shared" si="19"/>
        <v>0</v>
      </c>
      <c r="E61" s="6">
        <f t="shared" si="19"/>
        <v>0</v>
      </c>
      <c r="F61" s="6">
        <f t="shared" si="19"/>
        <v>0</v>
      </c>
      <c r="G61" s="6">
        <f t="shared" si="19"/>
        <v>0</v>
      </c>
      <c r="H61" s="6">
        <f t="shared" si="19"/>
        <v>0</v>
      </c>
      <c r="I61" s="6">
        <f t="shared" si="19"/>
        <v>1</v>
      </c>
      <c r="J61" s="7">
        <f t="shared" si="19"/>
        <v>0</v>
      </c>
      <c r="K61" s="13">
        <f>SUM(B61:J61)</f>
        <v>1</v>
      </c>
      <c r="N61" s="15"/>
      <c r="O61" s="15"/>
      <c r="P61" s="59"/>
      <c r="Q61" s="59"/>
      <c r="R61" s="59"/>
      <c r="S61" s="59"/>
      <c r="T61" s="59"/>
      <c r="W61" s="15"/>
      <c r="X61" s="15"/>
      <c r="Y61" s="15"/>
      <c r="Z61" s="15"/>
      <c r="AA61" s="15"/>
    </row>
    <row r="62" spans="1:27" s="16" customFormat="1" x14ac:dyDescent="0.2">
      <c r="A62" s="80">
        <f>IF((A61-A55)&gt;9,(A61-A55-9),0)</f>
        <v>0</v>
      </c>
      <c r="B62" s="18">
        <f>IF(AND(ISNUMBER($A56),ISNUMBER($A62)),IF((RANK(B$4,$B$4:$J$4,1))&lt;=($A62-$A56),1,0),"")</f>
        <v>0</v>
      </c>
      <c r="C62" s="6">
        <f t="shared" si="19"/>
        <v>0</v>
      </c>
      <c r="D62" s="6">
        <f t="shared" si="19"/>
        <v>0</v>
      </c>
      <c r="E62" s="6">
        <f t="shared" si="19"/>
        <v>0</v>
      </c>
      <c r="F62" s="6">
        <f t="shared" si="19"/>
        <v>0</v>
      </c>
      <c r="G62" s="6">
        <f t="shared" si="19"/>
        <v>0</v>
      </c>
      <c r="H62" s="6">
        <f t="shared" si="19"/>
        <v>0</v>
      </c>
      <c r="I62" s="6">
        <f t="shared" si="19"/>
        <v>0</v>
      </c>
      <c r="J62" s="7">
        <f t="shared" si="19"/>
        <v>0</v>
      </c>
      <c r="K62" s="13">
        <f>SUM(B62:J62)</f>
        <v>0</v>
      </c>
      <c r="N62" s="15"/>
      <c r="O62" s="15"/>
      <c r="P62" s="59"/>
      <c r="Q62" s="59"/>
      <c r="R62" s="59"/>
      <c r="S62" s="59"/>
      <c r="T62" s="59"/>
      <c r="W62" s="15"/>
      <c r="X62" s="15"/>
      <c r="Y62" s="15"/>
      <c r="Z62" s="15"/>
      <c r="AA62" s="15"/>
    </row>
    <row r="63" spans="1:27" s="16" customFormat="1" x14ac:dyDescent="0.2">
      <c r="A63" s="80"/>
      <c r="B63" s="82">
        <f>IF(AND(ISNUMBER(B60),ISNUMBER(B61)),B60-B61-B62," ")</f>
        <v>5</v>
      </c>
      <c r="C63" s="83">
        <f t="shared" ref="C63:J63" si="20">IF(AND(ISNUMBER(C60),ISNUMBER(C61)),C60-C61-C62," ")</f>
        <v>4</v>
      </c>
      <c r="D63" s="83">
        <f t="shared" si="20"/>
        <v>4</v>
      </c>
      <c r="E63" s="83">
        <f t="shared" si="20"/>
        <v>4</v>
      </c>
      <c r="F63" s="83">
        <f t="shared" si="20"/>
        <v>3</v>
      </c>
      <c r="G63" s="83">
        <f t="shared" si="20"/>
        <v>7</v>
      </c>
      <c r="H63" s="83">
        <f t="shared" si="20"/>
        <v>5</v>
      </c>
      <c r="I63" s="83">
        <f t="shared" si="20"/>
        <v>5</v>
      </c>
      <c r="J63" s="84">
        <f t="shared" si="20"/>
        <v>5</v>
      </c>
      <c r="K63" s="13">
        <f>IF(ISNUMBER(FIND("Wins",K64)), 2, IF(ISNUMBER(FIND("Tie",K64)), 1, 0))</f>
        <v>0</v>
      </c>
      <c r="N63" s="15"/>
      <c r="O63" s="15"/>
      <c r="P63" s="59"/>
      <c r="Q63" s="59"/>
      <c r="R63" s="59"/>
      <c r="S63" s="59"/>
      <c r="T63" s="59"/>
      <c r="W63" s="15"/>
      <c r="X63" s="15"/>
      <c r="Y63" s="15"/>
      <c r="Z63" s="15"/>
      <c r="AA63" s="15"/>
    </row>
    <row r="64" spans="1:27" s="16" customFormat="1" ht="13.5" thickBot="1" x14ac:dyDescent="0.25">
      <c r="A64" s="81"/>
      <c r="B64" s="19">
        <f>IF(AND(ISNUMBER(B57),ISNUMBER(B63)),IF(B63&lt;B57, 0+1, (IF(B63&gt;B57, 0-1, 0)))," ")</f>
        <v>1</v>
      </c>
      <c r="C64" s="9">
        <f t="shared" ref="C64:J64" si="21">IF(AND(ISNUMBER(C57),ISNUMBER(C63)),IF(C63&lt;C57, +B64+1, (IF(C63&gt;C57, +B64-1, +B64)))," ")</f>
        <v>0</v>
      </c>
      <c r="D64" s="9">
        <f t="shared" si="21"/>
        <v>0</v>
      </c>
      <c r="E64" s="9">
        <f t="shared" si="21"/>
        <v>0</v>
      </c>
      <c r="F64" s="9">
        <f t="shared" si="21"/>
        <v>-1</v>
      </c>
      <c r="G64" s="9">
        <f t="shared" si="21"/>
        <v>-2</v>
      </c>
      <c r="H64" s="9">
        <f t="shared" si="21"/>
        <v>-2</v>
      </c>
      <c r="I64" s="9">
        <f t="shared" si="21"/>
        <v>-1</v>
      </c>
      <c r="J64" s="10">
        <f t="shared" si="21"/>
        <v>-1</v>
      </c>
      <c r="K64" s="14" t="str">
        <f>IF(ISNUMBER(J64),IF(F64&gt;4,"Wins " &amp; F64 &amp; " &amp; 4",IF(G64&gt;3,"Wins " &amp; G64 &amp; " &amp; 3",IF(H64&gt;2,"Wins " &amp; H64 &amp; " &amp; 2",IF(I64&gt;1,"Wins " &amp; I64 &amp; " &amp; 1",IF(J64&gt;J58,"Wins " &amp; J64 &amp; " Up",IF(J64&lt;J58,"Loss","Tie"))))))," ")</f>
        <v>Loss</v>
      </c>
      <c r="N64" s="15"/>
      <c r="O64" s="15"/>
      <c r="P64" s="59"/>
      <c r="Q64" s="59"/>
      <c r="R64" s="59"/>
      <c r="S64" s="59"/>
      <c r="T64" s="59"/>
      <c r="W64" s="15"/>
      <c r="X64" s="15"/>
      <c r="Y64" s="15"/>
      <c r="Z64" s="15"/>
      <c r="AA64" s="15"/>
    </row>
    <row r="65" spans="1:27" s="16" customFormat="1" x14ac:dyDescent="0.2">
      <c r="A65" s="25"/>
      <c r="B65" s="15"/>
      <c r="C65" s="15"/>
      <c r="D65" s="15"/>
      <c r="E65" s="15"/>
      <c r="F65" s="15"/>
      <c r="G65" s="15"/>
      <c r="H65" s="15"/>
      <c r="I65" s="15"/>
      <c r="J65" s="15"/>
      <c r="K65" s="15"/>
      <c r="N65" s="15"/>
      <c r="O65" s="15"/>
      <c r="P65" s="59"/>
      <c r="Q65" s="59"/>
      <c r="R65" s="59"/>
      <c r="S65" s="59"/>
      <c r="T65" s="59"/>
      <c r="W65" s="15"/>
      <c r="X65" s="15"/>
      <c r="Y65" s="15"/>
      <c r="Z65" s="15"/>
      <c r="AA65" s="15"/>
    </row>
    <row r="66" spans="1:27" s="16" customFormat="1" ht="13.5" thickBot="1" x14ac:dyDescent="0.25">
      <c r="A66" s="24" t="s">
        <v>10</v>
      </c>
      <c r="B66" s="2"/>
      <c r="C66" s="2"/>
      <c r="D66" s="2"/>
      <c r="E66" s="2"/>
      <c r="F66" s="2"/>
      <c r="G66" s="2"/>
      <c r="H66" s="2"/>
      <c r="I66" s="2"/>
      <c r="J66" s="2"/>
      <c r="K66" s="2"/>
      <c r="N66" s="15"/>
      <c r="O66" s="15"/>
      <c r="P66" s="59"/>
      <c r="Q66" s="59"/>
      <c r="R66" s="59"/>
      <c r="S66" s="59"/>
      <c r="T66" s="59"/>
      <c r="W66" s="15"/>
      <c r="X66" s="15"/>
      <c r="Y66" s="15"/>
      <c r="Z66" s="15"/>
      <c r="AA66" s="15"/>
    </row>
    <row r="67" spans="1:27" s="16" customFormat="1" x14ac:dyDescent="0.2">
      <c r="A67" s="79" t="str">
        <f t="shared" ref="A67:J67" si="22">A14</f>
        <v>Dave</v>
      </c>
      <c r="B67" s="17">
        <f t="shared" si="22"/>
        <v>5</v>
      </c>
      <c r="C67" s="3">
        <f t="shared" si="22"/>
        <v>4</v>
      </c>
      <c r="D67" s="3">
        <f t="shared" si="22"/>
        <v>5</v>
      </c>
      <c r="E67" s="3">
        <f t="shared" si="22"/>
        <v>5</v>
      </c>
      <c r="F67" s="3">
        <f t="shared" si="22"/>
        <v>3</v>
      </c>
      <c r="G67" s="3">
        <f t="shared" si="22"/>
        <v>5</v>
      </c>
      <c r="H67" s="3">
        <f t="shared" si="22"/>
        <v>6</v>
      </c>
      <c r="I67" s="3">
        <f t="shared" si="22"/>
        <v>5</v>
      </c>
      <c r="J67" s="4">
        <f t="shared" si="22"/>
        <v>4</v>
      </c>
      <c r="K67" s="12">
        <f>SUM(B67:J67)</f>
        <v>42</v>
      </c>
      <c r="N67" s="15"/>
      <c r="O67" s="15"/>
      <c r="P67" s="59"/>
      <c r="Q67" s="59"/>
      <c r="R67" s="59"/>
      <c r="S67" s="59"/>
      <c r="T67" s="59"/>
      <c r="W67" s="15"/>
      <c r="X67" s="15"/>
      <c r="Y67" s="15"/>
      <c r="Z67" s="15"/>
      <c r="AA67" s="15"/>
    </row>
    <row r="68" spans="1:27" s="16" customFormat="1" x14ac:dyDescent="0.2">
      <c r="A68" s="80">
        <f>A15</f>
        <v>5</v>
      </c>
      <c r="B68" s="18">
        <f>IF(AND(ISNUMBER($A68),ISNUMBER($A74)),IF((RANK(B$4,$B$4:$J$4,1))&lt;=($A68-$A74),1,0),"")</f>
        <v>0</v>
      </c>
      <c r="C68" s="6">
        <f t="shared" ref="C68:J69" si="23">IF(AND(ISNUMBER($A68),ISNUMBER($A74)),IF((RANK(C$4,$B$4:$J$4,1))&lt;=($A68-$A74),1,0),"")</f>
        <v>0</v>
      </c>
      <c r="D68" s="6">
        <f t="shared" si="23"/>
        <v>0</v>
      </c>
      <c r="E68" s="6">
        <f t="shared" si="23"/>
        <v>0</v>
      </c>
      <c r="F68" s="6">
        <f t="shared" si="23"/>
        <v>0</v>
      </c>
      <c r="G68" s="6">
        <f t="shared" si="23"/>
        <v>0</v>
      </c>
      <c r="H68" s="6">
        <f t="shared" si="23"/>
        <v>0</v>
      </c>
      <c r="I68" s="6">
        <f t="shared" si="23"/>
        <v>0</v>
      </c>
      <c r="J68" s="7">
        <f t="shared" si="23"/>
        <v>0</v>
      </c>
      <c r="K68" s="13">
        <f>SUM(B68:J68)</f>
        <v>0</v>
      </c>
      <c r="N68" s="15"/>
      <c r="O68" s="15"/>
      <c r="P68" s="59"/>
      <c r="Q68" s="59"/>
      <c r="R68" s="59"/>
      <c r="S68" s="59"/>
      <c r="T68" s="59"/>
      <c r="W68" s="15"/>
      <c r="X68" s="15"/>
      <c r="Y68" s="15"/>
      <c r="Z68" s="15"/>
      <c r="AA68" s="15"/>
    </row>
    <row r="69" spans="1:27" s="16" customFormat="1" x14ac:dyDescent="0.2">
      <c r="A69" s="80">
        <f>IF((A68-A74)&gt;9,(A68-A74-9),0)</f>
        <v>0</v>
      </c>
      <c r="B69" s="18">
        <f>IF(AND(ISNUMBER($A69),ISNUMBER($A75)),IF((RANK(B$4,$B$4:$J$4,1))&lt;=($A69-$A75),1,0),"")</f>
        <v>0</v>
      </c>
      <c r="C69" s="6">
        <f t="shared" si="23"/>
        <v>0</v>
      </c>
      <c r="D69" s="6">
        <f t="shared" si="23"/>
        <v>0</v>
      </c>
      <c r="E69" s="6">
        <f t="shared" si="23"/>
        <v>0</v>
      </c>
      <c r="F69" s="6">
        <f t="shared" si="23"/>
        <v>0</v>
      </c>
      <c r="G69" s="6">
        <f t="shared" si="23"/>
        <v>0</v>
      </c>
      <c r="H69" s="6">
        <f t="shared" si="23"/>
        <v>0</v>
      </c>
      <c r="I69" s="6">
        <f t="shared" si="23"/>
        <v>0</v>
      </c>
      <c r="J69" s="7">
        <f t="shared" si="23"/>
        <v>0</v>
      </c>
      <c r="K69" s="13">
        <f>SUM(B69:J69)</f>
        <v>0</v>
      </c>
      <c r="N69" s="15"/>
      <c r="O69" s="15"/>
      <c r="P69" s="59"/>
      <c r="Q69" s="59"/>
      <c r="R69" s="59"/>
      <c r="S69" s="59"/>
      <c r="T69" s="59"/>
      <c r="W69" s="15"/>
      <c r="X69" s="15"/>
      <c r="Y69" s="15"/>
      <c r="Z69" s="15"/>
      <c r="AA69" s="15"/>
    </row>
    <row r="70" spans="1:27" s="16" customFormat="1" x14ac:dyDescent="0.2">
      <c r="A70" s="80"/>
      <c r="B70" s="82">
        <f>IF(AND(ISNUMBER(B67),ISNUMBER(B68)),B67-B68-B69," ")</f>
        <v>5</v>
      </c>
      <c r="C70" s="83">
        <f t="shared" ref="C70:J70" si="24">IF(AND(ISNUMBER(C67),ISNUMBER(C68)),C67-C68-C69," ")</f>
        <v>4</v>
      </c>
      <c r="D70" s="83">
        <f t="shared" si="24"/>
        <v>5</v>
      </c>
      <c r="E70" s="83">
        <f t="shared" si="24"/>
        <v>5</v>
      </c>
      <c r="F70" s="83">
        <f t="shared" si="24"/>
        <v>3</v>
      </c>
      <c r="G70" s="83">
        <f t="shared" si="24"/>
        <v>5</v>
      </c>
      <c r="H70" s="83">
        <f t="shared" si="24"/>
        <v>6</v>
      </c>
      <c r="I70" s="83">
        <f t="shared" si="24"/>
        <v>5</v>
      </c>
      <c r="J70" s="84">
        <f t="shared" si="24"/>
        <v>4</v>
      </c>
      <c r="K70" s="13">
        <f>IF(ISNUMBER(FIND("Wins",K71)), 2, IF(ISNUMBER(FIND("Tie",K71)), 1, 0))</f>
        <v>2</v>
      </c>
      <c r="N70" s="15"/>
      <c r="O70" s="15"/>
      <c r="P70" s="59"/>
      <c r="Q70" s="59"/>
      <c r="R70" s="59"/>
      <c r="S70" s="59"/>
      <c r="T70" s="59"/>
      <c r="W70" s="15"/>
      <c r="X70" s="15"/>
      <c r="Y70" s="15"/>
      <c r="Z70" s="15"/>
      <c r="AA70" s="15"/>
    </row>
    <row r="71" spans="1:27" s="16" customFormat="1" ht="13.5" thickBot="1" x14ac:dyDescent="0.25">
      <c r="A71" s="81"/>
      <c r="B71" s="19">
        <f>IF(AND(ISNUMBER(B70),ISNUMBER(B76)),IF(B70&lt;B76, 0+1, (IF(B70&gt;B76, 0-1, 0)))," ")</f>
        <v>0</v>
      </c>
      <c r="C71" s="9">
        <f t="shared" ref="C71:J71" si="25">IF(AND(ISNUMBER(C70),ISNUMBER(C76)),IF(C70&lt;C76, +B71+1, (IF(C70&gt;C76, +B71-1, +B71)))," ")</f>
        <v>-1</v>
      </c>
      <c r="D71" s="9">
        <f t="shared" si="25"/>
        <v>-1</v>
      </c>
      <c r="E71" s="9">
        <f t="shared" si="25"/>
        <v>-2</v>
      </c>
      <c r="F71" s="9">
        <f t="shared" si="25"/>
        <v>-1</v>
      </c>
      <c r="G71" s="9">
        <f t="shared" si="25"/>
        <v>0</v>
      </c>
      <c r="H71" s="9">
        <f t="shared" si="25"/>
        <v>1</v>
      </c>
      <c r="I71" s="9">
        <f t="shared" si="25"/>
        <v>2</v>
      </c>
      <c r="J71" s="10">
        <f t="shared" si="25"/>
        <v>3</v>
      </c>
      <c r="K71" s="14" t="str">
        <f>IF(ISNUMBER(J71),IF(F71&gt;4,"Wins " &amp; F71 &amp; " &amp; 4",IF(G71&gt;3,"Wins " &amp; G71 &amp; " &amp; 3",IF(H71&gt;2,"Wins " &amp; H71 &amp; " &amp; 2",IF(I71&gt;1,"Wins " &amp; I71 &amp; " &amp; 1",IF(J71&gt;J77,"Wins " &amp; J71 &amp; " Up",IF(J71&lt;J77,"Loss","Tie"))))))," ")</f>
        <v>Wins 2 &amp; 1</v>
      </c>
      <c r="N71" s="15"/>
      <c r="O71" s="15"/>
      <c r="P71" s="59"/>
      <c r="Q71" s="59"/>
      <c r="R71" s="59"/>
      <c r="S71" s="59"/>
      <c r="T71" s="59"/>
      <c r="W71" s="15"/>
      <c r="X71" s="15"/>
      <c r="Y71" s="15"/>
      <c r="Z71" s="15"/>
      <c r="AA71" s="15"/>
    </row>
    <row r="72" spans="1:27" s="16" customFormat="1" ht="13.5" thickBot="1" x14ac:dyDescent="0.25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N72" s="15"/>
      <c r="O72" s="15"/>
      <c r="P72" s="59"/>
      <c r="Q72" s="59"/>
      <c r="R72" s="59"/>
      <c r="S72" s="59"/>
      <c r="T72" s="59"/>
      <c r="W72" s="15"/>
      <c r="X72" s="15"/>
      <c r="Y72" s="15"/>
      <c r="Z72" s="15"/>
      <c r="AA72" s="15"/>
    </row>
    <row r="73" spans="1:27" s="16" customFormat="1" x14ac:dyDescent="0.2">
      <c r="A73" s="79" t="str">
        <f t="shared" ref="A73:J73" si="26">A20</f>
        <v>Patrick</v>
      </c>
      <c r="B73" s="17">
        <f t="shared" si="26"/>
        <v>6</v>
      </c>
      <c r="C73" s="3">
        <f t="shared" si="26"/>
        <v>3</v>
      </c>
      <c r="D73" s="3">
        <f t="shared" si="26"/>
        <v>5</v>
      </c>
      <c r="E73" s="3">
        <f t="shared" si="26"/>
        <v>4</v>
      </c>
      <c r="F73" s="3">
        <f t="shared" si="26"/>
        <v>5</v>
      </c>
      <c r="G73" s="3">
        <f t="shared" si="26"/>
        <v>6</v>
      </c>
      <c r="H73" s="3">
        <f t="shared" si="26"/>
        <v>9</v>
      </c>
      <c r="I73" s="3">
        <f t="shared" si="26"/>
        <v>7</v>
      </c>
      <c r="J73" s="4">
        <f t="shared" si="26"/>
        <v>5</v>
      </c>
      <c r="K73" s="12">
        <f>SUM(B73:J73)</f>
        <v>50</v>
      </c>
      <c r="N73" s="15"/>
      <c r="O73" s="15"/>
      <c r="P73" s="59"/>
      <c r="Q73" s="59"/>
      <c r="R73" s="59"/>
      <c r="S73" s="59"/>
      <c r="T73" s="59"/>
      <c r="W73" s="15"/>
      <c r="X73" s="15"/>
      <c r="Y73" s="15"/>
      <c r="Z73" s="15"/>
      <c r="AA73" s="15"/>
    </row>
    <row r="74" spans="1:27" s="16" customFormat="1" x14ac:dyDescent="0.2">
      <c r="A74" s="80">
        <f>A21</f>
        <v>8</v>
      </c>
      <c r="B74" s="18">
        <f>IF(AND(ISNUMBER($A68),ISNUMBER($A74)),IF((RANK(B$4,$B$4:$J$4,1))&lt;=($A74-$A68),1,0),"")</f>
        <v>1</v>
      </c>
      <c r="C74" s="6">
        <f t="shared" ref="C74:J75" si="27">IF(AND(ISNUMBER($A68),ISNUMBER($A74)),IF((RANK(C$4,$B$4:$J$4,1))&lt;=($A74-$A68),1,0),"")</f>
        <v>0</v>
      </c>
      <c r="D74" s="6">
        <f t="shared" si="27"/>
        <v>0</v>
      </c>
      <c r="E74" s="6">
        <f t="shared" si="27"/>
        <v>0</v>
      </c>
      <c r="F74" s="6">
        <f t="shared" si="27"/>
        <v>0</v>
      </c>
      <c r="G74" s="6">
        <f t="shared" si="27"/>
        <v>0</v>
      </c>
      <c r="H74" s="6">
        <f t="shared" si="27"/>
        <v>1</v>
      </c>
      <c r="I74" s="6">
        <f t="shared" si="27"/>
        <v>1</v>
      </c>
      <c r="J74" s="7">
        <f t="shared" si="27"/>
        <v>0</v>
      </c>
      <c r="K74" s="13">
        <f>SUM(B74:J74)</f>
        <v>3</v>
      </c>
      <c r="N74" s="15"/>
      <c r="O74" s="15"/>
      <c r="P74" s="59"/>
      <c r="Q74" s="59"/>
      <c r="R74" s="59"/>
      <c r="S74" s="59"/>
      <c r="T74" s="59"/>
      <c r="W74" s="15"/>
      <c r="X74" s="15"/>
      <c r="Y74" s="15"/>
      <c r="Z74" s="15"/>
      <c r="AA74" s="15"/>
    </row>
    <row r="75" spans="1:27" s="16" customFormat="1" x14ac:dyDescent="0.2">
      <c r="A75" s="80">
        <f>IF((A74-A68)&gt;9,(A74-A68-9),0)</f>
        <v>0</v>
      </c>
      <c r="B75" s="18">
        <f>IF(AND(ISNUMBER($A69),ISNUMBER($A75)),IF((RANK(B$4,$B$4:$J$4,1))&lt;=($A75-$A69),1,0),"")</f>
        <v>0</v>
      </c>
      <c r="C75" s="6">
        <f t="shared" si="27"/>
        <v>0</v>
      </c>
      <c r="D75" s="6">
        <f t="shared" si="27"/>
        <v>0</v>
      </c>
      <c r="E75" s="6">
        <f t="shared" si="27"/>
        <v>0</v>
      </c>
      <c r="F75" s="6">
        <f t="shared" si="27"/>
        <v>0</v>
      </c>
      <c r="G75" s="6">
        <f t="shared" si="27"/>
        <v>0</v>
      </c>
      <c r="H75" s="6">
        <f t="shared" si="27"/>
        <v>0</v>
      </c>
      <c r="I75" s="6">
        <f t="shared" si="27"/>
        <v>0</v>
      </c>
      <c r="J75" s="7">
        <f t="shared" si="27"/>
        <v>0</v>
      </c>
      <c r="K75" s="13">
        <f>SUM(B75:J75)</f>
        <v>0</v>
      </c>
      <c r="N75" s="15"/>
      <c r="O75" s="15"/>
      <c r="P75" s="59"/>
      <c r="Q75" s="59"/>
      <c r="R75" s="59"/>
      <c r="S75" s="59"/>
      <c r="T75" s="59"/>
      <c r="W75" s="15"/>
      <c r="X75" s="15"/>
      <c r="Y75" s="15"/>
      <c r="Z75" s="15"/>
      <c r="AA75" s="15"/>
    </row>
    <row r="76" spans="1:27" s="16" customFormat="1" x14ac:dyDescent="0.2">
      <c r="A76" s="80"/>
      <c r="B76" s="82">
        <f>IF(AND(ISNUMBER(B73),ISNUMBER(B74)),B73-B74-B75," ")</f>
        <v>5</v>
      </c>
      <c r="C76" s="83">
        <f t="shared" ref="C76:J76" si="28">IF(AND(ISNUMBER(C73),ISNUMBER(C74)),C73-C74-C75," ")</f>
        <v>3</v>
      </c>
      <c r="D76" s="83">
        <f t="shared" si="28"/>
        <v>5</v>
      </c>
      <c r="E76" s="83">
        <f t="shared" si="28"/>
        <v>4</v>
      </c>
      <c r="F76" s="83">
        <f t="shared" si="28"/>
        <v>5</v>
      </c>
      <c r="G76" s="83">
        <f t="shared" si="28"/>
        <v>6</v>
      </c>
      <c r="H76" s="83">
        <f t="shared" si="28"/>
        <v>8</v>
      </c>
      <c r="I76" s="83">
        <f t="shared" si="28"/>
        <v>6</v>
      </c>
      <c r="J76" s="84">
        <f t="shared" si="28"/>
        <v>5</v>
      </c>
      <c r="K76" s="13">
        <f>IF(ISNUMBER(FIND("Wins",K77)), 2, IF(ISNUMBER(FIND("Tie",K77)), 1, 0))</f>
        <v>0</v>
      </c>
      <c r="N76" s="15"/>
      <c r="O76" s="15"/>
      <c r="P76" s="59"/>
      <c r="Q76" s="59"/>
      <c r="R76" s="59"/>
      <c r="S76" s="59"/>
      <c r="T76" s="59"/>
      <c r="W76" s="15"/>
      <c r="X76" s="15"/>
      <c r="Y76" s="15"/>
      <c r="Z76" s="15"/>
      <c r="AA76" s="15"/>
    </row>
    <row r="77" spans="1:27" s="16" customFormat="1" ht="13.5" thickBot="1" x14ac:dyDescent="0.25">
      <c r="A77" s="81"/>
      <c r="B77" s="19">
        <f>IF(AND(ISNUMBER(B70),ISNUMBER(B76)),IF(B76&lt;B70, 0+1, (IF(B76&gt;B70, 0-1, 0)))," ")</f>
        <v>0</v>
      </c>
      <c r="C77" s="9">
        <f t="shared" ref="C77:J77" si="29">IF(AND(ISNUMBER(C70),ISNUMBER(C76)),IF(C76&lt;C70, +B77+1, (IF(C76&gt;C70, +B77-1, +B77)))," ")</f>
        <v>1</v>
      </c>
      <c r="D77" s="9">
        <f t="shared" si="29"/>
        <v>1</v>
      </c>
      <c r="E77" s="9">
        <f t="shared" si="29"/>
        <v>2</v>
      </c>
      <c r="F77" s="9">
        <f t="shared" si="29"/>
        <v>1</v>
      </c>
      <c r="G77" s="9">
        <f t="shared" si="29"/>
        <v>0</v>
      </c>
      <c r="H77" s="9">
        <f t="shared" si="29"/>
        <v>-1</v>
      </c>
      <c r="I77" s="9">
        <f t="shared" si="29"/>
        <v>-2</v>
      </c>
      <c r="J77" s="10">
        <f t="shared" si="29"/>
        <v>-3</v>
      </c>
      <c r="K77" s="14" t="str">
        <f>IF(ISNUMBER(J77),IF(F77&gt;4,"Wins " &amp; F77 &amp; " &amp; 4",IF(G77&gt;3,"Wins " &amp; G77 &amp; " &amp; 3",IF(H77&gt;2,"Wins " &amp; H77 &amp; " &amp; 2",IF(I77&gt;1,"Wins " &amp; I77 &amp; " &amp; 1",IF(J77&gt;J71,"Wins " &amp; J77 &amp; " Up",IF(J77&lt;J71,"Loss","Tie"))))))," ")</f>
        <v>Loss</v>
      </c>
      <c r="N77" s="15"/>
      <c r="O77" s="15"/>
      <c r="P77" s="59"/>
      <c r="Q77" s="59"/>
      <c r="R77" s="59"/>
      <c r="S77" s="59"/>
      <c r="T77" s="59"/>
      <c r="W77" s="15"/>
      <c r="X77" s="15"/>
      <c r="Y77" s="15"/>
      <c r="Z77" s="15"/>
      <c r="AA77" s="15"/>
    </row>
    <row r="78" spans="1:27" s="16" customFormat="1" x14ac:dyDescent="0.2">
      <c r="A78" s="26"/>
      <c r="B78" s="15"/>
      <c r="C78" s="15"/>
      <c r="D78" s="15"/>
      <c r="E78" s="15"/>
      <c r="F78" s="15"/>
      <c r="G78" s="15"/>
      <c r="H78" s="15"/>
      <c r="I78" s="15"/>
      <c r="J78" s="15"/>
      <c r="K78" s="15"/>
      <c r="N78" s="15"/>
      <c r="O78" s="15"/>
      <c r="P78" s="59"/>
      <c r="Q78" s="59"/>
      <c r="R78" s="59"/>
      <c r="S78" s="59"/>
      <c r="T78" s="59"/>
      <c r="W78" s="15"/>
      <c r="X78" s="15"/>
      <c r="Y78" s="15"/>
      <c r="Z78" s="15"/>
      <c r="AA78" s="15"/>
    </row>
    <row r="79" spans="1:27" s="16" customFormat="1" ht="13.5" thickBot="1" x14ac:dyDescent="0.25">
      <c r="A79" s="24" t="s">
        <v>11</v>
      </c>
      <c r="B79" s="2"/>
      <c r="C79" s="2"/>
      <c r="D79" s="2"/>
      <c r="E79" s="2"/>
      <c r="F79" s="2"/>
      <c r="G79" s="2"/>
      <c r="H79" s="2"/>
      <c r="I79" s="2"/>
      <c r="J79" s="2"/>
      <c r="K79" s="2"/>
      <c r="N79" s="15"/>
      <c r="O79" s="15"/>
      <c r="P79" s="59"/>
      <c r="Q79" s="59"/>
      <c r="R79" s="59"/>
      <c r="S79" s="59"/>
      <c r="T79" s="59"/>
      <c r="W79" s="15"/>
      <c r="X79" s="15"/>
      <c r="Y79" s="15"/>
      <c r="Z79" s="15"/>
      <c r="AA79" s="15"/>
    </row>
    <row r="80" spans="1:27" s="16" customFormat="1" x14ac:dyDescent="0.2">
      <c r="A80" s="29" t="str">
        <f t="shared" ref="A80:J80" si="30">A18</f>
        <v>John</v>
      </c>
      <c r="B80" s="17">
        <f t="shared" si="30"/>
        <v>7</v>
      </c>
      <c r="C80" s="3">
        <f t="shared" si="30"/>
        <v>3</v>
      </c>
      <c r="D80" s="3">
        <f t="shared" si="30"/>
        <v>4</v>
      </c>
      <c r="E80" s="3">
        <f t="shared" si="30"/>
        <v>4</v>
      </c>
      <c r="F80" s="3">
        <f t="shared" si="30"/>
        <v>4</v>
      </c>
      <c r="G80" s="3">
        <f t="shared" si="30"/>
        <v>4</v>
      </c>
      <c r="H80" s="3">
        <f t="shared" si="30"/>
        <v>6</v>
      </c>
      <c r="I80" s="3">
        <f t="shared" si="30"/>
        <v>7</v>
      </c>
      <c r="J80" s="4">
        <f t="shared" si="30"/>
        <v>5</v>
      </c>
      <c r="K80" s="12">
        <f>SUM(B80:J80)</f>
        <v>44</v>
      </c>
      <c r="N80" s="15"/>
      <c r="O80" s="15"/>
      <c r="P80" s="59"/>
      <c r="Q80" s="59"/>
      <c r="R80" s="59"/>
      <c r="S80" s="59"/>
      <c r="T80" s="59"/>
      <c r="W80" s="15"/>
      <c r="X80" s="15"/>
      <c r="Y80" s="15"/>
      <c r="Z80" s="15"/>
      <c r="AA80" s="15"/>
    </row>
    <row r="81" spans="1:27" s="16" customFormat="1" x14ac:dyDescent="0.2">
      <c r="A81" s="30">
        <f>A19</f>
        <v>7</v>
      </c>
      <c r="B81" s="18">
        <f>IF(AND(ISNUMBER($A81),ISNUMBER($A87)),IF((RANK(B$4,$B$4:$J$4,1))&lt;=($A81-$A87),1,0),"")</f>
        <v>0</v>
      </c>
      <c r="C81" s="6">
        <f t="shared" ref="C81:J82" si="31">IF(AND(ISNUMBER($A81),ISNUMBER($A87)),IF((RANK(C$4,$B$4:$J$4,1))&lt;=($A81-$A87),1,0),"")</f>
        <v>0</v>
      </c>
      <c r="D81" s="6">
        <f t="shared" si="31"/>
        <v>0</v>
      </c>
      <c r="E81" s="6">
        <f t="shared" si="31"/>
        <v>0</v>
      </c>
      <c r="F81" s="6">
        <f t="shared" si="31"/>
        <v>0</v>
      </c>
      <c r="G81" s="6">
        <f t="shared" si="31"/>
        <v>0</v>
      </c>
      <c r="H81" s="6">
        <f t="shared" si="31"/>
        <v>0</v>
      </c>
      <c r="I81" s="6">
        <f t="shared" si="31"/>
        <v>0</v>
      </c>
      <c r="J81" s="7">
        <f t="shared" si="31"/>
        <v>0</v>
      </c>
      <c r="K81" s="13">
        <f>SUM(B81:J81)</f>
        <v>0</v>
      </c>
      <c r="N81" s="15"/>
      <c r="O81" s="15"/>
      <c r="P81" s="59"/>
      <c r="Q81" s="59"/>
      <c r="R81" s="59"/>
      <c r="S81" s="59"/>
      <c r="T81" s="59"/>
      <c r="W81" s="15"/>
      <c r="X81" s="15"/>
      <c r="Y81" s="15"/>
      <c r="Z81" s="15"/>
      <c r="AA81" s="15"/>
    </row>
    <row r="82" spans="1:27" s="16" customFormat="1" x14ac:dyDescent="0.2">
      <c r="A82" s="30">
        <f>IF((A81-A87)&gt;9,(A81-A87-9),0)</f>
        <v>0</v>
      </c>
      <c r="B82" s="18">
        <f>IF(AND(ISNUMBER($A82),ISNUMBER($A88)),IF((RANK(B$4,$B$4:$J$4,1))&lt;=($A82-$A88),1,0),"")</f>
        <v>0</v>
      </c>
      <c r="C82" s="6">
        <f t="shared" si="31"/>
        <v>0</v>
      </c>
      <c r="D82" s="6">
        <f t="shared" si="31"/>
        <v>0</v>
      </c>
      <c r="E82" s="6">
        <f t="shared" si="31"/>
        <v>0</v>
      </c>
      <c r="F82" s="6">
        <f t="shared" si="31"/>
        <v>0</v>
      </c>
      <c r="G82" s="6">
        <f t="shared" si="31"/>
        <v>0</v>
      </c>
      <c r="H82" s="6">
        <f t="shared" si="31"/>
        <v>0</v>
      </c>
      <c r="I82" s="6">
        <f t="shared" si="31"/>
        <v>0</v>
      </c>
      <c r="J82" s="7">
        <f t="shared" si="31"/>
        <v>0</v>
      </c>
      <c r="K82" s="13">
        <f>SUM(B82:J82)</f>
        <v>0</v>
      </c>
      <c r="N82" s="15"/>
      <c r="O82" s="15"/>
      <c r="P82" s="59"/>
      <c r="Q82" s="59"/>
      <c r="R82" s="59"/>
      <c r="S82" s="59"/>
      <c r="T82" s="59"/>
      <c r="W82" s="15"/>
      <c r="X82" s="15"/>
      <c r="Y82" s="15"/>
      <c r="Z82" s="15"/>
      <c r="AA82" s="15"/>
    </row>
    <row r="83" spans="1:27" s="16" customFormat="1" x14ac:dyDescent="0.2">
      <c r="A83" s="30"/>
      <c r="B83" s="82">
        <f>IF(AND(ISNUMBER(B80),ISNUMBER(B81)),B80-B81-B82," ")</f>
        <v>7</v>
      </c>
      <c r="C83" s="83">
        <f t="shared" ref="C83:J83" si="32">IF(AND(ISNUMBER(C80),ISNUMBER(C81)),C80-C81-C82," ")</f>
        <v>3</v>
      </c>
      <c r="D83" s="83">
        <f t="shared" si="32"/>
        <v>4</v>
      </c>
      <c r="E83" s="83">
        <f t="shared" si="32"/>
        <v>4</v>
      </c>
      <c r="F83" s="83">
        <f t="shared" si="32"/>
        <v>4</v>
      </c>
      <c r="G83" s="83">
        <f t="shared" si="32"/>
        <v>4</v>
      </c>
      <c r="H83" s="83">
        <f t="shared" si="32"/>
        <v>6</v>
      </c>
      <c r="I83" s="83">
        <f t="shared" si="32"/>
        <v>7</v>
      </c>
      <c r="J83" s="84">
        <f t="shared" si="32"/>
        <v>5</v>
      </c>
      <c r="K83" s="13">
        <f>IF(ISNUMBER(FIND("Wins",K84)), 2, IF(ISNUMBER(FIND("Tie",K84)), 1, 0))</f>
        <v>2</v>
      </c>
      <c r="N83" s="15"/>
      <c r="O83" s="15"/>
      <c r="P83" s="59"/>
      <c r="Q83" s="59"/>
      <c r="R83" s="59"/>
      <c r="S83" s="59"/>
      <c r="T83" s="59"/>
      <c r="W83" s="15"/>
      <c r="X83" s="15"/>
      <c r="Y83" s="15"/>
      <c r="Z83" s="15"/>
      <c r="AA83" s="15"/>
    </row>
    <row r="84" spans="1:27" s="16" customFormat="1" ht="13.5" thickBot="1" x14ac:dyDescent="0.25">
      <c r="A84" s="31"/>
      <c r="B84" s="19">
        <f>IF(AND(ISNUMBER(B83),ISNUMBER(B89)),IF(B83&lt;B89, 0+1, (IF(B83&gt;B89, 0-1, 0)))," ")</f>
        <v>-1</v>
      </c>
      <c r="C84" s="9">
        <f t="shared" ref="C84:J84" si="33">IF(AND(ISNUMBER(C83),ISNUMBER(C89)),IF(C83&lt;C89, +B84+1, (IF(C83&gt;C89, +B84-1, +B84)))," ")</f>
        <v>0</v>
      </c>
      <c r="D84" s="9">
        <f t="shared" si="33"/>
        <v>1</v>
      </c>
      <c r="E84" s="9">
        <f t="shared" si="33"/>
        <v>1</v>
      </c>
      <c r="F84" s="9">
        <f t="shared" si="33"/>
        <v>2</v>
      </c>
      <c r="G84" s="9">
        <f t="shared" si="33"/>
        <v>2</v>
      </c>
      <c r="H84" s="9">
        <f t="shared" si="33"/>
        <v>3</v>
      </c>
      <c r="I84" s="9">
        <f t="shared" si="33"/>
        <v>4</v>
      </c>
      <c r="J84" s="10">
        <f t="shared" si="33"/>
        <v>5</v>
      </c>
      <c r="K84" s="14" t="str">
        <f>IF(ISNUMBER(J84),IF(F84&gt;4,"Wins " &amp; F84 &amp; " &amp; 4",IF(G84&gt;3,"Wins " &amp; G84 &amp; " &amp; 3",IF(H84&gt;2,"Wins " &amp; H84 &amp; " &amp; 2",IF(I84&gt;1,"Wins " &amp; I84 &amp; " &amp; 1",IF(J84&gt;J90,"Wins " &amp; J84 &amp; " Up",IF(J84&lt;J90,"Loss","Tie"))))))," ")</f>
        <v>Wins 3 &amp; 2</v>
      </c>
      <c r="N84" s="15"/>
      <c r="O84" s="15"/>
      <c r="P84" s="59"/>
      <c r="Q84" s="59"/>
      <c r="R84" s="59"/>
      <c r="S84" s="59"/>
      <c r="T84" s="59"/>
      <c r="W84" s="15"/>
      <c r="X84" s="15"/>
      <c r="Y84" s="15"/>
      <c r="Z84" s="15"/>
      <c r="AA84" s="15"/>
    </row>
    <row r="85" spans="1:27" s="16" customFormat="1" ht="13.5" thickBot="1" x14ac:dyDescent="0.2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N85" s="15"/>
      <c r="O85" s="15"/>
      <c r="P85" s="59"/>
      <c r="Q85" s="59"/>
      <c r="R85" s="59"/>
      <c r="S85" s="59"/>
      <c r="T85" s="59"/>
      <c r="W85" s="15"/>
      <c r="X85" s="15"/>
      <c r="Y85" s="15"/>
      <c r="Z85" s="15"/>
      <c r="AA85" s="15"/>
    </row>
    <row r="86" spans="1:27" s="16" customFormat="1" x14ac:dyDescent="0.2">
      <c r="A86" s="79" t="str">
        <f t="shared" ref="A86:J86" si="34">A16</f>
        <v>Keith</v>
      </c>
      <c r="B86" s="17">
        <f t="shared" si="34"/>
        <v>5</v>
      </c>
      <c r="C86" s="3">
        <f t="shared" si="34"/>
        <v>8</v>
      </c>
      <c r="D86" s="3">
        <f t="shared" si="34"/>
        <v>9</v>
      </c>
      <c r="E86" s="3">
        <f t="shared" si="34"/>
        <v>5</v>
      </c>
      <c r="F86" s="3">
        <f t="shared" si="34"/>
        <v>6</v>
      </c>
      <c r="G86" s="3">
        <f t="shared" si="34"/>
        <v>5</v>
      </c>
      <c r="H86" s="3">
        <f t="shared" si="34"/>
        <v>9</v>
      </c>
      <c r="I86" s="3">
        <f t="shared" si="34"/>
        <v>9</v>
      </c>
      <c r="J86" s="4">
        <f t="shared" si="34"/>
        <v>8</v>
      </c>
      <c r="K86" s="12">
        <f>SUM(B86:J86)</f>
        <v>64</v>
      </c>
      <c r="N86" s="15"/>
      <c r="O86" s="15"/>
      <c r="P86" s="59"/>
      <c r="Q86" s="59"/>
      <c r="R86" s="59"/>
      <c r="S86" s="59"/>
      <c r="T86" s="59"/>
      <c r="W86" s="15"/>
      <c r="X86" s="15"/>
      <c r="Y86" s="15"/>
      <c r="Z86" s="15"/>
      <c r="AA86" s="15"/>
    </row>
    <row r="87" spans="1:27" s="16" customFormat="1" x14ac:dyDescent="0.2">
      <c r="A87" s="80">
        <f>A17</f>
        <v>16</v>
      </c>
      <c r="B87" s="18">
        <f>IF(AND(ISNUMBER($A81),ISNUMBER($A87)),IF((RANK(B$4,$B$4:$J$4,1))&lt;=($A87-$A81),1,0),"")</f>
        <v>1</v>
      </c>
      <c r="C87" s="6">
        <f t="shared" ref="C87:J88" si="35">IF(AND(ISNUMBER($A81),ISNUMBER($A87)),IF((RANK(C$4,$B$4:$J$4,1))&lt;=($A87-$A81),1,0),"")</f>
        <v>1</v>
      </c>
      <c r="D87" s="6">
        <f t="shared" si="35"/>
        <v>1</v>
      </c>
      <c r="E87" s="6">
        <f t="shared" si="35"/>
        <v>1</v>
      </c>
      <c r="F87" s="6">
        <f t="shared" si="35"/>
        <v>1</v>
      </c>
      <c r="G87" s="6">
        <f t="shared" si="35"/>
        <v>1</v>
      </c>
      <c r="H87" s="6">
        <f t="shared" si="35"/>
        <v>1</v>
      </c>
      <c r="I87" s="6">
        <f t="shared" si="35"/>
        <v>1</v>
      </c>
      <c r="J87" s="7">
        <f t="shared" si="35"/>
        <v>1</v>
      </c>
      <c r="K87" s="13">
        <f>SUM(B87:J87)</f>
        <v>9</v>
      </c>
      <c r="N87" s="15"/>
      <c r="O87" s="15"/>
      <c r="P87" s="59"/>
      <c r="Q87" s="59"/>
      <c r="R87" s="59"/>
      <c r="S87" s="59"/>
      <c r="T87" s="59"/>
      <c r="W87" s="15"/>
      <c r="X87" s="15"/>
      <c r="Y87" s="15"/>
      <c r="Z87" s="15"/>
      <c r="AA87" s="15"/>
    </row>
    <row r="88" spans="1:27" s="16" customFormat="1" x14ac:dyDescent="0.2">
      <c r="A88" s="80">
        <f>IF((A87-A81)&gt;9,(A87-A81-9),0)</f>
        <v>0</v>
      </c>
      <c r="B88" s="18">
        <f>IF(AND(ISNUMBER($A82),ISNUMBER($A88)),IF((RANK(B$4,$B$4:$J$4,1))&lt;=($A88-$A82),1,0),"")</f>
        <v>0</v>
      </c>
      <c r="C88" s="6">
        <f t="shared" si="35"/>
        <v>0</v>
      </c>
      <c r="D88" s="6">
        <f t="shared" si="35"/>
        <v>0</v>
      </c>
      <c r="E88" s="6">
        <f t="shared" si="35"/>
        <v>0</v>
      </c>
      <c r="F88" s="6">
        <f t="shared" si="35"/>
        <v>0</v>
      </c>
      <c r="G88" s="6">
        <f t="shared" si="35"/>
        <v>0</v>
      </c>
      <c r="H88" s="6">
        <f t="shared" si="35"/>
        <v>0</v>
      </c>
      <c r="I88" s="6">
        <f t="shared" si="35"/>
        <v>0</v>
      </c>
      <c r="J88" s="7">
        <f t="shared" si="35"/>
        <v>0</v>
      </c>
      <c r="K88" s="13">
        <f>SUM(B88:J88)</f>
        <v>0</v>
      </c>
      <c r="N88" s="15"/>
      <c r="O88" s="15"/>
      <c r="P88" s="59"/>
      <c r="Q88" s="59"/>
      <c r="R88" s="59"/>
      <c r="S88" s="59"/>
      <c r="T88" s="59"/>
      <c r="W88" s="15"/>
      <c r="X88" s="15"/>
      <c r="Y88" s="15"/>
      <c r="Z88" s="15"/>
      <c r="AA88" s="15"/>
    </row>
    <row r="89" spans="1:27" s="16" customFormat="1" x14ac:dyDescent="0.2">
      <c r="A89" s="80"/>
      <c r="B89" s="82">
        <f>IF(AND(ISNUMBER(B86),ISNUMBER(B87)),B86-B87-B88," ")</f>
        <v>4</v>
      </c>
      <c r="C89" s="83">
        <f t="shared" ref="C89:J89" si="36">IF(AND(ISNUMBER(C86),ISNUMBER(C87)),C86-C87-C88," ")</f>
        <v>7</v>
      </c>
      <c r="D89" s="83">
        <f t="shared" si="36"/>
        <v>8</v>
      </c>
      <c r="E89" s="83">
        <f t="shared" si="36"/>
        <v>4</v>
      </c>
      <c r="F89" s="83">
        <f t="shared" si="36"/>
        <v>5</v>
      </c>
      <c r="G89" s="83">
        <f t="shared" si="36"/>
        <v>4</v>
      </c>
      <c r="H89" s="83">
        <f t="shared" si="36"/>
        <v>8</v>
      </c>
      <c r="I89" s="83">
        <f t="shared" si="36"/>
        <v>8</v>
      </c>
      <c r="J89" s="84">
        <f t="shared" si="36"/>
        <v>7</v>
      </c>
      <c r="K89" s="13">
        <f>IF(ISNUMBER(FIND("Wins",K90)), 2, IF(ISNUMBER(FIND("Tie",K90)), 1, 0))</f>
        <v>0</v>
      </c>
      <c r="N89" s="15"/>
      <c r="O89" s="15"/>
      <c r="P89" s="59"/>
      <c r="Q89" s="59"/>
      <c r="R89" s="59"/>
      <c r="S89" s="59"/>
      <c r="T89" s="59"/>
      <c r="W89" s="15"/>
      <c r="X89" s="15"/>
      <c r="Y89" s="15"/>
      <c r="Z89" s="15"/>
      <c r="AA89" s="15"/>
    </row>
    <row r="90" spans="1:27" s="16" customFormat="1" ht="13.5" thickBot="1" x14ac:dyDescent="0.25">
      <c r="A90" s="81"/>
      <c r="B90" s="19">
        <f>IF(AND(ISNUMBER(B83),ISNUMBER(B89)),IF(B89&lt;B83, 0+1, (IF(B89&gt;B83, 0-1, 0)))," ")</f>
        <v>1</v>
      </c>
      <c r="C90" s="9">
        <f t="shared" ref="C90:J90" si="37">IF(AND(ISNUMBER(C83),ISNUMBER(C89)),IF(C89&lt;C83, +B90+1, (IF(C89&gt;C83, +B90-1, +B90)))," ")</f>
        <v>0</v>
      </c>
      <c r="D90" s="9">
        <f t="shared" si="37"/>
        <v>-1</v>
      </c>
      <c r="E90" s="9">
        <f t="shared" si="37"/>
        <v>-1</v>
      </c>
      <c r="F90" s="9">
        <f t="shared" si="37"/>
        <v>-2</v>
      </c>
      <c r="G90" s="9">
        <f t="shared" si="37"/>
        <v>-2</v>
      </c>
      <c r="H90" s="9">
        <f t="shared" si="37"/>
        <v>-3</v>
      </c>
      <c r="I90" s="9">
        <f t="shared" si="37"/>
        <v>-4</v>
      </c>
      <c r="J90" s="10">
        <f t="shared" si="37"/>
        <v>-5</v>
      </c>
      <c r="K90" s="14" t="str">
        <f>IF(ISNUMBER(J90),IF(F90&gt;4,"Wins " &amp; F90 &amp; " &amp; 4",IF(G90&gt;3,"Wins " &amp; G90 &amp; " &amp; 3",IF(H90&gt;2,"Wins " &amp; H90 &amp; " &amp; 2",IF(I90&gt;1,"Wins " &amp; I90 &amp; " &amp; 1",IF(J90&gt;J84,"Wins " &amp; J90 &amp; " Up",IF(J90&lt;J84,"Loss","Tie"))))))," ")</f>
        <v>Loss</v>
      </c>
      <c r="N90" s="15"/>
      <c r="O90" s="15"/>
      <c r="P90" s="59"/>
      <c r="Q90" s="59"/>
      <c r="R90" s="59"/>
      <c r="S90" s="59"/>
      <c r="T90" s="59"/>
      <c r="W90" s="15"/>
      <c r="X90" s="15"/>
      <c r="Y90" s="15"/>
      <c r="Z90" s="15"/>
      <c r="AA90" s="15"/>
    </row>
    <row r="91" spans="1:27" s="16" customFormat="1" x14ac:dyDescent="0.2">
      <c r="A91" s="26"/>
      <c r="B91" s="15"/>
      <c r="C91" s="15"/>
      <c r="D91" s="15"/>
      <c r="E91" s="15"/>
      <c r="F91" s="15"/>
      <c r="G91" s="15"/>
      <c r="H91" s="15"/>
      <c r="I91" s="15"/>
      <c r="J91" s="15"/>
      <c r="K91" s="15"/>
      <c r="N91" s="15"/>
      <c r="O91" s="15"/>
      <c r="P91" s="59"/>
      <c r="Q91" s="59"/>
      <c r="R91" s="59"/>
      <c r="S91" s="59"/>
      <c r="T91" s="59"/>
      <c r="W91" s="15"/>
      <c r="X91" s="15"/>
      <c r="Y91" s="15"/>
      <c r="Z91" s="15"/>
      <c r="AA91" s="15"/>
    </row>
    <row r="92" spans="1:27" s="16" customFormat="1" ht="13.5" thickBot="1" x14ac:dyDescent="0.25">
      <c r="A92" s="24" t="s">
        <v>12</v>
      </c>
      <c r="B92" s="2"/>
      <c r="C92" s="2"/>
      <c r="D92" s="2"/>
      <c r="E92" s="2"/>
      <c r="F92" s="2"/>
      <c r="G92" s="2"/>
      <c r="H92" s="2"/>
      <c r="I92" s="2"/>
      <c r="J92" s="2"/>
      <c r="K92" s="2"/>
      <c r="N92" s="15"/>
      <c r="O92" s="15"/>
      <c r="P92" s="59"/>
      <c r="Q92" s="59"/>
      <c r="R92" s="59"/>
      <c r="S92" s="59"/>
      <c r="T92" s="59"/>
      <c r="W92" s="15"/>
      <c r="X92" s="15"/>
      <c r="Y92" s="15"/>
      <c r="Z92" s="15"/>
      <c r="AA92" s="15"/>
    </row>
    <row r="93" spans="1:27" s="16" customFormat="1" x14ac:dyDescent="0.2">
      <c r="A93" s="29" t="str">
        <f t="shared" ref="A93:J93" si="38">A22</f>
        <v>Brian P</v>
      </c>
      <c r="B93" s="17">
        <f t="shared" si="38"/>
        <v>7</v>
      </c>
      <c r="C93" s="3">
        <f t="shared" si="38"/>
        <v>7</v>
      </c>
      <c r="D93" s="3">
        <f t="shared" si="38"/>
        <v>5</v>
      </c>
      <c r="E93" s="3">
        <f t="shared" si="38"/>
        <v>7</v>
      </c>
      <c r="F93" s="3">
        <f t="shared" si="38"/>
        <v>4</v>
      </c>
      <c r="G93" s="3">
        <f t="shared" si="38"/>
        <v>5</v>
      </c>
      <c r="H93" s="3">
        <f t="shared" si="38"/>
        <v>6</v>
      </c>
      <c r="I93" s="3">
        <f t="shared" si="38"/>
        <v>5</v>
      </c>
      <c r="J93" s="4">
        <f t="shared" si="38"/>
        <v>5</v>
      </c>
      <c r="K93" s="12">
        <f>SUM(B93:J93)</f>
        <v>51</v>
      </c>
      <c r="N93" s="15"/>
      <c r="O93" s="15"/>
      <c r="P93" s="59"/>
      <c r="Q93" s="59"/>
      <c r="R93" s="59"/>
      <c r="S93" s="59"/>
      <c r="T93" s="59"/>
      <c r="W93" s="15"/>
      <c r="X93" s="15"/>
      <c r="Y93" s="15"/>
      <c r="Z93" s="15"/>
      <c r="AA93" s="15"/>
    </row>
    <row r="94" spans="1:27" s="16" customFormat="1" x14ac:dyDescent="0.2">
      <c r="A94" s="30">
        <f>A23</f>
        <v>6</v>
      </c>
      <c r="B94" s="18">
        <f>IF(AND(ISNUMBER($A94),ISNUMBER($A100)),IF((RANK(B$4,$B$4:$J$4,1))&lt;=($A94-$A100),1,0),"")</f>
        <v>0</v>
      </c>
      <c r="C94" s="6">
        <f t="shared" ref="C94:J95" si="39">IF(AND(ISNUMBER($A94),ISNUMBER($A100)),IF((RANK(C$4,$B$4:$J$4,1))&lt;=($A94-$A100),1,0),"")</f>
        <v>0</v>
      </c>
      <c r="D94" s="6">
        <f t="shared" si="39"/>
        <v>0</v>
      </c>
      <c r="E94" s="6">
        <f t="shared" si="39"/>
        <v>0</v>
      </c>
      <c r="F94" s="6">
        <f t="shared" si="39"/>
        <v>0</v>
      </c>
      <c r="G94" s="6">
        <f t="shared" si="39"/>
        <v>0</v>
      </c>
      <c r="H94" s="6">
        <f t="shared" si="39"/>
        <v>0</v>
      </c>
      <c r="I94" s="6">
        <f t="shared" si="39"/>
        <v>0</v>
      </c>
      <c r="J94" s="7">
        <f t="shared" si="39"/>
        <v>0</v>
      </c>
      <c r="K94" s="13">
        <f>SUM(B94:J94)</f>
        <v>0</v>
      </c>
      <c r="N94" s="15"/>
      <c r="O94" s="15"/>
      <c r="P94" s="59"/>
      <c r="Q94" s="59"/>
      <c r="R94" s="59"/>
      <c r="S94" s="59"/>
      <c r="T94" s="59"/>
      <c r="W94" s="15"/>
      <c r="X94" s="15"/>
      <c r="Y94" s="15"/>
      <c r="Z94" s="15"/>
      <c r="AA94" s="15"/>
    </row>
    <row r="95" spans="1:27" s="16" customFormat="1" x14ac:dyDescent="0.2">
      <c r="A95" s="30">
        <f>IF((A94-A100)&gt;9,(A94-A100-9),0)</f>
        <v>0</v>
      </c>
      <c r="B95" s="18">
        <f>IF(AND(ISNUMBER($A95),ISNUMBER($A101)),IF((RANK(B$4,$B$4:$J$4,1))&lt;=($A95-$A101),1,0),"")</f>
        <v>0</v>
      </c>
      <c r="C95" s="6">
        <f t="shared" si="39"/>
        <v>0</v>
      </c>
      <c r="D95" s="6">
        <f t="shared" si="39"/>
        <v>0</v>
      </c>
      <c r="E95" s="6">
        <f t="shared" si="39"/>
        <v>0</v>
      </c>
      <c r="F95" s="6">
        <f t="shared" si="39"/>
        <v>0</v>
      </c>
      <c r="G95" s="6">
        <f t="shared" si="39"/>
        <v>0</v>
      </c>
      <c r="H95" s="6">
        <f t="shared" si="39"/>
        <v>0</v>
      </c>
      <c r="I95" s="6">
        <f t="shared" si="39"/>
        <v>0</v>
      </c>
      <c r="J95" s="7">
        <f t="shared" si="39"/>
        <v>0</v>
      </c>
      <c r="K95" s="13">
        <f>SUM(B95:J95)</f>
        <v>0</v>
      </c>
      <c r="N95" s="15"/>
      <c r="O95" s="15"/>
      <c r="P95" s="59"/>
      <c r="Q95" s="59"/>
      <c r="R95" s="59"/>
      <c r="S95" s="59"/>
      <c r="T95" s="59"/>
      <c r="W95" s="15"/>
      <c r="X95" s="15"/>
      <c r="Y95" s="15"/>
      <c r="Z95" s="15"/>
      <c r="AA95" s="15"/>
    </row>
    <row r="96" spans="1:27" s="16" customFormat="1" x14ac:dyDescent="0.2">
      <c r="A96" s="30"/>
      <c r="B96" s="82">
        <f>IF(AND(ISNUMBER(B93),ISNUMBER(B94)),B93-B94-B95," ")</f>
        <v>7</v>
      </c>
      <c r="C96" s="83">
        <f t="shared" ref="C96:J96" si="40">IF(AND(ISNUMBER(C93),ISNUMBER(C94)),C93-C94-C95," ")</f>
        <v>7</v>
      </c>
      <c r="D96" s="83">
        <f t="shared" si="40"/>
        <v>5</v>
      </c>
      <c r="E96" s="83">
        <f t="shared" si="40"/>
        <v>7</v>
      </c>
      <c r="F96" s="83">
        <f t="shared" si="40"/>
        <v>4</v>
      </c>
      <c r="G96" s="83">
        <f t="shared" si="40"/>
        <v>5</v>
      </c>
      <c r="H96" s="83">
        <f t="shared" si="40"/>
        <v>6</v>
      </c>
      <c r="I96" s="83">
        <f t="shared" si="40"/>
        <v>5</v>
      </c>
      <c r="J96" s="84">
        <f t="shared" si="40"/>
        <v>5</v>
      </c>
      <c r="K96" s="13">
        <f>IF(ISNUMBER(FIND("Wins",K97)), 2, IF(ISNUMBER(FIND("Tie",K97)), 1, 0))</f>
        <v>2</v>
      </c>
      <c r="N96" s="15"/>
      <c r="O96" s="15"/>
      <c r="P96" s="59"/>
      <c r="Q96" s="59"/>
      <c r="R96" s="59"/>
      <c r="S96" s="59"/>
      <c r="T96" s="59"/>
      <c r="W96" s="15"/>
      <c r="X96" s="15"/>
      <c r="Y96" s="15"/>
      <c r="Z96" s="15"/>
      <c r="AA96" s="15"/>
    </row>
    <row r="97" spans="1:27" s="16" customFormat="1" ht="13.5" thickBot="1" x14ac:dyDescent="0.25">
      <c r="A97" s="31"/>
      <c r="B97" s="19">
        <f>IF(AND(ISNUMBER(B96),ISNUMBER(B102)),IF(B96&lt;B102, 0+1, (IF(B96&gt;B102, 0-1, 0)))," ")</f>
        <v>-1</v>
      </c>
      <c r="C97" s="9">
        <f t="shared" ref="C97:J97" si="41">IF(AND(ISNUMBER(C96),ISNUMBER(C102)),IF(C96&lt;C102, +B97+1, (IF(C96&gt;C102, +B97-1, +B97)))," ")</f>
        <v>-2</v>
      </c>
      <c r="D97" s="9">
        <f t="shared" si="41"/>
        <v>-1</v>
      </c>
      <c r="E97" s="9">
        <f t="shared" si="41"/>
        <v>-1</v>
      </c>
      <c r="F97" s="9">
        <f t="shared" si="41"/>
        <v>-1</v>
      </c>
      <c r="G97" s="9">
        <f t="shared" si="41"/>
        <v>0</v>
      </c>
      <c r="H97" s="9">
        <f t="shared" si="41"/>
        <v>-1</v>
      </c>
      <c r="I97" s="9">
        <f t="shared" si="41"/>
        <v>0</v>
      </c>
      <c r="J97" s="10">
        <f t="shared" si="41"/>
        <v>1</v>
      </c>
      <c r="K97" s="14" t="str">
        <f>IF(ISNUMBER(J97),IF(F97&gt;4,"Wins " &amp; F97 &amp; " &amp; 4",IF(G97&gt;3,"Wins " &amp; G97 &amp; " &amp; 3",IF(H97&gt;2,"Wins " &amp; H97 &amp; " &amp; 2",IF(I97&gt;1,"Wins " &amp; I97 &amp; " &amp; 1",IF(J97&gt;J103,"Wins " &amp; J97 &amp; " Up",IF(J97&lt;J103,"Loss","Tie"))))))," ")</f>
        <v>Wins 1 Up</v>
      </c>
      <c r="N97" s="15"/>
      <c r="O97" s="15"/>
      <c r="P97" s="59"/>
      <c r="Q97" s="59"/>
      <c r="R97" s="59"/>
      <c r="S97" s="59"/>
      <c r="T97" s="59"/>
      <c r="W97" s="15"/>
      <c r="X97" s="15"/>
      <c r="Y97" s="15"/>
      <c r="Z97" s="15"/>
      <c r="AA97" s="15"/>
    </row>
    <row r="98" spans="1:27" s="16" customFormat="1" ht="13.5" thickBot="1" x14ac:dyDescent="0.25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N98" s="15"/>
      <c r="O98" s="15"/>
      <c r="P98" s="59"/>
      <c r="Q98" s="59"/>
      <c r="R98" s="59"/>
      <c r="S98" s="59"/>
      <c r="T98" s="59"/>
      <c r="W98" s="15"/>
      <c r="X98" s="15"/>
      <c r="Y98" s="15"/>
      <c r="Z98" s="15"/>
      <c r="AA98" s="15"/>
    </row>
    <row r="99" spans="1:27" s="16" customFormat="1" x14ac:dyDescent="0.2">
      <c r="A99" s="79" t="str">
        <f t="shared" ref="A99:J99" si="42">A28</f>
        <v>Tony W</v>
      </c>
      <c r="B99" s="17">
        <f t="shared" si="42"/>
        <v>7</v>
      </c>
      <c r="C99" s="3">
        <f t="shared" si="42"/>
        <v>5</v>
      </c>
      <c r="D99" s="3">
        <f t="shared" si="42"/>
        <v>6</v>
      </c>
      <c r="E99" s="3">
        <f t="shared" si="42"/>
        <v>7</v>
      </c>
      <c r="F99" s="3">
        <f t="shared" si="42"/>
        <v>4</v>
      </c>
      <c r="G99" s="3">
        <f t="shared" si="42"/>
        <v>7</v>
      </c>
      <c r="H99" s="3">
        <f t="shared" si="42"/>
        <v>5</v>
      </c>
      <c r="I99" s="3">
        <f t="shared" si="42"/>
        <v>8</v>
      </c>
      <c r="J99" s="4">
        <f t="shared" si="42"/>
        <v>9</v>
      </c>
      <c r="K99" s="12">
        <f>SUM(B99:J99)</f>
        <v>58</v>
      </c>
      <c r="N99" s="15"/>
      <c r="O99" s="15"/>
      <c r="P99" s="59"/>
      <c r="Q99" s="59"/>
      <c r="R99" s="59"/>
      <c r="S99" s="59"/>
      <c r="T99" s="59"/>
      <c r="W99" s="15"/>
      <c r="X99" s="15"/>
      <c r="Y99" s="15"/>
      <c r="Z99" s="15"/>
      <c r="AA99" s="15"/>
    </row>
    <row r="100" spans="1:27" s="16" customFormat="1" x14ac:dyDescent="0.2">
      <c r="A100" s="80">
        <f>A29</f>
        <v>10</v>
      </c>
      <c r="B100" s="18">
        <f>IF(AND(ISNUMBER($A94),ISNUMBER($A100)),IF((RANK(B$4,$B$4:$J$4,1))&lt;=($A100-$A94),1,0),"")</f>
        <v>1</v>
      </c>
      <c r="C100" s="6">
        <f t="shared" ref="C100:J101" si="43">IF(AND(ISNUMBER($A94),ISNUMBER($A100)),IF((RANK(C$4,$B$4:$J$4,1))&lt;=($A100-$A94),1,0),"")</f>
        <v>0</v>
      </c>
      <c r="D100" s="6">
        <f t="shared" si="43"/>
        <v>0</v>
      </c>
      <c r="E100" s="6">
        <f t="shared" si="43"/>
        <v>0</v>
      </c>
      <c r="F100" s="6">
        <f t="shared" si="43"/>
        <v>0</v>
      </c>
      <c r="G100" s="6">
        <f t="shared" si="43"/>
        <v>0</v>
      </c>
      <c r="H100" s="6">
        <f t="shared" si="43"/>
        <v>1</v>
      </c>
      <c r="I100" s="6">
        <f t="shared" si="43"/>
        <v>1</v>
      </c>
      <c r="J100" s="7">
        <f t="shared" si="43"/>
        <v>1</v>
      </c>
      <c r="K100" s="13">
        <f>SUM(B100:J100)</f>
        <v>4</v>
      </c>
      <c r="N100" s="15"/>
      <c r="O100" s="15"/>
      <c r="P100" s="59"/>
      <c r="Q100" s="59"/>
      <c r="R100" s="59"/>
      <c r="S100" s="59"/>
      <c r="T100" s="59"/>
      <c r="W100" s="15"/>
      <c r="X100" s="15"/>
      <c r="Y100" s="15"/>
      <c r="Z100" s="15"/>
      <c r="AA100" s="15"/>
    </row>
    <row r="101" spans="1:27" s="16" customFormat="1" x14ac:dyDescent="0.2">
      <c r="A101" s="80">
        <f>IF((A100-A94)&gt;9,(A100-A94-9),0)</f>
        <v>0</v>
      </c>
      <c r="B101" s="18">
        <f>IF(AND(ISNUMBER($A95),ISNUMBER($A101)),IF((RANK(B$4,$B$4:$J$4,1))&lt;=($A101-$A95),1,0),"")</f>
        <v>0</v>
      </c>
      <c r="C101" s="6">
        <f t="shared" si="43"/>
        <v>0</v>
      </c>
      <c r="D101" s="6">
        <f t="shared" si="43"/>
        <v>0</v>
      </c>
      <c r="E101" s="6">
        <f t="shared" si="43"/>
        <v>0</v>
      </c>
      <c r="F101" s="6">
        <f t="shared" si="43"/>
        <v>0</v>
      </c>
      <c r="G101" s="6">
        <f t="shared" si="43"/>
        <v>0</v>
      </c>
      <c r="H101" s="6">
        <f t="shared" si="43"/>
        <v>0</v>
      </c>
      <c r="I101" s="6">
        <f t="shared" si="43"/>
        <v>0</v>
      </c>
      <c r="J101" s="7">
        <f t="shared" si="43"/>
        <v>0</v>
      </c>
      <c r="K101" s="13">
        <f>SUM(B101:J101)</f>
        <v>0</v>
      </c>
      <c r="N101" s="15"/>
      <c r="O101" s="15"/>
      <c r="P101" s="59"/>
      <c r="Q101" s="59"/>
      <c r="R101" s="59"/>
      <c r="S101" s="59"/>
      <c r="T101" s="59"/>
      <c r="W101" s="15"/>
      <c r="X101" s="15"/>
      <c r="Y101" s="15"/>
      <c r="Z101" s="15"/>
      <c r="AA101" s="15"/>
    </row>
    <row r="102" spans="1:27" s="16" customFormat="1" x14ac:dyDescent="0.2">
      <c r="A102" s="80"/>
      <c r="B102" s="82">
        <f>IF(AND(ISNUMBER(B99),ISNUMBER(B100)),B99-B100-B101," ")</f>
        <v>6</v>
      </c>
      <c r="C102" s="83">
        <f t="shared" ref="C102:J102" si="44">IF(AND(ISNUMBER(C99),ISNUMBER(C100)),C99-C100-C101," ")</f>
        <v>5</v>
      </c>
      <c r="D102" s="83">
        <f t="shared" si="44"/>
        <v>6</v>
      </c>
      <c r="E102" s="83">
        <f t="shared" si="44"/>
        <v>7</v>
      </c>
      <c r="F102" s="83">
        <f t="shared" si="44"/>
        <v>4</v>
      </c>
      <c r="G102" s="83">
        <f t="shared" si="44"/>
        <v>7</v>
      </c>
      <c r="H102" s="83">
        <f t="shared" si="44"/>
        <v>4</v>
      </c>
      <c r="I102" s="83">
        <f t="shared" si="44"/>
        <v>7</v>
      </c>
      <c r="J102" s="84">
        <f t="shared" si="44"/>
        <v>8</v>
      </c>
      <c r="K102" s="13">
        <f>IF(ISNUMBER(FIND("Wins",K103)), 2, IF(ISNUMBER(FIND("Tie",K103)), 1, 0))</f>
        <v>0</v>
      </c>
      <c r="N102" s="15"/>
      <c r="O102" s="15"/>
      <c r="P102" s="59"/>
      <c r="Q102" s="59"/>
      <c r="R102" s="59"/>
      <c r="S102" s="59"/>
      <c r="T102" s="59"/>
      <c r="W102" s="15"/>
      <c r="X102" s="15"/>
      <c r="Y102" s="15"/>
      <c r="Z102" s="15"/>
      <c r="AA102" s="15"/>
    </row>
    <row r="103" spans="1:27" s="16" customFormat="1" ht="13.5" thickBot="1" x14ac:dyDescent="0.25">
      <c r="A103" s="81"/>
      <c r="B103" s="19">
        <f>IF(AND(ISNUMBER(B96),ISNUMBER(B102)),IF(B102&lt;B96, 0+1, (IF(B102&gt;B96, 0-1, 0)))," ")</f>
        <v>1</v>
      </c>
      <c r="C103" s="9">
        <f t="shared" ref="C103:J103" si="45">IF(AND(ISNUMBER(C96),ISNUMBER(C102)),IF(C102&lt;C96, +B103+1, (IF(C102&gt;C96, +B103-1, +B103)))," ")</f>
        <v>2</v>
      </c>
      <c r="D103" s="9">
        <f t="shared" si="45"/>
        <v>1</v>
      </c>
      <c r="E103" s="9">
        <f t="shared" si="45"/>
        <v>1</v>
      </c>
      <c r="F103" s="9">
        <f t="shared" si="45"/>
        <v>1</v>
      </c>
      <c r="G103" s="9">
        <f t="shared" si="45"/>
        <v>0</v>
      </c>
      <c r="H103" s="9">
        <f t="shared" si="45"/>
        <v>1</v>
      </c>
      <c r="I103" s="9">
        <f t="shared" si="45"/>
        <v>0</v>
      </c>
      <c r="J103" s="10">
        <f t="shared" si="45"/>
        <v>-1</v>
      </c>
      <c r="K103" s="14" t="str">
        <f>IF(ISNUMBER(J103),IF(F103&gt;4,"Wins " &amp; F103 &amp; " &amp; 4",IF(G103&gt;3,"Wins " &amp; G103 &amp; " &amp; 3",IF(H103&gt;2,"Wins " &amp; H103 &amp; " &amp; 2",IF(I103&gt;1,"Wins " &amp; I103 &amp; " &amp; 1",IF(J103&gt;J97,"Wins " &amp; J103 &amp; " Up",IF(J103&lt;J97,"Loss","Tie"))))))," ")</f>
        <v>Loss</v>
      </c>
      <c r="N103" s="15"/>
      <c r="O103" s="15"/>
      <c r="P103" s="59"/>
      <c r="Q103" s="59"/>
      <c r="R103" s="59"/>
      <c r="S103" s="59"/>
      <c r="T103" s="59"/>
      <c r="W103" s="15"/>
      <c r="X103" s="15"/>
      <c r="Y103" s="15"/>
      <c r="Z103" s="15"/>
      <c r="AA103" s="15"/>
    </row>
    <row r="104" spans="1:27" s="16" customFormat="1" x14ac:dyDescent="0.2">
      <c r="A104" s="2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N104" s="15"/>
      <c r="O104" s="15"/>
      <c r="P104" s="59"/>
      <c r="Q104" s="59"/>
      <c r="R104" s="59"/>
      <c r="S104" s="59"/>
      <c r="T104" s="59"/>
      <c r="W104" s="15"/>
      <c r="X104" s="15"/>
      <c r="Y104" s="15"/>
      <c r="Z104" s="15"/>
      <c r="AA104" s="15"/>
    </row>
    <row r="105" spans="1:27" s="16" customFormat="1" ht="13.5" thickBot="1" x14ac:dyDescent="0.25">
      <c r="A105" s="24" t="s">
        <v>13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N105" s="15"/>
      <c r="O105" s="15"/>
      <c r="P105" s="59"/>
      <c r="Q105" s="59"/>
      <c r="R105" s="59"/>
      <c r="S105" s="59"/>
      <c r="T105" s="59"/>
      <c r="W105" s="15"/>
      <c r="X105" s="15"/>
      <c r="Y105" s="15"/>
      <c r="Z105" s="15"/>
      <c r="AA105" s="15"/>
    </row>
    <row r="106" spans="1:27" s="16" customFormat="1" x14ac:dyDescent="0.2">
      <c r="A106" s="29" t="str">
        <f t="shared" ref="A106:J106" si="46">A26</f>
        <v>Brian S</v>
      </c>
      <c r="B106" s="17">
        <f t="shared" si="46"/>
        <v>6</v>
      </c>
      <c r="C106" s="3">
        <f t="shared" si="46"/>
        <v>7</v>
      </c>
      <c r="D106" s="3">
        <f t="shared" si="46"/>
        <v>5</v>
      </c>
      <c r="E106" s="3">
        <f t="shared" si="46"/>
        <v>5</v>
      </c>
      <c r="F106" s="3">
        <f t="shared" si="46"/>
        <v>5</v>
      </c>
      <c r="G106" s="3">
        <f t="shared" si="46"/>
        <v>8</v>
      </c>
      <c r="H106" s="3">
        <f t="shared" si="46"/>
        <v>7</v>
      </c>
      <c r="I106" s="3">
        <f t="shared" si="46"/>
        <v>7</v>
      </c>
      <c r="J106" s="4">
        <f t="shared" si="46"/>
        <v>7</v>
      </c>
      <c r="K106" s="12">
        <f>SUM(B106:J106)</f>
        <v>57</v>
      </c>
      <c r="N106" s="15"/>
      <c r="O106" s="15"/>
      <c r="P106" s="59"/>
      <c r="Q106" s="59"/>
      <c r="R106" s="59"/>
      <c r="S106" s="59"/>
      <c r="T106" s="59"/>
      <c r="W106" s="15"/>
      <c r="X106" s="15"/>
      <c r="Y106" s="15"/>
      <c r="Z106" s="15"/>
      <c r="AA106" s="15"/>
    </row>
    <row r="107" spans="1:27" s="16" customFormat="1" x14ac:dyDescent="0.2">
      <c r="A107" s="30">
        <f>A27</f>
        <v>13</v>
      </c>
      <c r="B107" s="18">
        <f>IF(AND(ISNUMBER($A107),ISNUMBER($A113)),IF((RANK(B$4,$B$4:$J$4,1))&lt;=($A107-$A113),1,0),"")</f>
        <v>1</v>
      </c>
      <c r="C107" s="6">
        <f t="shared" ref="C107:J108" si="47">IF(AND(ISNUMBER($A107),ISNUMBER($A113)),IF((RANK(C$4,$B$4:$J$4,1))&lt;=($A107-$A113),1,0),"")</f>
        <v>0</v>
      </c>
      <c r="D107" s="6">
        <f t="shared" si="47"/>
        <v>1</v>
      </c>
      <c r="E107" s="6">
        <f t="shared" si="47"/>
        <v>1</v>
      </c>
      <c r="F107" s="6">
        <f t="shared" si="47"/>
        <v>0</v>
      </c>
      <c r="G107" s="6">
        <f t="shared" si="47"/>
        <v>0</v>
      </c>
      <c r="H107" s="6">
        <f t="shared" si="47"/>
        <v>1</v>
      </c>
      <c r="I107" s="6">
        <f t="shared" si="47"/>
        <v>1</v>
      </c>
      <c r="J107" s="7">
        <f t="shared" si="47"/>
        <v>1</v>
      </c>
      <c r="K107" s="13">
        <f>SUM(B107:J107)</f>
        <v>6</v>
      </c>
      <c r="N107" s="15"/>
      <c r="O107" s="15"/>
      <c r="P107" s="59"/>
      <c r="Q107" s="59"/>
      <c r="R107" s="59"/>
      <c r="S107" s="59"/>
      <c r="T107" s="59"/>
      <c r="W107" s="15"/>
      <c r="X107" s="15"/>
      <c r="Y107" s="15"/>
      <c r="Z107" s="15"/>
      <c r="AA107" s="15"/>
    </row>
    <row r="108" spans="1:27" s="16" customFormat="1" x14ac:dyDescent="0.2">
      <c r="A108" s="30">
        <f>IF((A107-A113)&gt;9,(A107-A113-9),0)</f>
        <v>0</v>
      </c>
      <c r="B108" s="18">
        <f>IF(AND(ISNUMBER($A108),ISNUMBER($A114)),IF((RANK(B$4,$B$4:$J$4,1))&lt;=($A108-$A114),1,0),"")</f>
        <v>0</v>
      </c>
      <c r="C108" s="6">
        <f t="shared" si="47"/>
        <v>0</v>
      </c>
      <c r="D108" s="6">
        <f t="shared" si="47"/>
        <v>0</v>
      </c>
      <c r="E108" s="6">
        <f t="shared" si="47"/>
        <v>0</v>
      </c>
      <c r="F108" s="6">
        <f t="shared" si="47"/>
        <v>0</v>
      </c>
      <c r="G108" s="6">
        <f t="shared" si="47"/>
        <v>0</v>
      </c>
      <c r="H108" s="6">
        <f t="shared" si="47"/>
        <v>0</v>
      </c>
      <c r="I108" s="6">
        <f t="shared" si="47"/>
        <v>0</v>
      </c>
      <c r="J108" s="7">
        <f t="shared" si="47"/>
        <v>0</v>
      </c>
      <c r="K108" s="13">
        <f>SUM(B108:J108)</f>
        <v>0</v>
      </c>
      <c r="N108" s="15"/>
      <c r="O108" s="15"/>
      <c r="P108" s="59"/>
      <c r="Q108" s="59"/>
      <c r="R108" s="59"/>
      <c r="S108" s="59"/>
      <c r="T108" s="59"/>
      <c r="W108" s="15"/>
      <c r="X108" s="15"/>
      <c r="Y108" s="15"/>
      <c r="Z108" s="15"/>
      <c r="AA108" s="15"/>
    </row>
    <row r="109" spans="1:27" s="16" customFormat="1" x14ac:dyDescent="0.2">
      <c r="A109" s="30"/>
      <c r="B109" s="82">
        <f>IF(AND(ISNUMBER(B106),ISNUMBER(B107)),B106-B107-B108," ")</f>
        <v>5</v>
      </c>
      <c r="C109" s="83">
        <f t="shared" ref="C109:J109" si="48">IF(AND(ISNUMBER(C106),ISNUMBER(C107)),C106-C107-C108," ")</f>
        <v>7</v>
      </c>
      <c r="D109" s="83">
        <f t="shared" si="48"/>
        <v>4</v>
      </c>
      <c r="E109" s="83">
        <f t="shared" si="48"/>
        <v>4</v>
      </c>
      <c r="F109" s="83">
        <f t="shared" si="48"/>
        <v>5</v>
      </c>
      <c r="G109" s="83">
        <f t="shared" si="48"/>
        <v>8</v>
      </c>
      <c r="H109" s="83">
        <f t="shared" si="48"/>
        <v>6</v>
      </c>
      <c r="I109" s="83">
        <f t="shared" si="48"/>
        <v>6</v>
      </c>
      <c r="J109" s="84">
        <f t="shared" si="48"/>
        <v>6</v>
      </c>
      <c r="K109" s="13">
        <f>IF(ISNUMBER(FIND("Wins",K110)), 2, IF(ISNUMBER(FIND("Tie",K110)), 1, 0))</f>
        <v>0</v>
      </c>
      <c r="N109" s="15"/>
      <c r="O109" s="15"/>
      <c r="P109" s="59"/>
      <c r="Q109" s="59"/>
      <c r="R109" s="59"/>
      <c r="S109" s="59"/>
      <c r="T109" s="59"/>
      <c r="W109" s="15"/>
      <c r="X109" s="15"/>
      <c r="Y109" s="15"/>
      <c r="Z109" s="15"/>
      <c r="AA109" s="15"/>
    </row>
    <row r="110" spans="1:27" s="16" customFormat="1" ht="13.5" thickBot="1" x14ac:dyDescent="0.25">
      <c r="A110" s="31"/>
      <c r="B110" s="19">
        <f>IF(AND(ISNUMBER(B109),ISNUMBER(B115)),IF(B109&lt;B115, 0+1, (IF(B109&gt;B115, 0-1, 0)))," ")</f>
        <v>1</v>
      </c>
      <c r="C110" s="9">
        <f t="shared" ref="C110:J110" si="49">IF(AND(ISNUMBER(C109),ISNUMBER(C115)),IF(C109&lt;C115, +B110+1, (IF(C109&gt;C115, +B110-1, +B110)))," ")</f>
        <v>0</v>
      </c>
      <c r="D110" s="9">
        <f t="shared" si="49"/>
        <v>1</v>
      </c>
      <c r="E110" s="9">
        <f t="shared" si="49"/>
        <v>2</v>
      </c>
      <c r="F110" s="9">
        <f t="shared" si="49"/>
        <v>1</v>
      </c>
      <c r="G110" s="9">
        <f t="shared" si="49"/>
        <v>0</v>
      </c>
      <c r="H110" s="9">
        <f t="shared" si="49"/>
        <v>-1</v>
      </c>
      <c r="I110" s="9">
        <f t="shared" si="49"/>
        <v>0</v>
      </c>
      <c r="J110" s="10">
        <f t="shared" si="49"/>
        <v>-1</v>
      </c>
      <c r="K110" s="14" t="str">
        <f>IF(ISNUMBER(J110),IF(F110&gt;4,"Wins " &amp; F110 &amp; " &amp; 4",IF(G110&gt;3,"Wins " &amp; G110 &amp; " &amp; 3",IF(H110&gt;2,"Wins " &amp; H110 &amp; " &amp; 2",IF(I110&gt;1,"Wins " &amp; I110 &amp; " &amp; 1",IF(J110&gt;J116,"Wins " &amp; J110 &amp; " Up",IF(J110&lt;J116,"Loss","Tie"))))))," ")</f>
        <v>Loss</v>
      </c>
      <c r="N110" s="15"/>
      <c r="O110" s="15"/>
      <c r="P110" s="59"/>
      <c r="Q110" s="59"/>
      <c r="R110" s="59"/>
      <c r="S110" s="59"/>
      <c r="T110" s="59"/>
      <c r="W110" s="15"/>
      <c r="X110" s="15"/>
      <c r="Y110" s="15"/>
      <c r="Z110" s="15"/>
      <c r="AA110" s="15"/>
    </row>
    <row r="111" spans="1:27" s="16" customFormat="1" ht="13.5" thickBot="1" x14ac:dyDescent="0.25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N111" s="15"/>
      <c r="O111" s="15"/>
      <c r="P111" s="59"/>
      <c r="Q111" s="59"/>
      <c r="R111" s="59"/>
      <c r="S111" s="59"/>
      <c r="T111" s="59"/>
      <c r="W111" s="15"/>
      <c r="X111" s="15"/>
      <c r="Y111" s="15"/>
      <c r="Z111" s="15"/>
      <c r="AA111" s="15"/>
    </row>
    <row r="112" spans="1:27" s="16" customFormat="1" x14ac:dyDescent="0.2">
      <c r="A112" s="79" t="str">
        <f t="shared" ref="A112:J112" si="50">A24</f>
        <v>Hunter</v>
      </c>
      <c r="B112" s="17">
        <f t="shared" si="50"/>
        <v>6</v>
      </c>
      <c r="C112" s="3">
        <f t="shared" si="50"/>
        <v>6</v>
      </c>
      <c r="D112" s="3">
        <f t="shared" si="50"/>
        <v>5</v>
      </c>
      <c r="E112" s="3">
        <f t="shared" si="50"/>
        <v>5</v>
      </c>
      <c r="F112" s="3">
        <f t="shared" si="50"/>
        <v>4</v>
      </c>
      <c r="G112" s="3">
        <f t="shared" si="50"/>
        <v>5</v>
      </c>
      <c r="H112" s="3">
        <f t="shared" si="50"/>
        <v>5</v>
      </c>
      <c r="I112" s="3">
        <f t="shared" si="50"/>
        <v>7</v>
      </c>
      <c r="J112" s="4">
        <f t="shared" si="50"/>
        <v>5</v>
      </c>
      <c r="K112" s="12">
        <f>SUM(B112:J112)</f>
        <v>48</v>
      </c>
      <c r="N112" s="15"/>
      <c r="O112" s="15"/>
      <c r="P112" s="59"/>
      <c r="Q112" s="59"/>
      <c r="R112" s="59"/>
      <c r="S112" s="59"/>
      <c r="T112" s="59"/>
      <c r="W112" s="15"/>
      <c r="X112" s="15"/>
      <c r="Y112" s="15"/>
      <c r="Z112" s="15"/>
      <c r="AA112" s="15"/>
    </row>
    <row r="113" spans="1:27" s="16" customFormat="1" x14ac:dyDescent="0.2">
      <c r="A113" s="80">
        <f>A25</f>
        <v>7</v>
      </c>
      <c r="B113" s="18">
        <f>IF(AND(ISNUMBER($A107),ISNUMBER($A113)),IF((RANK(B$4,$B$4:$J$4,1))&lt;=($A113-$A107),1,0),"")</f>
        <v>0</v>
      </c>
      <c r="C113" s="6">
        <f t="shared" ref="C113:J114" si="51">IF(AND(ISNUMBER($A107),ISNUMBER($A113)),IF((RANK(C$4,$B$4:$J$4,1))&lt;=($A113-$A107),1,0),"")</f>
        <v>0</v>
      </c>
      <c r="D113" s="6">
        <f t="shared" si="51"/>
        <v>0</v>
      </c>
      <c r="E113" s="6">
        <f t="shared" si="51"/>
        <v>0</v>
      </c>
      <c r="F113" s="6">
        <f t="shared" si="51"/>
        <v>0</v>
      </c>
      <c r="G113" s="6">
        <f t="shared" si="51"/>
        <v>0</v>
      </c>
      <c r="H113" s="6">
        <f t="shared" si="51"/>
        <v>0</v>
      </c>
      <c r="I113" s="6">
        <f t="shared" si="51"/>
        <v>0</v>
      </c>
      <c r="J113" s="7">
        <f t="shared" si="51"/>
        <v>0</v>
      </c>
      <c r="K113" s="13">
        <f>SUM(B113:J113)</f>
        <v>0</v>
      </c>
      <c r="N113" s="15"/>
      <c r="O113" s="15"/>
      <c r="P113" s="59"/>
      <c r="Q113" s="59"/>
      <c r="R113" s="59"/>
      <c r="S113" s="59"/>
      <c r="T113" s="59"/>
      <c r="W113" s="15"/>
      <c r="X113" s="15"/>
      <c r="Y113" s="15"/>
      <c r="Z113" s="15"/>
      <c r="AA113" s="15"/>
    </row>
    <row r="114" spans="1:27" s="16" customFormat="1" x14ac:dyDescent="0.2">
      <c r="A114" s="80">
        <f>IF((A113-A107)&gt;9,(A113-A107-9),0)</f>
        <v>0</v>
      </c>
      <c r="B114" s="18">
        <f>IF(AND(ISNUMBER($A108),ISNUMBER($A114)),IF((RANK(B$4,$B$4:$J$4,1))&lt;=($A114-$A108),1,0),"")</f>
        <v>0</v>
      </c>
      <c r="C114" s="6">
        <f t="shared" si="51"/>
        <v>0</v>
      </c>
      <c r="D114" s="6">
        <f t="shared" si="51"/>
        <v>0</v>
      </c>
      <c r="E114" s="6">
        <f t="shared" si="51"/>
        <v>0</v>
      </c>
      <c r="F114" s="6">
        <f t="shared" si="51"/>
        <v>0</v>
      </c>
      <c r="G114" s="6">
        <f t="shared" si="51"/>
        <v>0</v>
      </c>
      <c r="H114" s="6">
        <f t="shared" si="51"/>
        <v>0</v>
      </c>
      <c r="I114" s="6">
        <f t="shared" si="51"/>
        <v>0</v>
      </c>
      <c r="J114" s="7">
        <f t="shared" si="51"/>
        <v>0</v>
      </c>
      <c r="K114" s="13">
        <f>SUM(B114:J114)</f>
        <v>0</v>
      </c>
      <c r="N114" s="15"/>
      <c r="O114" s="15"/>
      <c r="P114" s="59"/>
      <c r="Q114" s="59"/>
      <c r="R114" s="59"/>
      <c r="S114" s="59"/>
      <c r="T114" s="59"/>
      <c r="W114" s="15"/>
      <c r="X114" s="15"/>
      <c r="Y114" s="15"/>
      <c r="Z114" s="15"/>
      <c r="AA114" s="15"/>
    </row>
    <row r="115" spans="1:27" s="16" customFormat="1" x14ac:dyDescent="0.2">
      <c r="A115" s="80"/>
      <c r="B115" s="82">
        <f>IF(AND(ISNUMBER(B112),ISNUMBER(B113)),B112-B113-B114," ")</f>
        <v>6</v>
      </c>
      <c r="C115" s="83">
        <f t="shared" ref="C115:J115" si="52">IF(AND(ISNUMBER(C112),ISNUMBER(C113)),C112-C113-C114," ")</f>
        <v>6</v>
      </c>
      <c r="D115" s="83">
        <f t="shared" si="52"/>
        <v>5</v>
      </c>
      <c r="E115" s="83">
        <f t="shared" si="52"/>
        <v>5</v>
      </c>
      <c r="F115" s="83">
        <f t="shared" si="52"/>
        <v>4</v>
      </c>
      <c r="G115" s="83">
        <f t="shared" si="52"/>
        <v>5</v>
      </c>
      <c r="H115" s="83">
        <f t="shared" si="52"/>
        <v>5</v>
      </c>
      <c r="I115" s="83">
        <f t="shared" si="52"/>
        <v>7</v>
      </c>
      <c r="J115" s="84">
        <f t="shared" si="52"/>
        <v>5</v>
      </c>
      <c r="K115" s="13">
        <f>IF(ISNUMBER(FIND("Wins",K116)), 2, IF(ISNUMBER(FIND("Tie",K116)), 1, 0))</f>
        <v>2</v>
      </c>
      <c r="N115" s="15"/>
      <c r="O115" s="15"/>
      <c r="P115" s="59"/>
      <c r="Q115" s="59"/>
      <c r="R115" s="59"/>
      <c r="S115" s="59"/>
      <c r="T115" s="59"/>
      <c r="W115" s="15"/>
      <c r="X115" s="15"/>
      <c r="Y115" s="15"/>
      <c r="Z115" s="15"/>
      <c r="AA115" s="15"/>
    </row>
    <row r="116" spans="1:27" s="16" customFormat="1" ht="13.5" thickBot="1" x14ac:dyDescent="0.25">
      <c r="A116" s="81"/>
      <c r="B116" s="19">
        <f>IF(AND(ISNUMBER(B109),ISNUMBER(B115)),IF(B115&lt;B109, 0+1, (IF(B115&gt;B109, 0-1, 0)))," ")</f>
        <v>-1</v>
      </c>
      <c r="C116" s="9">
        <f t="shared" ref="C116:J116" si="53">IF(AND(ISNUMBER(C109),ISNUMBER(C115)),IF(C115&lt;C109, +B116+1, (IF(C115&gt;C109, +B116-1, +B116)))," ")</f>
        <v>0</v>
      </c>
      <c r="D116" s="9">
        <f t="shared" si="53"/>
        <v>-1</v>
      </c>
      <c r="E116" s="9">
        <f t="shared" si="53"/>
        <v>-2</v>
      </c>
      <c r="F116" s="9">
        <f t="shared" si="53"/>
        <v>-1</v>
      </c>
      <c r="G116" s="9">
        <f t="shared" si="53"/>
        <v>0</v>
      </c>
      <c r="H116" s="9">
        <f t="shared" si="53"/>
        <v>1</v>
      </c>
      <c r="I116" s="9">
        <f t="shared" si="53"/>
        <v>0</v>
      </c>
      <c r="J116" s="10">
        <f t="shared" si="53"/>
        <v>1</v>
      </c>
      <c r="K116" s="14" t="str">
        <f>IF(ISNUMBER(J116),IF(F116&gt;4,"Wins " &amp; F116 &amp; " &amp; 4",IF(G116&gt;3,"Wins " &amp; G116 &amp; " &amp; 3",IF(H116&gt;2,"Wins " &amp; H116 &amp; " &amp; 2",IF(I116&gt;1,"Wins " &amp; I116 &amp; " &amp; 1",IF(J116&gt;J110,"Wins " &amp; J116 &amp; " Up",IF(J116&lt;J110,"Loss","Tie"))))))," ")</f>
        <v>Wins 1 Up</v>
      </c>
      <c r="N116" s="15"/>
      <c r="O116" s="15"/>
      <c r="P116" s="59"/>
      <c r="Q116" s="59"/>
      <c r="R116" s="59"/>
      <c r="S116" s="59"/>
      <c r="T116" s="59"/>
      <c r="W116" s="15"/>
      <c r="X116" s="15"/>
      <c r="Y116" s="15"/>
      <c r="Z116" s="15"/>
      <c r="AA116" s="15"/>
    </row>
    <row r="117" spans="1:27" s="16" customFormat="1" x14ac:dyDescent="0.2">
      <c r="A117" s="26"/>
      <c r="B117" s="85"/>
      <c r="C117" s="85"/>
      <c r="D117" s="85"/>
      <c r="E117" s="85"/>
      <c r="F117" s="85"/>
      <c r="G117" s="85"/>
      <c r="H117" s="85"/>
      <c r="I117" s="85"/>
      <c r="J117" s="85"/>
      <c r="K117" s="15"/>
      <c r="N117" s="15"/>
      <c r="O117" s="15"/>
      <c r="P117" s="59"/>
      <c r="Q117" s="59"/>
      <c r="R117" s="59"/>
      <c r="S117" s="59"/>
      <c r="T117" s="59"/>
      <c r="W117" s="15"/>
      <c r="X117" s="15"/>
      <c r="Y117" s="15"/>
      <c r="Z117" s="15"/>
      <c r="AA117" s="15"/>
    </row>
    <row r="118" spans="1:27" ht="13.5" thickBot="1" x14ac:dyDescent="0.25">
      <c r="A118" s="24" t="s">
        <v>82</v>
      </c>
    </row>
    <row r="119" spans="1:27" x14ac:dyDescent="0.2">
      <c r="A119" s="79" t="str">
        <f t="shared" ref="A119:J119" si="54">A30</f>
        <v xml:space="preserve">Pat </v>
      </c>
      <c r="B119" s="17">
        <f t="shared" si="54"/>
        <v>6</v>
      </c>
      <c r="C119" s="3">
        <f t="shared" si="54"/>
        <v>4</v>
      </c>
      <c r="D119" s="3">
        <f t="shared" si="54"/>
        <v>6</v>
      </c>
      <c r="E119" s="3">
        <f t="shared" si="54"/>
        <v>5</v>
      </c>
      <c r="F119" s="3">
        <f t="shared" si="54"/>
        <v>4</v>
      </c>
      <c r="G119" s="3">
        <f t="shared" si="54"/>
        <v>5</v>
      </c>
      <c r="H119" s="3">
        <f t="shared" si="54"/>
        <v>5</v>
      </c>
      <c r="I119" s="3">
        <f t="shared" si="54"/>
        <v>8</v>
      </c>
      <c r="J119" s="4">
        <f t="shared" si="54"/>
        <v>4</v>
      </c>
      <c r="K119" s="12">
        <f>SUM(B119:J119)</f>
        <v>47</v>
      </c>
    </row>
    <row r="120" spans="1:27" x14ac:dyDescent="0.2">
      <c r="A120" s="80">
        <f>A31</f>
        <v>6</v>
      </c>
      <c r="B120" s="18">
        <f>IF(AND(ISNUMBER($A120),ISNUMBER($A126)),IF((RANK(B$4,$B$4:$J$4,1))&lt;=($A120-$A126),1,0),"")</f>
        <v>0</v>
      </c>
      <c r="C120" s="6">
        <f t="shared" ref="C120:J120" si="55">IF(AND(ISNUMBER($A120),ISNUMBER($A126)),IF((RANK(C$4,$B$4:$J$4,1))&lt;=($A120-$A126),1,0),"")</f>
        <v>0</v>
      </c>
      <c r="D120" s="6">
        <f t="shared" si="55"/>
        <v>0</v>
      </c>
      <c r="E120" s="6">
        <f t="shared" si="55"/>
        <v>0</v>
      </c>
      <c r="F120" s="6">
        <f t="shared" si="55"/>
        <v>0</v>
      </c>
      <c r="G120" s="6">
        <f t="shared" si="55"/>
        <v>0</v>
      </c>
      <c r="H120" s="6">
        <f t="shared" si="55"/>
        <v>0</v>
      </c>
      <c r="I120" s="6">
        <f t="shared" si="55"/>
        <v>0</v>
      </c>
      <c r="J120" s="7">
        <f t="shared" si="55"/>
        <v>0</v>
      </c>
      <c r="K120" s="13">
        <f>SUM(B120:J120)</f>
        <v>0</v>
      </c>
    </row>
    <row r="121" spans="1:27" x14ac:dyDescent="0.2">
      <c r="A121" s="80">
        <f>IF((A120-A126)&gt;9,(A120-A126-9),0)</f>
        <v>0</v>
      </c>
      <c r="B121" s="18">
        <f>IF(AND(ISNUMBER($A121),ISNUMBER($A127)),IF((RANK(B$4,$B$4:$J$4,1))&lt;=($A121-$A127),1,0),"")</f>
        <v>0</v>
      </c>
      <c r="C121" s="6">
        <f t="shared" ref="C121:J121" si="56">IF(AND(ISNUMBER($A121),ISNUMBER($A127)),IF((RANK(C$4,$B$4:$J$4,1))&lt;=($A121-$A127),1,0),"")</f>
        <v>0</v>
      </c>
      <c r="D121" s="6">
        <f t="shared" si="56"/>
        <v>0</v>
      </c>
      <c r="E121" s="6">
        <f t="shared" si="56"/>
        <v>0</v>
      </c>
      <c r="F121" s="6">
        <f t="shared" si="56"/>
        <v>0</v>
      </c>
      <c r="G121" s="6">
        <f t="shared" si="56"/>
        <v>0</v>
      </c>
      <c r="H121" s="6">
        <f t="shared" si="56"/>
        <v>0</v>
      </c>
      <c r="I121" s="6">
        <f t="shared" si="56"/>
        <v>0</v>
      </c>
      <c r="J121" s="7">
        <f t="shared" si="56"/>
        <v>0</v>
      </c>
      <c r="K121" s="13">
        <f>SUM(B121:J121)</f>
        <v>0</v>
      </c>
    </row>
    <row r="122" spans="1:27" x14ac:dyDescent="0.2">
      <c r="A122" s="80"/>
      <c r="B122" s="82">
        <f>IF(AND(ISNUMBER(B119),ISNUMBER(B120)),B119-B120-B121," ")</f>
        <v>6</v>
      </c>
      <c r="C122" s="83">
        <f t="shared" ref="C122:J122" si="57">IF(AND(ISNUMBER(C119),ISNUMBER(C120)),C119-C120-C121," ")</f>
        <v>4</v>
      </c>
      <c r="D122" s="83">
        <f t="shared" si="57"/>
        <v>6</v>
      </c>
      <c r="E122" s="83">
        <f t="shared" si="57"/>
        <v>5</v>
      </c>
      <c r="F122" s="83">
        <f t="shared" si="57"/>
        <v>4</v>
      </c>
      <c r="G122" s="83">
        <f t="shared" si="57"/>
        <v>5</v>
      </c>
      <c r="H122" s="83">
        <f t="shared" si="57"/>
        <v>5</v>
      </c>
      <c r="I122" s="83">
        <f t="shared" si="57"/>
        <v>8</v>
      </c>
      <c r="J122" s="84">
        <f t="shared" si="57"/>
        <v>4</v>
      </c>
      <c r="K122" s="13">
        <f>IF(ISNUMBER(FIND("Wins",K123)), 2, IF(ISNUMBER(FIND("Tie",K123)), 1, 0))</f>
        <v>1</v>
      </c>
    </row>
    <row r="123" spans="1:27" ht="13.5" thickBot="1" x14ac:dyDescent="0.25">
      <c r="A123" s="81"/>
      <c r="B123" s="19">
        <f>IF(AND(ISNUMBER(B122),ISNUMBER(B128)),IF(B122&lt;B128, 0+1, (IF(B122&gt;B128, 0-1, 0)))," ")</f>
        <v>1</v>
      </c>
      <c r="C123" s="9">
        <f t="shared" ref="C123:J123" si="58">IF(AND(ISNUMBER(C122),ISNUMBER(C128)),IF(C122&lt;C128, +B123+1, (IF(C122&gt;C128, +B123-1, +B123)))," ")</f>
        <v>2</v>
      </c>
      <c r="D123" s="9">
        <f t="shared" si="58"/>
        <v>1</v>
      </c>
      <c r="E123" s="9">
        <f t="shared" si="58"/>
        <v>2</v>
      </c>
      <c r="F123" s="9">
        <f t="shared" si="58"/>
        <v>1</v>
      </c>
      <c r="G123" s="9">
        <f t="shared" si="58"/>
        <v>0</v>
      </c>
      <c r="H123" s="9">
        <f t="shared" si="58"/>
        <v>0</v>
      </c>
      <c r="I123" s="9">
        <f t="shared" si="58"/>
        <v>-1</v>
      </c>
      <c r="J123" s="10">
        <f t="shared" si="58"/>
        <v>0</v>
      </c>
      <c r="K123" s="14" t="str">
        <f>IF(ISNUMBER(J123),IF(F123&gt;4,"Wins " &amp; F123 &amp; " &amp; 4",IF(G123&gt;3,"Wins " &amp; G123 &amp; " &amp; 3",IF(H123&gt;2,"Wins " &amp; H123 &amp; " &amp; 2",IF(I123&gt;1,"Wins " &amp; I123 &amp; " &amp; 1",IF(J123&gt;J129,"Wins " &amp; J123 &amp; " Up",IF(J123&lt;J129,"Loss","Tie"))))))," ")</f>
        <v>Tie</v>
      </c>
    </row>
    <row r="124" spans="1:27" ht="13.5" thickBot="1" x14ac:dyDescent="0.25">
      <c r="A124" s="32"/>
    </row>
    <row r="125" spans="1:27" x14ac:dyDescent="0.2">
      <c r="A125" s="79" t="str">
        <f t="shared" ref="A125:J125" si="59">A36</f>
        <v>Manny</v>
      </c>
      <c r="B125" s="17">
        <f t="shared" si="59"/>
        <v>10</v>
      </c>
      <c r="C125" s="3">
        <f t="shared" si="59"/>
        <v>7</v>
      </c>
      <c r="D125" s="3">
        <f t="shared" si="59"/>
        <v>6</v>
      </c>
      <c r="E125" s="3">
        <f t="shared" si="59"/>
        <v>7</v>
      </c>
      <c r="F125" s="3">
        <f t="shared" si="59"/>
        <v>3</v>
      </c>
      <c r="G125" s="3">
        <f t="shared" si="59"/>
        <v>5</v>
      </c>
      <c r="H125" s="3">
        <f t="shared" si="59"/>
        <v>6</v>
      </c>
      <c r="I125" s="3">
        <f t="shared" si="59"/>
        <v>8</v>
      </c>
      <c r="J125" s="4">
        <f t="shared" si="59"/>
        <v>6</v>
      </c>
      <c r="K125" s="12">
        <f>SUM(B125:J125)</f>
        <v>58</v>
      </c>
    </row>
    <row r="126" spans="1:27" x14ac:dyDescent="0.2">
      <c r="A126" s="80">
        <f>A37</f>
        <v>14</v>
      </c>
      <c r="B126" s="18">
        <f>IF(AND(ISNUMBER($A120),ISNUMBER($A126)),IF((RANK(B$4,$B$4:$J$4,1))&lt;=($A126-$A120),1,0),"")</f>
        <v>1</v>
      </c>
      <c r="C126" s="6">
        <f t="shared" ref="C126:J126" si="60">IF(AND(ISNUMBER($A120),ISNUMBER($A126)),IF((RANK(C$4,$B$4:$J$4,1))&lt;=($A126-$A120),1,0),"")</f>
        <v>1</v>
      </c>
      <c r="D126" s="6">
        <f t="shared" si="60"/>
        <v>1</v>
      </c>
      <c r="E126" s="6">
        <f t="shared" si="60"/>
        <v>1</v>
      </c>
      <c r="F126" s="6">
        <f t="shared" si="60"/>
        <v>0</v>
      </c>
      <c r="G126" s="6">
        <f t="shared" si="60"/>
        <v>1</v>
      </c>
      <c r="H126" s="6">
        <f t="shared" si="60"/>
        <v>1</v>
      </c>
      <c r="I126" s="6">
        <f t="shared" si="60"/>
        <v>1</v>
      </c>
      <c r="J126" s="7">
        <f t="shared" si="60"/>
        <v>1</v>
      </c>
      <c r="K126" s="13">
        <f>SUM(B126:J126)</f>
        <v>8</v>
      </c>
    </row>
    <row r="127" spans="1:27" x14ac:dyDescent="0.2">
      <c r="A127" s="80">
        <f>IF((A126-A120)&gt;9,(A126-A120-9),0)</f>
        <v>0</v>
      </c>
      <c r="B127" s="18">
        <f>IF(AND(ISNUMBER($A121),ISNUMBER($A127)),IF((RANK(B$4,$B$4:$J$4,1))&lt;=($A127-$A121),1,0),"")</f>
        <v>0</v>
      </c>
      <c r="C127" s="6">
        <f t="shared" ref="C127:J127" si="61">IF(AND(ISNUMBER($A121),ISNUMBER($A127)),IF((RANK(C$4,$B$4:$J$4,1))&lt;=($A127-$A121),1,0),"")</f>
        <v>0</v>
      </c>
      <c r="D127" s="6">
        <f t="shared" si="61"/>
        <v>0</v>
      </c>
      <c r="E127" s="6">
        <f t="shared" si="61"/>
        <v>0</v>
      </c>
      <c r="F127" s="6">
        <f t="shared" si="61"/>
        <v>0</v>
      </c>
      <c r="G127" s="6">
        <f t="shared" si="61"/>
        <v>0</v>
      </c>
      <c r="H127" s="6">
        <f t="shared" si="61"/>
        <v>0</v>
      </c>
      <c r="I127" s="6">
        <f t="shared" si="61"/>
        <v>0</v>
      </c>
      <c r="J127" s="7">
        <f t="shared" si="61"/>
        <v>0</v>
      </c>
      <c r="K127" s="13">
        <f>SUM(B127:J127)</f>
        <v>0</v>
      </c>
    </row>
    <row r="128" spans="1:27" x14ac:dyDescent="0.2">
      <c r="A128" s="80"/>
      <c r="B128" s="82">
        <f>IF(AND(ISNUMBER(B125),ISNUMBER(B126)),B125-B126-B127," ")</f>
        <v>9</v>
      </c>
      <c r="C128" s="83">
        <f t="shared" ref="C128:J128" si="62">IF(AND(ISNUMBER(C125),ISNUMBER(C126)),C125-C126-C127," ")</f>
        <v>6</v>
      </c>
      <c r="D128" s="83">
        <f t="shared" si="62"/>
        <v>5</v>
      </c>
      <c r="E128" s="83">
        <f t="shared" si="62"/>
        <v>6</v>
      </c>
      <c r="F128" s="83">
        <f t="shared" si="62"/>
        <v>3</v>
      </c>
      <c r="G128" s="83">
        <f t="shared" si="62"/>
        <v>4</v>
      </c>
      <c r="H128" s="83">
        <f t="shared" si="62"/>
        <v>5</v>
      </c>
      <c r="I128" s="83">
        <f t="shared" si="62"/>
        <v>7</v>
      </c>
      <c r="J128" s="84">
        <f t="shared" si="62"/>
        <v>5</v>
      </c>
      <c r="K128" s="13">
        <f>IF(ISNUMBER(FIND("Wins",K129)), 2, IF(ISNUMBER(FIND("Tie",K129)), 1, 0))</f>
        <v>1</v>
      </c>
    </row>
    <row r="129" spans="1:11" ht="13.5" thickBot="1" x14ac:dyDescent="0.25">
      <c r="A129" s="81"/>
      <c r="B129" s="19">
        <f>IF(AND(ISNUMBER(B122),ISNUMBER(B128)),IF(B128&lt;B122, 0+1, (IF(B128&gt;B122, 0-1, 0)))," ")</f>
        <v>-1</v>
      </c>
      <c r="C129" s="9">
        <f t="shared" ref="C129:J129" si="63">IF(AND(ISNUMBER(C122),ISNUMBER(C128)),IF(C128&lt;C122, +B129+1, (IF(C128&gt;C122, +B129-1, +B129)))," ")</f>
        <v>-2</v>
      </c>
      <c r="D129" s="9">
        <f t="shared" si="63"/>
        <v>-1</v>
      </c>
      <c r="E129" s="9">
        <f t="shared" si="63"/>
        <v>-2</v>
      </c>
      <c r="F129" s="9">
        <f t="shared" si="63"/>
        <v>-1</v>
      </c>
      <c r="G129" s="9">
        <f t="shared" si="63"/>
        <v>0</v>
      </c>
      <c r="H129" s="9">
        <f t="shared" si="63"/>
        <v>0</v>
      </c>
      <c r="I129" s="9">
        <f t="shared" si="63"/>
        <v>1</v>
      </c>
      <c r="J129" s="10">
        <f t="shared" si="63"/>
        <v>0</v>
      </c>
      <c r="K129" s="14" t="str">
        <f>IF(ISNUMBER(J129),IF(F129&gt;4,"Wins " &amp; F129 &amp; " &amp; 4",IF(G129&gt;3,"Wins " &amp; G129 &amp; " &amp; 3",IF(H129&gt;2,"Wins " &amp; H129 &amp; " &amp; 2",IF(I129&gt;1,"Wins " &amp; I129 &amp; " &amp; 1",IF(J129&gt;J123,"Wins " &amp; J129 &amp; " Up",IF(J129&lt;J123,"Loss","Tie"))))))," ")</f>
        <v>Tie</v>
      </c>
    </row>
    <row r="130" spans="1:11" x14ac:dyDescent="0.2">
      <c r="A130" s="26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ht="13.5" thickBot="1" x14ac:dyDescent="0.25">
      <c r="A131" s="24" t="s">
        <v>133</v>
      </c>
    </row>
    <row r="132" spans="1:11" x14ac:dyDescent="0.2">
      <c r="A132" s="29" t="str">
        <f t="shared" ref="A132:J132" si="64">A32</f>
        <v>Chris</v>
      </c>
      <c r="B132" s="17">
        <f t="shared" si="64"/>
        <v>6</v>
      </c>
      <c r="C132" s="3">
        <f t="shared" si="64"/>
        <v>5</v>
      </c>
      <c r="D132" s="3">
        <f t="shared" si="64"/>
        <v>5</v>
      </c>
      <c r="E132" s="3">
        <f t="shared" si="64"/>
        <v>5</v>
      </c>
      <c r="F132" s="3">
        <f t="shared" si="64"/>
        <v>4</v>
      </c>
      <c r="G132" s="3">
        <f t="shared" si="64"/>
        <v>5</v>
      </c>
      <c r="H132" s="3">
        <f t="shared" si="64"/>
        <v>4</v>
      </c>
      <c r="I132" s="3">
        <f t="shared" si="64"/>
        <v>8</v>
      </c>
      <c r="J132" s="4">
        <f t="shared" si="64"/>
        <v>6</v>
      </c>
      <c r="K132" s="12">
        <f>SUM(B132:J132)</f>
        <v>48</v>
      </c>
    </row>
    <row r="133" spans="1:11" x14ac:dyDescent="0.2">
      <c r="A133" s="30">
        <f>A33</f>
        <v>15</v>
      </c>
      <c r="B133" s="18">
        <f>IF(AND(ISNUMBER($A133),ISNUMBER($A139)),IF((RANK(B$4,$B$4:$J$4,1))&lt;=($A133-$A139),1,0),"")</f>
        <v>1</v>
      </c>
      <c r="C133" s="6">
        <f t="shared" ref="C133:J133" si="65">IF(AND(ISNUMBER($A133),ISNUMBER($A139)),IF((RANK(C$4,$B$4:$J$4,1))&lt;=($A133-$A139),1,0),"")</f>
        <v>0</v>
      </c>
      <c r="D133" s="6">
        <f t="shared" si="65"/>
        <v>0</v>
      </c>
      <c r="E133" s="6">
        <f t="shared" si="65"/>
        <v>0</v>
      </c>
      <c r="F133" s="6">
        <f t="shared" si="65"/>
        <v>0</v>
      </c>
      <c r="G133" s="6">
        <f t="shared" si="65"/>
        <v>0</v>
      </c>
      <c r="H133" s="6">
        <f t="shared" si="65"/>
        <v>1</v>
      </c>
      <c r="I133" s="6">
        <f t="shared" si="65"/>
        <v>1</v>
      </c>
      <c r="J133" s="7">
        <f t="shared" si="65"/>
        <v>0</v>
      </c>
      <c r="K133" s="13">
        <f>SUM(B133:J133)</f>
        <v>3</v>
      </c>
    </row>
    <row r="134" spans="1:11" x14ac:dyDescent="0.2">
      <c r="A134" s="30">
        <f>IF((A133-A139)&gt;9,(A133-A139-9),0)</f>
        <v>0</v>
      </c>
      <c r="B134" s="18">
        <f>IF(AND(ISNUMBER($A134),ISNUMBER($A140)),IF((RANK(B$4,$B$4:$J$4,1))&lt;=($A134-$A140),1,0),"")</f>
        <v>0</v>
      </c>
      <c r="C134" s="6">
        <f t="shared" ref="C134:J134" si="66">IF(AND(ISNUMBER($A134),ISNUMBER($A140)),IF((RANK(C$4,$B$4:$J$4,1))&lt;=($A134-$A140),1,0),"")</f>
        <v>0</v>
      </c>
      <c r="D134" s="6">
        <f t="shared" si="66"/>
        <v>0</v>
      </c>
      <c r="E134" s="6">
        <f t="shared" si="66"/>
        <v>0</v>
      </c>
      <c r="F134" s="6">
        <f t="shared" si="66"/>
        <v>0</v>
      </c>
      <c r="G134" s="6">
        <f t="shared" si="66"/>
        <v>0</v>
      </c>
      <c r="H134" s="6">
        <f t="shared" si="66"/>
        <v>0</v>
      </c>
      <c r="I134" s="6">
        <f t="shared" si="66"/>
        <v>0</v>
      </c>
      <c r="J134" s="7">
        <f t="shared" si="66"/>
        <v>0</v>
      </c>
      <c r="K134" s="13">
        <f>SUM(B134:J134)</f>
        <v>0</v>
      </c>
    </row>
    <row r="135" spans="1:11" x14ac:dyDescent="0.2">
      <c r="A135" s="30"/>
      <c r="B135" s="82">
        <f>IF(AND(ISNUMBER(B132),ISNUMBER(B133)),B132-B133-B134," ")</f>
        <v>5</v>
      </c>
      <c r="C135" s="83">
        <f t="shared" ref="C135:J135" si="67">IF(AND(ISNUMBER(C132),ISNUMBER(C133)),C132-C133-C134," ")</f>
        <v>5</v>
      </c>
      <c r="D135" s="83">
        <f t="shared" si="67"/>
        <v>5</v>
      </c>
      <c r="E135" s="83">
        <f t="shared" si="67"/>
        <v>5</v>
      </c>
      <c r="F135" s="83">
        <f t="shared" si="67"/>
        <v>4</v>
      </c>
      <c r="G135" s="83">
        <f t="shared" si="67"/>
        <v>5</v>
      </c>
      <c r="H135" s="83">
        <f t="shared" si="67"/>
        <v>3</v>
      </c>
      <c r="I135" s="83">
        <f t="shared" si="67"/>
        <v>7</v>
      </c>
      <c r="J135" s="84">
        <f t="shared" si="67"/>
        <v>6</v>
      </c>
      <c r="K135" s="13">
        <f>IF(ISNUMBER(FIND("Wins",K136)), 2, IF(ISNUMBER(FIND("Tie",K136)), 1, 0))</f>
        <v>2</v>
      </c>
    </row>
    <row r="136" spans="1:11" ht="13.5" thickBot="1" x14ac:dyDescent="0.25">
      <c r="A136" s="31"/>
      <c r="B136" s="19">
        <f>IF(AND(ISNUMBER(B135),ISNUMBER(B141)),IF(B135&lt;B141, 0+1, (IF(B135&gt;B141, 0-1, 0)))," ")</f>
        <v>1</v>
      </c>
      <c r="C136" s="9">
        <f t="shared" ref="C136:J136" si="68">IF(AND(ISNUMBER(C135),ISNUMBER(C141)),IF(C135&lt;C141, +B136+1, (IF(C135&gt;C141, +B136-1, +B136)))," ")</f>
        <v>2</v>
      </c>
      <c r="D136" s="9">
        <f t="shared" si="68"/>
        <v>2</v>
      </c>
      <c r="E136" s="9">
        <f t="shared" si="68"/>
        <v>3</v>
      </c>
      <c r="F136" s="9">
        <f t="shared" si="68"/>
        <v>4</v>
      </c>
      <c r="G136" s="9">
        <f t="shared" si="68"/>
        <v>3</v>
      </c>
      <c r="H136" s="9">
        <f t="shared" si="68"/>
        <v>4</v>
      </c>
      <c r="I136" s="9">
        <f t="shared" si="68"/>
        <v>3</v>
      </c>
      <c r="J136" s="10">
        <f t="shared" si="68"/>
        <v>4</v>
      </c>
      <c r="K136" s="14" t="str">
        <f>IF(ISNUMBER(J136),IF(F136&gt;4,"Wins " &amp; F136 &amp; " &amp; 4",IF(G136&gt;3,"Wins " &amp; G136 &amp; " &amp; 3",IF(H136&gt;2,"Wins " &amp; H136 &amp; " &amp; 2",IF(I136&gt;1,"Wins " &amp; I136 &amp; " &amp; 1",IF(J136&gt;J142,"Wins " &amp; J136 &amp; " Up",IF(J136&lt;J142,"Loss","Tie"))))))," ")</f>
        <v>Wins 4 &amp; 2</v>
      </c>
    </row>
    <row r="137" spans="1:11" ht="13.5" thickBot="1" x14ac:dyDescent="0.25">
      <c r="A137" s="32"/>
    </row>
    <row r="138" spans="1:11" x14ac:dyDescent="0.2">
      <c r="A138" s="79" t="str">
        <f t="shared" ref="A138:J138" si="69">A34</f>
        <v>Gerald C</v>
      </c>
      <c r="B138" s="17">
        <f t="shared" si="69"/>
        <v>6</v>
      </c>
      <c r="C138" s="3">
        <f t="shared" si="69"/>
        <v>6</v>
      </c>
      <c r="D138" s="3">
        <f t="shared" si="69"/>
        <v>5</v>
      </c>
      <c r="E138" s="3">
        <f t="shared" si="69"/>
        <v>6</v>
      </c>
      <c r="F138" s="3">
        <f t="shared" si="69"/>
        <v>6</v>
      </c>
      <c r="G138" s="3">
        <f t="shared" si="69"/>
        <v>4</v>
      </c>
      <c r="H138" s="3">
        <f t="shared" si="69"/>
        <v>5</v>
      </c>
      <c r="I138" s="3">
        <f t="shared" si="69"/>
        <v>5</v>
      </c>
      <c r="J138" s="4">
        <f t="shared" si="69"/>
        <v>8</v>
      </c>
      <c r="K138" s="12">
        <f>SUM(B138:J138)</f>
        <v>51</v>
      </c>
    </row>
    <row r="139" spans="1:11" x14ac:dyDescent="0.2">
      <c r="A139" s="80">
        <f>A35</f>
        <v>12</v>
      </c>
      <c r="B139" s="18">
        <f>IF(AND(ISNUMBER($A133),ISNUMBER($A139)),IF((RANK(B$4,$B$4:$J$4,1))&lt;=($A139-$A133),1,0),"")</f>
        <v>0</v>
      </c>
      <c r="C139" s="6">
        <f t="shared" ref="C139:J139" si="70">IF(AND(ISNUMBER($A133),ISNUMBER($A139)),IF((RANK(C$4,$B$4:$J$4,1))&lt;=($A139-$A133),1,0),"")</f>
        <v>0</v>
      </c>
      <c r="D139" s="6">
        <f t="shared" si="70"/>
        <v>0</v>
      </c>
      <c r="E139" s="6">
        <f t="shared" si="70"/>
        <v>0</v>
      </c>
      <c r="F139" s="6">
        <f t="shared" si="70"/>
        <v>0</v>
      </c>
      <c r="G139" s="6">
        <f t="shared" si="70"/>
        <v>0</v>
      </c>
      <c r="H139" s="6">
        <f t="shared" si="70"/>
        <v>0</v>
      </c>
      <c r="I139" s="6">
        <f t="shared" si="70"/>
        <v>0</v>
      </c>
      <c r="J139" s="7">
        <f t="shared" si="70"/>
        <v>0</v>
      </c>
      <c r="K139" s="13">
        <f>SUM(B139:J139)</f>
        <v>0</v>
      </c>
    </row>
    <row r="140" spans="1:11" x14ac:dyDescent="0.2">
      <c r="A140" s="80">
        <f>IF((A139-A133)&gt;9,(A139-A133-9),0)</f>
        <v>0</v>
      </c>
      <c r="B140" s="18">
        <f>IF(AND(ISNUMBER($A134),ISNUMBER($A140)),IF((RANK(B$4,$B$4:$J$4,1))&lt;=($A140-$A134),1,0),"")</f>
        <v>0</v>
      </c>
      <c r="C140" s="6">
        <f t="shared" ref="C140:J140" si="71">IF(AND(ISNUMBER($A134),ISNUMBER($A140)),IF((RANK(C$4,$B$4:$J$4,1))&lt;=($A140-$A134),1,0),"")</f>
        <v>0</v>
      </c>
      <c r="D140" s="6">
        <f t="shared" si="71"/>
        <v>0</v>
      </c>
      <c r="E140" s="6">
        <f t="shared" si="71"/>
        <v>0</v>
      </c>
      <c r="F140" s="6">
        <f t="shared" si="71"/>
        <v>0</v>
      </c>
      <c r="G140" s="6">
        <f t="shared" si="71"/>
        <v>0</v>
      </c>
      <c r="H140" s="6">
        <f t="shared" si="71"/>
        <v>0</v>
      </c>
      <c r="I140" s="6">
        <f t="shared" si="71"/>
        <v>0</v>
      </c>
      <c r="J140" s="7">
        <f t="shared" si="71"/>
        <v>0</v>
      </c>
      <c r="K140" s="13">
        <f>SUM(B140:J140)</f>
        <v>0</v>
      </c>
    </row>
    <row r="141" spans="1:11" x14ac:dyDescent="0.2">
      <c r="A141" s="80"/>
      <c r="B141" s="82">
        <f>IF(AND(ISNUMBER(B138),ISNUMBER(B139)),B138-B139-B140," ")</f>
        <v>6</v>
      </c>
      <c r="C141" s="83">
        <f t="shared" ref="C141:J141" si="72">IF(AND(ISNUMBER(C138),ISNUMBER(C139)),C138-C139-C140," ")</f>
        <v>6</v>
      </c>
      <c r="D141" s="83">
        <f t="shared" si="72"/>
        <v>5</v>
      </c>
      <c r="E141" s="83">
        <f t="shared" si="72"/>
        <v>6</v>
      </c>
      <c r="F141" s="83">
        <f t="shared" si="72"/>
        <v>6</v>
      </c>
      <c r="G141" s="83">
        <f t="shared" si="72"/>
        <v>4</v>
      </c>
      <c r="H141" s="83">
        <f t="shared" si="72"/>
        <v>5</v>
      </c>
      <c r="I141" s="83">
        <f t="shared" si="72"/>
        <v>5</v>
      </c>
      <c r="J141" s="84">
        <f t="shared" si="72"/>
        <v>8</v>
      </c>
      <c r="K141" s="13">
        <f>IF(ISNUMBER(FIND("Wins",K142)), 2, IF(ISNUMBER(FIND("Tie",K142)), 1, 0))</f>
        <v>0</v>
      </c>
    </row>
    <row r="142" spans="1:11" ht="13.5" thickBot="1" x14ac:dyDescent="0.25">
      <c r="A142" s="81"/>
      <c r="B142" s="19">
        <f>IF(AND(ISNUMBER(B135),ISNUMBER(B141)),IF(B141&lt;B135, 0+1, (IF(B141&gt;B135, 0-1, 0)))," ")</f>
        <v>-1</v>
      </c>
      <c r="C142" s="9">
        <f t="shared" ref="C142:J142" si="73">IF(AND(ISNUMBER(C135),ISNUMBER(C141)),IF(C141&lt;C135, +B142+1, (IF(C141&gt;C135, +B142-1, +B142)))," ")</f>
        <v>-2</v>
      </c>
      <c r="D142" s="9">
        <f t="shared" si="73"/>
        <v>-2</v>
      </c>
      <c r="E142" s="9">
        <f t="shared" si="73"/>
        <v>-3</v>
      </c>
      <c r="F142" s="9">
        <f t="shared" si="73"/>
        <v>-4</v>
      </c>
      <c r="G142" s="9">
        <f t="shared" si="73"/>
        <v>-3</v>
      </c>
      <c r="H142" s="9">
        <f t="shared" si="73"/>
        <v>-4</v>
      </c>
      <c r="I142" s="9">
        <f t="shared" si="73"/>
        <v>-3</v>
      </c>
      <c r="J142" s="10">
        <f t="shared" si="73"/>
        <v>-4</v>
      </c>
      <c r="K142" s="14" t="str">
        <f>IF(ISNUMBER(J142),IF(F142&gt;4,"Wins " &amp; F142 &amp; " &amp; 4",IF(G142&gt;3,"Wins " &amp; G142 &amp; " &amp; 3",IF(H142&gt;2,"Wins " &amp; H142 &amp; " &amp; 2",IF(I142&gt;1,"Wins " &amp; I142 &amp; " &amp; 1",IF(J142&gt;J136,"Wins " &amp; J142 &amp; " Up",IF(J142&lt;J136,"Loss","Tie"))))))," ")</f>
        <v>Loss</v>
      </c>
    </row>
    <row r="143" spans="1:11" x14ac:dyDescent="0.2">
      <c r="A143" s="26"/>
      <c r="B143" s="85"/>
      <c r="C143" s="85"/>
      <c r="D143" s="85"/>
      <c r="E143" s="85"/>
      <c r="F143" s="85"/>
      <c r="G143" s="85"/>
      <c r="H143" s="85"/>
      <c r="I143" s="85"/>
      <c r="J143" s="85"/>
      <c r="K143" s="15"/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43"/>
  <sheetViews>
    <sheetView zoomScaleNormal="100" workbookViewId="0">
      <pane xSplit="1" ySplit="4" topLeftCell="B5" activePane="bottomRight" state="frozen"/>
      <selection activeCell="A144" sqref="A144:XFD169"/>
      <selection pane="topRight" activeCell="A144" sqref="A144:XFD169"/>
      <selection pane="bottomLeft" activeCell="A144" sqref="A144:XFD169"/>
      <selection pane="bottomRight" activeCell="S12" sqref="S12"/>
    </sheetView>
  </sheetViews>
  <sheetFormatPr defaultColWidth="9.140625" defaultRowHeight="12.75" x14ac:dyDescent="0.2"/>
  <cols>
    <col min="1" max="1" width="16.85546875" style="20" customWidth="1"/>
    <col min="2" max="10" width="9.140625" style="2"/>
    <col min="11" max="11" width="13.42578125" style="2" customWidth="1"/>
    <col min="12" max="12" width="9.140625" style="1"/>
    <col min="13" max="13" width="11.140625" style="1" customWidth="1"/>
    <col min="14" max="15" width="11.140625" style="2" customWidth="1"/>
    <col min="16" max="20" width="11.85546875" style="52" customWidth="1"/>
    <col min="21" max="22" width="9.140625" style="1"/>
    <col min="23" max="26" width="9.140625" style="2"/>
    <col min="27" max="27" width="9.85546875" style="2" customWidth="1"/>
    <col min="28" max="16384" width="9.140625" style="1"/>
  </cols>
  <sheetData>
    <row r="1" spans="1:27" ht="13.5" thickBot="1" x14ac:dyDescent="0.25"/>
    <row r="2" spans="1:27" x14ac:dyDescent="0.2">
      <c r="A2" s="33" t="s">
        <v>1</v>
      </c>
      <c r="B2" s="76">
        <f>Courses!C26</f>
        <v>1</v>
      </c>
      <c r="C2" s="34">
        <f>Courses!D26</f>
        <v>2</v>
      </c>
      <c r="D2" s="34">
        <f>Courses!E26</f>
        <v>3</v>
      </c>
      <c r="E2" s="34">
        <f>Courses!F26</f>
        <v>4</v>
      </c>
      <c r="F2" s="34">
        <f>Courses!G26</f>
        <v>5</v>
      </c>
      <c r="G2" s="34">
        <f>Courses!H26</f>
        <v>6</v>
      </c>
      <c r="H2" s="34">
        <f>Courses!I26</f>
        <v>7</v>
      </c>
      <c r="I2" s="34">
        <f>Courses!J26</f>
        <v>8</v>
      </c>
      <c r="J2" s="35">
        <f>Courses!K26</f>
        <v>9</v>
      </c>
      <c r="K2" s="73"/>
    </row>
    <row r="3" spans="1:27" x14ac:dyDescent="0.2">
      <c r="A3" s="37" t="s">
        <v>2</v>
      </c>
      <c r="B3" s="77">
        <f>Courses!C27</f>
        <v>4</v>
      </c>
      <c r="C3" s="39">
        <f>Courses!D27</f>
        <v>4</v>
      </c>
      <c r="D3" s="39">
        <f>Courses!E27</f>
        <v>4</v>
      </c>
      <c r="E3" s="39">
        <f>Courses!F27</f>
        <v>5</v>
      </c>
      <c r="F3" s="39">
        <f>Courses!G27</f>
        <v>3</v>
      </c>
      <c r="G3" s="39">
        <f>Courses!H27</f>
        <v>4</v>
      </c>
      <c r="H3" s="39">
        <f>Courses!I27</f>
        <v>4</v>
      </c>
      <c r="I3" s="39">
        <f>Courses!J27</f>
        <v>5</v>
      </c>
      <c r="J3" s="40">
        <f>Courses!K27</f>
        <v>3</v>
      </c>
      <c r="K3" s="74">
        <f>SUM(B3:J3)</f>
        <v>36</v>
      </c>
      <c r="P3" s="55" t="s">
        <v>32</v>
      </c>
    </row>
    <row r="4" spans="1:27" ht="13.5" thickBot="1" x14ac:dyDescent="0.25">
      <c r="A4" s="42" t="s">
        <v>3</v>
      </c>
      <c r="B4" s="78">
        <f>Courses!C28</f>
        <v>5</v>
      </c>
      <c r="C4" s="44">
        <f>Courses!D28</f>
        <v>11</v>
      </c>
      <c r="D4" s="44">
        <f>Courses!E28</f>
        <v>9</v>
      </c>
      <c r="E4" s="44">
        <f>Courses!F28</f>
        <v>1</v>
      </c>
      <c r="F4" s="44">
        <f>Courses!G28</f>
        <v>15</v>
      </c>
      <c r="G4" s="44">
        <f>Courses!H28</f>
        <v>7</v>
      </c>
      <c r="H4" s="44">
        <f>Courses!I28</f>
        <v>13</v>
      </c>
      <c r="I4" s="44">
        <f>Courses!J28</f>
        <v>3</v>
      </c>
      <c r="J4" s="45">
        <f>Courses!K28</f>
        <v>9</v>
      </c>
      <c r="K4" s="75"/>
      <c r="P4" s="52" t="s">
        <v>34</v>
      </c>
      <c r="Q4" s="52" t="s">
        <v>130</v>
      </c>
      <c r="R4" s="52" t="s">
        <v>33</v>
      </c>
      <c r="T4" s="52" t="s">
        <v>131</v>
      </c>
    </row>
    <row r="5" spans="1:27" ht="13.5" thickBot="1" x14ac:dyDescent="0.25">
      <c r="M5" s="230" t="s">
        <v>16</v>
      </c>
      <c r="N5" s="232" t="s">
        <v>17</v>
      </c>
      <c r="O5" s="232" t="s">
        <v>36</v>
      </c>
      <c r="P5" s="161" t="str">
        <f>Results!C40</f>
        <v>Long Drive</v>
      </c>
      <c r="Q5" s="50" t="str">
        <f>Results!D40</f>
        <v>Closest to Pin</v>
      </c>
      <c r="R5" s="50" t="str">
        <f>Results!E40</f>
        <v>Long Putt</v>
      </c>
      <c r="S5" s="50" t="str">
        <f>Results!F40</f>
        <v>Secret Snowman</v>
      </c>
      <c r="T5" s="51" t="str">
        <f>Results!G40</f>
        <v>Closest to Pin</v>
      </c>
      <c r="V5" s="2">
        <v>1</v>
      </c>
      <c r="W5" s="2">
        <v>2</v>
      </c>
      <c r="X5" s="2">
        <v>3</v>
      </c>
      <c r="Y5" s="2">
        <v>4</v>
      </c>
      <c r="Z5" s="2">
        <v>5</v>
      </c>
    </row>
    <row r="6" spans="1:27" x14ac:dyDescent="0.2">
      <c r="A6" s="21" t="str">
        <f>Matchups!E3</f>
        <v>John</v>
      </c>
      <c r="B6" s="115">
        <v>5</v>
      </c>
      <c r="C6" s="116">
        <v>6</v>
      </c>
      <c r="D6" s="116">
        <v>5</v>
      </c>
      <c r="E6" s="116">
        <v>6</v>
      </c>
      <c r="F6" s="116">
        <v>6</v>
      </c>
      <c r="G6" s="116">
        <v>5</v>
      </c>
      <c r="H6" s="116">
        <v>4</v>
      </c>
      <c r="I6" s="116">
        <v>6</v>
      </c>
      <c r="J6" s="117">
        <v>3</v>
      </c>
      <c r="K6" s="5">
        <f>SUM(B6:J6)</f>
        <v>46</v>
      </c>
      <c r="M6" s="90" t="str">
        <f>A30</f>
        <v>Mil</v>
      </c>
      <c r="N6" s="428">
        <f>K30</f>
        <v>48</v>
      </c>
      <c r="O6" s="5">
        <f>K122</f>
        <v>2</v>
      </c>
      <c r="P6" s="162"/>
      <c r="Q6" s="65"/>
      <c r="R6" s="65"/>
      <c r="S6" s="65"/>
      <c r="T6" s="153"/>
      <c r="V6" s="2">
        <f t="shared" ref="V6:V37" si="0">IF($S$39=V$5,S6*V$5,"")</f>
        <v>0</v>
      </c>
      <c r="W6" s="2" t="str">
        <f t="shared" ref="W6:W37" si="1">IF($S$39=W$5,S6*W$5,"")</f>
        <v/>
      </c>
      <c r="X6" s="2" t="str">
        <f t="shared" ref="X6:X37" si="2">IF($S$39=X$5,S6*X$5,"")</f>
        <v/>
      </c>
      <c r="Y6" s="2" t="str">
        <f t="shared" ref="Y6:Y37" si="3">IF($S$39=Y$5,S6*Y$5,"")</f>
        <v/>
      </c>
      <c r="Z6" s="2" t="str">
        <f t="shared" ref="Z6:Z37" si="4">IF($S$39=Z$5,S6*Z$5,"")</f>
        <v/>
      </c>
      <c r="AA6" s="144">
        <f>IF(SUM(V6:Z6)=0,0,Setup!F$44/SUM(V6:Z6))</f>
        <v>0</v>
      </c>
    </row>
    <row r="7" spans="1:27" hidden="1" x14ac:dyDescent="0.2">
      <c r="A7" s="22">
        <f>Matchups!E4</f>
        <v>7</v>
      </c>
      <c r="B7" s="118"/>
      <c r="C7" s="119"/>
      <c r="D7" s="119"/>
      <c r="E7" s="119"/>
      <c r="F7" s="119"/>
      <c r="G7" s="119"/>
      <c r="H7" s="119"/>
      <c r="I7" s="119"/>
      <c r="J7" s="120"/>
      <c r="K7" s="8"/>
      <c r="M7" s="91"/>
      <c r="N7" s="426"/>
      <c r="O7" s="8"/>
      <c r="P7" s="164"/>
      <c r="Q7" s="66"/>
      <c r="R7" s="66"/>
      <c r="S7" s="66"/>
      <c r="T7" s="154"/>
      <c r="V7" s="2">
        <f t="shared" si="0"/>
        <v>0</v>
      </c>
      <c r="W7" s="2" t="str">
        <f t="shared" si="1"/>
        <v/>
      </c>
      <c r="X7" s="2" t="str">
        <f t="shared" si="2"/>
        <v/>
      </c>
      <c r="Y7" s="2" t="str">
        <f t="shared" si="3"/>
        <v/>
      </c>
      <c r="Z7" s="2" t="str">
        <f t="shared" si="4"/>
        <v/>
      </c>
      <c r="AA7" s="144">
        <f>IF(SUM(V7:Z7)=0,0,Setup!F$44/SUM(V7:Z7))</f>
        <v>0</v>
      </c>
    </row>
    <row r="8" spans="1:27" x14ac:dyDescent="0.2">
      <c r="A8" s="22" t="str">
        <f>Matchups!E5</f>
        <v>Rick</v>
      </c>
      <c r="B8" s="118">
        <v>5</v>
      </c>
      <c r="C8" s="119">
        <v>6</v>
      </c>
      <c r="D8" s="119">
        <v>6</v>
      </c>
      <c r="E8" s="119">
        <v>7</v>
      </c>
      <c r="F8" s="119">
        <v>4</v>
      </c>
      <c r="G8" s="119">
        <v>5</v>
      </c>
      <c r="H8" s="119">
        <v>6</v>
      </c>
      <c r="I8" s="119">
        <v>7</v>
      </c>
      <c r="J8" s="120">
        <v>3</v>
      </c>
      <c r="K8" s="8">
        <f t="shared" ref="K8:K28" si="5">SUM(B8:J8)</f>
        <v>49</v>
      </c>
      <c r="M8" s="91" t="str">
        <f>A6</f>
        <v>John</v>
      </c>
      <c r="N8" s="426">
        <f>K6</f>
        <v>46</v>
      </c>
      <c r="O8" s="8">
        <f>K44</f>
        <v>2</v>
      </c>
      <c r="P8" s="164"/>
      <c r="Q8" s="66"/>
      <c r="R8" s="66"/>
      <c r="S8" s="66"/>
      <c r="T8" s="154"/>
      <c r="V8" s="2">
        <f t="shared" si="0"/>
        <v>0</v>
      </c>
      <c r="W8" s="2" t="str">
        <f t="shared" si="1"/>
        <v/>
      </c>
      <c r="X8" s="2" t="str">
        <f t="shared" si="2"/>
        <v/>
      </c>
      <c r="Y8" s="2" t="str">
        <f t="shared" si="3"/>
        <v/>
      </c>
      <c r="Z8" s="2" t="str">
        <f t="shared" si="4"/>
        <v/>
      </c>
      <c r="AA8" s="144">
        <f>IF(SUM(V8:Z8)=0,0,Setup!F$44/SUM(V8:Z8))</f>
        <v>0</v>
      </c>
    </row>
    <row r="9" spans="1:27" hidden="1" x14ac:dyDescent="0.2">
      <c r="A9" s="22">
        <f>Matchups!E6</f>
        <v>7</v>
      </c>
      <c r="B9" s="118"/>
      <c r="C9" s="119"/>
      <c r="D9" s="119"/>
      <c r="E9" s="119"/>
      <c r="F9" s="119"/>
      <c r="G9" s="119"/>
      <c r="H9" s="119"/>
      <c r="I9" s="119"/>
      <c r="J9" s="120"/>
      <c r="K9" s="8"/>
      <c r="M9" s="91"/>
      <c r="N9" s="426"/>
      <c r="O9" s="8"/>
      <c r="P9" s="164"/>
      <c r="Q9" s="66"/>
      <c r="R9" s="66"/>
      <c r="S9" s="66"/>
      <c r="T9" s="154"/>
      <c r="V9" s="2">
        <f t="shared" si="0"/>
        <v>0</v>
      </c>
      <c r="W9" s="2" t="str">
        <f t="shared" si="1"/>
        <v/>
      </c>
      <c r="X9" s="2" t="str">
        <f t="shared" si="2"/>
        <v/>
      </c>
      <c r="Y9" s="2" t="str">
        <f t="shared" si="3"/>
        <v/>
      </c>
      <c r="Z9" s="2" t="str">
        <f t="shared" si="4"/>
        <v/>
      </c>
      <c r="AA9" s="144">
        <f>IF(SUM(V9:Z9)=0,0,Setup!F$44/SUM(V9:Z9))</f>
        <v>0</v>
      </c>
    </row>
    <row r="10" spans="1:27" x14ac:dyDescent="0.2">
      <c r="A10" s="22" t="str">
        <f>Matchups!E7</f>
        <v>Hunter</v>
      </c>
      <c r="B10" s="118">
        <v>5</v>
      </c>
      <c r="C10" s="119">
        <v>4</v>
      </c>
      <c r="D10" s="119">
        <v>5</v>
      </c>
      <c r="E10" s="119">
        <v>6</v>
      </c>
      <c r="F10" s="119">
        <v>4</v>
      </c>
      <c r="G10" s="119">
        <v>7</v>
      </c>
      <c r="H10" s="119">
        <v>7</v>
      </c>
      <c r="I10" s="119">
        <v>8</v>
      </c>
      <c r="J10" s="120">
        <v>4</v>
      </c>
      <c r="K10" s="8">
        <f t="shared" si="5"/>
        <v>50</v>
      </c>
      <c r="M10" s="91" t="str">
        <f>A18</f>
        <v>Brian P</v>
      </c>
      <c r="N10" s="426">
        <f>K18</f>
        <v>53</v>
      </c>
      <c r="O10" s="8">
        <f>K83</f>
        <v>0</v>
      </c>
      <c r="P10" s="164"/>
      <c r="Q10" s="66"/>
      <c r="R10" s="66"/>
      <c r="S10" s="66">
        <v>1</v>
      </c>
      <c r="T10" s="154"/>
      <c r="V10" s="2">
        <f t="shared" si="0"/>
        <v>1</v>
      </c>
      <c r="W10" s="2" t="str">
        <f t="shared" si="1"/>
        <v/>
      </c>
      <c r="X10" s="2" t="str">
        <f t="shared" si="2"/>
        <v/>
      </c>
      <c r="Y10" s="2" t="str">
        <f t="shared" si="3"/>
        <v/>
      </c>
      <c r="Z10" s="2" t="str">
        <f t="shared" si="4"/>
        <v/>
      </c>
      <c r="AA10" s="144">
        <f>IF(SUM(V10:Z10)=0,0,Setup!F$44/SUM(V10:Z10))</f>
        <v>20</v>
      </c>
    </row>
    <row r="11" spans="1:27" hidden="1" x14ac:dyDescent="0.2">
      <c r="A11" s="22">
        <f>Matchups!E8</f>
        <v>7</v>
      </c>
      <c r="B11" s="118"/>
      <c r="C11" s="119"/>
      <c r="D11" s="119"/>
      <c r="E11" s="119"/>
      <c r="F11" s="119"/>
      <c r="G11" s="119"/>
      <c r="H11" s="119"/>
      <c r="I11" s="119"/>
      <c r="J11" s="120"/>
      <c r="K11" s="8"/>
      <c r="M11" s="91"/>
      <c r="N11" s="426"/>
      <c r="O11" s="8"/>
      <c r="P11" s="164"/>
      <c r="Q11" s="66"/>
      <c r="R11" s="66"/>
      <c r="S11" s="66"/>
      <c r="T11" s="154"/>
      <c r="V11" s="2">
        <f t="shared" si="0"/>
        <v>0</v>
      </c>
      <c r="W11" s="2" t="str">
        <f t="shared" si="1"/>
        <v/>
      </c>
      <c r="X11" s="2" t="str">
        <f t="shared" si="2"/>
        <v/>
      </c>
      <c r="Y11" s="2" t="str">
        <f t="shared" si="3"/>
        <v/>
      </c>
      <c r="Z11" s="2" t="str">
        <f t="shared" si="4"/>
        <v/>
      </c>
      <c r="AA11" s="144">
        <f>IF(SUM(V11:Z11)=0,0,Setup!F$44/SUM(V11:Z11))</f>
        <v>0</v>
      </c>
    </row>
    <row r="12" spans="1:27" ht="13.5" thickBot="1" x14ac:dyDescent="0.25">
      <c r="A12" s="23" t="str">
        <f>Matchups!E9</f>
        <v>Chris</v>
      </c>
      <c r="B12" s="121">
        <v>7</v>
      </c>
      <c r="C12" s="122">
        <v>5</v>
      </c>
      <c r="D12" s="122">
        <v>5</v>
      </c>
      <c r="E12" s="122">
        <v>9</v>
      </c>
      <c r="F12" s="122">
        <v>3</v>
      </c>
      <c r="G12" s="122">
        <v>9</v>
      </c>
      <c r="H12" s="122">
        <v>8</v>
      </c>
      <c r="I12" s="122">
        <v>6</v>
      </c>
      <c r="J12" s="123">
        <v>8</v>
      </c>
      <c r="K12" s="11">
        <f t="shared" si="5"/>
        <v>60</v>
      </c>
      <c r="M12" s="91" t="str">
        <f>A22</f>
        <v xml:space="preserve">Pat </v>
      </c>
      <c r="N12" s="426">
        <f>K22</f>
        <v>40</v>
      </c>
      <c r="O12" s="8">
        <f>K96</f>
        <v>2</v>
      </c>
      <c r="P12" s="164">
        <v>1</v>
      </c>
      <c r="Q12" s="66"/>
      <c r="R12" s="66"/>
      <c r="S12" s="66"/>
      <c r="T12" s="154"/>
      <c r="V12" s="2">
        <f t="shared" si="0"/>
        <v>0</v>
      </c>
      <c r="W12" s="2" t="str">
        <f t="shared" si="1"/>
        <v/>
      </c>
      <c r="X12" s="2" t="str">
        <f t="shared" si="2"/>
        <v/>
      </c>
      <c r="Y12" s="2" t="str">
        <f t="shared" si="3"/>
        <v/>
      </c>
      <c r="Z12" s="2" t="str">
        <f t="shared" si="4"/>
        <v/>
      </c>
      <c r="AA12" s="144">
        <f>IF(SUM(V12:Z12)=0,0,Setup!F$44/SUM(V12:Z12))</f>
        <v>0</v>
      </c>
    </row>
    <row r="13" spans="1:27" ht="13.5" hidden="1" thickBot="1" x14ac:dyDescent="0.25">
      <c r="A13" s="686">
        <f>Matchups!E10</f>
        <v>15</v>
      </c>
      <c r="B13" s="124"/>
      <c r="C13" s="125"/>
      <c r="D13" s="125"/>
      <c r="E13" s="125"/>
      <c r="F13" s="125"/>
      <c r="G13" s="125"/>
      <c r="H13" s="125"/>
      <c r="I13" s="125"/>
      <c r="J13" s="126"/>
      <c r="K13" s="89"/>
      <c r="M13" s="133"/>
      <c r="N13" s="427"/>
      <c r="O13" s="70"/>
      <c r="P13" s="165"/>
      <c r="Q13" s="155"/>
      <c r="R13" s="155"/>
      <c r="S13" s="155"/>
      <c r="T13" s="156"/>
      <c r="V13" s="2">
        <f t="shared" si="0"/>
        <v>0</v>
      </c>
      <c r="W13" s="2" t="str">
        <f t="shared" si="1"/>
        <v/>
      </c>
      <c r="X13" s="2" t="str">
        <f t="shared" si="2"/>
        <v/>
      </c>
      <c r="Y13" s="2" t="str">
        <f t="shared" si="3"/>
        <v/>
      </c>
      <c r="Z13" s="2" t="str">
        <f t="shared" si="4"/>
        <v/>
      </c>
      <c r="AA13" s="144">
        <f>IF(SUM(V13:Z13)=0,0,Setup!F$44/SUM(V13:Z13))</f>
        <v>0</v>
      </c>
    </row>
    <row r="14" spans="1:27" x14ac:dyDescent="0.2">
      <c r="A14" s="21" t="str">
        <f>Matchups!E11</f>
        <v>Bob</v>
      </c>
      <c r="B14" s="339">
        <v>6</v>
      </c>
      <c r="C14" s="116">
        <v>4</v>
      </c>
      <c r="D14" s="116">
        <v>6</v>
      </c>
      <c r="E14" s="116">
        <v>6</v>
      </c>
      <c r="F14" s="116">
        <v>5</v>
      </c>
      <c r="G14" s="116">
        <v>5</v>
      </c>
      <c r="H14" s="116">
        <v>6</v>
      </c>
      <c r="I14" s="116">
        <v>5</v>
      </c>
      <c r="J14" s="117">
        <v>4</v>
      </c>
      <c r="K14" s="12">
        <f t="shared" si="5"/>
        <v>47</v>
      </c>
      <c r="M14" s="226" t="str">
        <f>A8</f>
        <v>Rick</v>
      </c>
      <c r="N14" s="428">
        <f>K8</f>
        <v>49</v>
      </c>
      <c r="O14" s="12">
        <f>K50</f>
        <v>0</v>
      </c>
      <c r="P14" s="297"/>
      <c r="Q14" s="65"/>
      <c r="R14" s="65"/>
      <c r="S14" s="65"/>
      <c r="T14" s="153"/>
      <c r="V14" s="2">
        <f t="shared" si="0"/>
        <v>0</v>
      </c>
      <c r="W14" s="2" t="str">
        <f t="shared" si="1"/>
        <v/>
      </c>
      <c r="X14" s="2" t="str">
        <f t="shared" si="2"/>
        <v/>
      </c>
      <c r="Y14" s="2" t="str">
        <f t="shared" si="3"/>
        <v/>
      </c>
      <c r="Z14" s="2" t="str">
        <f t="shared" si="4"/>
        <v/>
      </c>
      <c r="AA14" s="144">
        <f>IF(SUM(V14:Z14)=0,0,Setup!F$44/SUM(V14:Z14))</f>
        <v>0</v>
      </c>
    </row>
    <row r="15" spans="1:27" hidden="1" x14ac:dyDescent="0.2">
      <c r="A15" s="22">
        <f>Matchups!E12</f>
        <v>10</v>
      </c>
      <c r="B15" s="341"/>
      <c r="C15" s="119"/>
      <c r="D15" s="119"/>
      <c r="E15" s="119"/>
      <c r="F15" s="119"/>
      <c r="G15" s="119"/>
      <c r="H15" s="119"/>
      <c r="I15" s="119"/>
      <c r="J15" s="120"/>
      <c r="K15" s="13"/>
      <c r="M15" s="227"/>
      <c r="N15" s="426"/>
      <c r="O15" s="13"/>
      <c r="P15" s="191"/>
      <c r="Q15" s="66"/>
      <c r="R15" s="66"/>
      <c r="S15" s="66"/>
      <c r="T15" s="154"/>
      <c r="V15" s="2">
        <f t="shared" si="0"/>
        <v>0</v>
      </c>
      <c r="W15" s="2" t="str">
        <f t="shared" si="1"/>
        <v/>
      </c>
      <c r="X15" s="2" t="str">
        <f t="shared" si="2"/>
        <v/>
      </c>
      <c r="Y15" s="2" t="str">
        <f t="shared" si="3"/>
        <v/>
      </c>
      <c r="Z15" s="2" t="str">
        <f t="shared" si="4"/>
        <v/>
      </c>
      <c r="AA15" s="144">
        <f>IF(SUM(V15:Z15)=0,0,Setup!F$44/SUM(V15:Z15))</f>
        <v>0</v>
      </c>
    </row>
    <row r="16" spans="1:27" x14ac:dyDescent="0.2">
      <c r="A16" s="22" t="str">
        <f>Matchups!E13</f>
        <v>Dave</v>
      </c>
      <c r="B16" s="341">
        <v>4</v>
      </c>
      <c r="C16" s="119">
        <v>5</v>
      </c>
      <c r="D16" s="119">
        <v>5</v>
      </c>
      <c r="E16" s="119">
        <v>7</v>
      </c>
      <c r="F16" s="119">
        <v>6</v>
      </c>
      <c r="G16" s="119">
        <v>4</v>
      </c>
      <c r="H16" s="119">
        <v>4</v>
      </c>
      <c r="I16" s="119">
        <v>5</v>
      </c>
      <c r="J16" s="120">
        <v>4</v>
      </c>
      <c r="K16" s="13">
        <f t="shared" si="5"/>
        <v>44</v>
      </c>
      <c r="M16" s="227" t="str">
        <f>A34</f>
        <v>Keith</v>
      </c>
      <c r="N16" s="426">
        <f>K34</f>
        <v>57</v>
      </c>
      <c r="O16" s="13">
        <f>K135</f>
        <v>2</v>
      </c>
      <c r="P16" s="191"/>
      <c r="Q16" s="66"/>
      <c r="R16" s="66"/>
      <c r="S16" s="66"/>
      <c r="T16" s="154"/>
      <c r="V16" s="2">
        <f t="shared" si="0"/>
        <v>0</v>
      </c>
      <c r="W16" s="2" t="str">
        <f t="shared" si="1"/>
        <v/>
      </c>
      <c r="X16" s="2" t="str">
        <f t="shared" si="2"/>
        <v/>
      </c>
      <c r="Y16" s="2" t="str">
        <f t="shared" si="3"/>
        <v/>
      </c>
      <c r="Z16" s="2" t="str">
        <f t="shared" si="4"/>
        <v/>
      </c>
      <c r="AA16" s="144">
        <f>IF(SUM(V16:Z16)=0,0,Setup!F$44/SUM(V16:Z16))</f>
        <v>0</v>
      </c>
    </row>
    <row r="17" spans="1:27" hidden="1" x14ac:dyDescent="0.2">
      <c r="A17" s="22">
        <f>Matchups!E14</f>
        <v>5</v>
      </c>
      <c r="B17" s="341"/>
      <c r="C17" s="119"/>
      <c r="D17" s="119"/>
      <c r="E17" s="119"/>
      <c r="F17" s="119"/>
      <c r="G17" s="119"/>
      <c r="H17" s="119"/>
      <c r="I17" s="119"/>
      <c r="J17" s="120"/>
      <c r="K17" s="13"/>
      <c r="M17" s="227"/>
      <c r="N17" s="426"/>
      <c r="O17" s="13"/>
      <c r="P17" s="191"/>
      <c r="Q17" s="66"/>
      <c r="R17" s="66"/>
      <c r="S17" s="66"/>
      <c r="T17" s="154"/>
      <c r="V17" s="2">
        <f t="shared" si="0"/>
        <v>0</v>
      </c>
      <c r="W17" s="2" t="str">
        <f t="shared" si="1"/>
        <v/>
      </c>
      <c r="X17" s="2" t="str">
        <f t="shared" si="2"/>
        <v/>
      </c>
      <c r="Y17" s="2" t="str">
        <f t="shared" si="3"/>
        <v/>
      </c>
      <c r="Z17" s="2" t="str">
        <f t="shared" si="4"/>
        <v/>
      </c>
      <c r="AA17" s="144">
        <f>IF(SUM(V17:Z17)=0,0,Setup!F$44/SUM(V17:Z17))</f>
        <v>0</v>
      </c>
    </row>
    <row r="18" spans="1:27" x14ac:dyDescent="0.2">
      <c r="A18" s="22" t="str">
        <f>Matchups!E15</f>
        <v>Brian P</v>
      </c>
      <c r="B18" s="341">
        <v>6</v>
      </c>
      <c r="C18" s="119">
        <v>8</v>
      </c>
      <c r="D18" s="119">
        <v>7</v>
      </c>
      <c r="E18" s="119">
        <v>8</v>
      </c>
      <c r="F18" s="119">
        <v>4</v>
      </c>
      <c r="G18" s="119">
        <v>6</v>
      </c>
      <c r="H18" s="119">
        <v>4</v>
      </c>
      <c r="I18" s="119">
        <v>6</v>
      </c>
      <c r="J18" s="120">
        <v>4</v>
      </c>
      <c r="K18" s="13">
        <f t="shared" si="5"/>
        <v>53</v>
      </c>
      <c r="M18" s="227" t="str">
        <f>A24</f>
        <v>Tony W</v>
      </c>
      <c r="N18" s="426">
        <f>K24</f>
        <v>53</v>
      </c>
      <c r="O18" s="13">
        <f>K102</f>
        <v>0</v>
      </c>
      <c r="P18" s="191"/>
      <c r="Q18" s="66"/>
      <c r="R18" s="66"/>
      <c r="S18" s="66"/>
      <c r="T18" s="154"/>
      <c r="V18" s="2">
        <f t="shared" si="0"/>
        <v>0</v>
      </c>
      <c r="W18" s="2" t="str">
        <f t="shared" si="1"/>
        <v/>
      </c>
      <c r="X18" s="2" t="str">
        <f t="shared" si="2"/>
        <v/>
      </c>
      <c r="Y18" s="2" t="str">
        <f t="shared" si="3"/>
        <v/>
      </c>
      <c r="Z18" s="2" t="str">
        <f t="shared" si="4"/>
        <v/>
      </c>
      <c r="AA18" s="144">
        <f>IF(SUM(V18:Z18)=0,0,Setup!F$44/SUM(V18:Z18))</f>
        <v>0</v>
      </c>
    </row>
    <row r="19" spans="1:27" hidden="1" x14ac:dyDescent="0.2">
      <c r="A19" s="22">
        <f>Matchups!E16</f>
        <v>6</v>
      </c>
      <c r="B19" s="341"/>
      <c r="C19" s="119"/>
      <c r="D19" s="119"/>
      <c r="E19" s="119"/>
      <c r="F19" s="119"/>
      <c r="G19" s="119"/>
      <c r="H19" s="119"/>
      <c r="I19" s="119"/>
      <c r="J19" s="120"/>
      <c r="K19" s="13"/>
      <c r="M19" s="334"/>
      <c r="N19" s="427"/>
      <c r="O19" s="229"/>
      <c r="P19" s="404"/>
      <c r="Q19" s="155"/>
      <c r="R19" s="155"/>
      <c r="S19" s="155"/>
      <c r="T19" s="156"/>
      <c r="V19" s="2">
        <f t="shared" si="0"/>
        <v>0</v>
      </c>
      <c r="W19" s="2" t="str">
        <f t="shared" si="1"/>
        <v/>
      </c>
      <c r="X19" s="2" t="str">
        <f t="shared" si="2"/>
        <v/>
      </c>
      <c r="Y19" s="2" t="str">
        <f t="shared" si="3"/>
        <v/>
      </c>
      <c r="Z19" s="2" t="str">
        <f t="shared" si="4"/>
        <v/>
      </c>
      <c r="AA19" s="144">
        <f>IF(SUM(V19:Z19)=0,0,Setup!F$44/SUM(V19:Z19))</f>
        <v>0</v>
      </c>
    </row>
    <row r="20" spans="1:27" ht="13.5" thickBot="1" x14ac:dyDescent="0.25">
      <c r="A20" s="22" t="str">
        <f>Matchups!E17</f>
        <v>Manny</v>
      </c>
      <c r="B20" s="341">
        <v>9</v>
      </c>
      <c r="C20" s="119">
        <v>4</v>
      </c>
      <c r="D20" s="119">
        <v>9</v>
      </c>
      <c r="E20" s="119">
        <v>6</v>
      </c>
      <c r="F20" s="119">
        <v>3</v>
      </c>
      <c r="G20" s="119">
        <v>7</v>
      </c>
      <c r="H20" s="119">
        <v>5</v>
      </c>
      <c r="I20" s="119">
        <v>8</v>
      </c>
      <c r="J20" s="120">
        <v>4</v>
      </c>
      <c r="K20" s="13">
        <f t="shared" si="5"/>
        <v>55</v>
      </c>
      <c r="M20" s="227" t="str">
        <f>A20</f>
        <v>Manny</v>
      </c>
      <c r="N20" s="426">
        <f>K20</f>
        <v>55</v>
      </c>
      <c r="O20" s="13">
        <f>K89</f>
        <v>2</v>
      </c>
      <c r="P20" s="191"/>
      <c r="Q20" s="66"/>
      <c r="R20" s="66"/>
      <c r="S20" s="66"/>
      <c r="T20" s="154"/>
      <c r="V20" s="2">
        <f t="shared" si="0"/>
        <v>0</v>
      </c>
      <c r="W20" s="2" t="str">
        <f t="shared" si="1"/>
        <v/>
      </c>
      <c r="X20" s="2" t="str">
        <f t="shared" si="2"/>
        <v/>
      </c>
      <c r="Y20" s="2" t="str">
        <f t="shared" si="3"/>
        <v/>
      </c>
      <c r="Z20" s="2" t="str">
        <f t="shared" si="4"/>
        <v/>
      </c>
      <c r="AA20" s="144">
        <f>IF(SUM(V20:Z20)=0,0,Setup!F$44/SUM(V20:Z20))</f>
        <v>0</v>
      </c>
    </row>
    <row r="21" spans="1:27" ht="13.5" hidden="1" thickBot="1" x14ac:dyDescent="0.25">
      <c r="A21" s="409">
        <f>Matchups!E18</f>
        <v>14</v>
      </c>
      <c r="B21" s="342"/>
      <c r="C21" s="337"/>
      <c r="D21" s="337"/>
      <c r="E21" s="337"/>
      <c r="F21" s="337"/>
      <c r="G21" s="337"/>
      <c r="H21" s="337"/>
      <c r="I21" s="337"/>
      <c r="J21" s="338"/>
      <c r="K21" s="229"/>
      <c r="M21" s="334"/>
      <c r="N21" s="427"/>
      <c r="O21" s="229"/>
      <c r="P21" s="404"/>
      <c r="Q21" s="155"/>
      <c r="R21" s="155"/>
      <c r="S21" s="155"/>
      <c r="T21" s="156"/>
      <c r="V21" s="2">
        <f t="shared" si="0"/>
        <v>0</v>
      </c>
      <c r="W21" s="2" t="str">
        <f t="shared" si="1"/>
        <v/>
      </c>
      <c r="X21" s="2" t="str">
        <f t="shared" si="2"/>
        <v/>
      </c>
      <c r="Y21" s="2" t="str">
        <f t="shared" si="3"/>
        <v/>
      </c>
      <c r="Z21" s="2" t="str">
        <f t="shared" si="4"/>
        <v/>
      </c>
      <c r="AA21" s="144">
        <f>IF(SUM(V21:Z21)=0,0,Setup!F$44/SUM(V21:Z21))</f>
        <v>0</v>
      </c>
    </row>
    <row r="22" spans="1:27" x14ac:dyDescent="0.2">
      <c r="A22" s="21" t="str">
        <f>Matchups!E19</f>
        <v xml:space="preserve">Pat </v>
      </c>
      <c r="B22" s="339">
        <v>4</v>
      </c>
      <c r="C22" s="116">
        <v>5</v>
      </c>
      <c r="D22" s="116">
        <v>4</v>
      </c>
      <c r="E22" s="116">
        <v>4</v>
      </c>
      <c r="F22" s="116">
        <v>5</v>
      </c>
      <c r="G22" s="116">
        <v>4</v>
      </c>
      <c r="H22" s="116">
        <v>5</v>
      </c>
      <c r="I22" s="116">
        <v>5</v>
      </c>
      <c r="J22" s="117">
        <v>4</v>
      </c>
      <c r="K22" s="12">
        <f t="shared" si="5"/>
        <v>40</v>
      </c>
      <c r="M22" s="226" t="str">
        <f>A26</f>
        <v>Tommy</v>
      </c>
      <c r="N22" s="428">
        <f>K26</f>
        <v>38</v>
      </c>
      <c r="O22" s="12">
        <f>K109</f>
        <v>2</v>
      </c>
      <c r="P22" s="297"/>
      <c r="Q22" s="65">
        <v>1</v>
      </c>
      <c r="R22" s="65"/>
      <c r="S22" s="65"/>
      <c r="T22" s="153"/>
      <c r="V22" s="2">
        <f t="shared" si="0"/>
        <v>0</v>
      </c>
      <c r="W22" s="2" t="str">
        <f t="shared" si="1"/>
        <v/>
      </c>
      <c r="X22" s="2" t="str">
        <f t="shared" si="2"/>
        <v/>
      </c>
      <c r="Y22" s="2" t="str">
        <f t="shared" si="3"/>
        <v/>
      </c>
      <c r="Z22" s="2" t="str">
        <f t="shared" si="4"/>
        <v/>
      </c>
      <c r="AA22" s="144">
        <f>IF(SUM(V22:Z22)=0,0,Setup!F$44/SUM(V22:Z22))</f>
        <v>0</v>
      </c>
    </row>
    <row r="23" spans="1:27" hidden="1" x14ac:dyDescent="0.2">
      <c r="A23" s="22">
        <f>Matchups!E20</f>
        <v>6</v>
      </c>
      <c r="B23" s="341"/>
      <c r="C23" s="119"/>
      <c r="D23" s="119"/>
      <c r="E23" s="119"/>
      <c r="F23" s="119"/>
      <c r="G23" s="119"/>
      <c r="H23" s="119"/>
      <c r="I23" s="119"/>
      <c r="J23" s="120"/>
      <c r="K23" s="13"/>
      <c r="M23" s="227"/>
      <c r="N23" s="426"/>
      <c r="O23" s="13"/>
      <c r="P23" s="191"/>
      <c r="Q23" s="66"/>
      <c r="R23" s="66"/>
      <c r="S23" s="66"/>
      <c r="T23" s="154"/>
      <c r="V23" s="2">
        <f t="shared" si="0"/>
        <v>0</v>
      </c>
      <c r="W23" s="2" t="str">
        <f t="shared" si="1"/>
        <v/>
      </c>
      <c r="X23" s="2" t="str">
        <f t="shared" si="2"/>
        <v/>
      </c>
      <c r="Y23" s="2" t="str">
        <f t="shared" si="3"/>
        <v/>
      </c>
      <c r="Z23" s="2" t="str">
        <f t="shared" si="4"/>
        <v/>
      </c>
      <c r="AA23" s="144">
        <f>IF(SUM(V23:Z23)=0,0,Setup!F$44/SUM(V23:Z23))</f>
        <v>0</v>
      </c>
    </row>
    <row r="24" spans="1:27" x14ac:dyDescent="0.2">
      <c r="A24" s="22" t="str">
        <f>Matchups!E21</f>
        <v>Tony W</v>
      </c>
      <c r="B24" s="341">
        <v>6</v>
      </c>
      <c r="C24" s="119">
        <v>6</v>
      </c>
      <c r="D24" s="119">
        <v>6</v>
      </c>
      <c r="E24" s="119">
        <v>6</v>
      </c>
      <c r="F24" s="119">
        <v>5</v>
      </c>
      <c r="G24" s="119">
        <v>7</v>
      </c>
      <c r="H24" s="119">
        <v>4</v>
      </c>
      <c r="I24" s="119">
        <v>7</v>
      </c>
      <c r="J24" s="120">
        <v>6</v>
      </c>
      <c r="K24" s="13">
        <f t="shared" si="5"/>
        <v>53</v>
      </c>
      <c r="M24" s="227" t="str">
        <f>A16</f>
        <v>Dave</v>
      </c>
      <c r="N24" s="426">
        <f>K16</f>
        <v>44</v>
      </c>
      <c r="O24" s="13">
        <f>K76</f>
        <v>0</v>
      </c>
      <c r="P24" s="191"/>
      <c r="Q24" s="66"/>
      <c r="R24" s="66">
        <v>1</v>
      </c>
      <c r="S24" s="66"/>
      <c r="T24" s="154"/>
      <c r="V24" s="2">
        <f t="shared" si="0"/>
        <v>0</v>
      </c>
      <c r="W24" s="2" t="str">
        <f t="shared" si="1"/>
        <v/>
      </c>
      <c r="X24" s="2" t="str">
        <f t="shared" si="2"/>
        <v/>
      </c>
      <c r="Y24" s="2" t="str">
        <f t="shared" si="3"/>
        <v/>
      </c>
      <c r="Z24" s="2" t="str">
        <f t="shared" si="4"/>
        <v/>
      </c>
      <c r="AA24" s="144">
        <f>IF(SUM(V24:Z24)=0,0,Setup!F$44/SUM(V24:Z24))</f>
        <v>0</v>
      </c>
    </row>
    <row r="25" spans="1:27" hidden="1" x14ac:dyDescent="0.2">
      <c r="A25" s="22">
        <f>Matchups!E22</f>
        <v>10</v>
      </c>
      <c r="B25" s="341"/>
      <c r="C25" s="119"/>
      <c r="D25" s="119"/>
      <c r="E25" s="119"/>
      <c r="F25" s="119"/>
      <c r="G25" s="119"/>
      <c r="H25" s="119"/>
      <c r="I25" s="119"/>
      <c r="J25" s="120"/>
      <c r="K25" s="13"/>
      <c r="M25" s="227"/>
      <c r="N25" s="426"/>
      <c r="O25" s="13"/>
      <c r="P25" s="191"/>
      <c r="Q25" s="66"/>
      <c r="R25" s="66"/>
      <c r="S25" s="66"/>
      <c r="T25" s="154"/>
      <c r="V25" s="2">
        <f t="shared" si="0"/>
        <v>0</v>
      </c>
      <c r="W25" s="2" t="str">
        <f t="shared" si="1"/>
        <v/>
      </c>
      <c r="X25" s="2" t="str">
        <f t="shared" si="2"/>
        <v/>
      </c>
      <c r="Y25" s="2" t="str">
        <f t="shared" si="3"/>
        <v/>
      </c>
      <c r="Z25" s="2" t="str">
        <f t="shared" si="4"/>
        <v/>
      </c>
      <c r="AA25" s="144">
        <f>IF(SUM(V25:Z25)=0,0,Setup!F$44/SUM(V25:Z25))</f>
        <v>0</v>
      </c>
    </row>
    <row r="26" spans="1:27" x14ac:dyDescent="0.2">
      <c r="A26" s="22" t="str">
        <f>Matchups!E23</f>
        <v>Tommy</v>
      </c>
      <c r="B26" s="341">
        <v>4</v>
      </c>
      <c r="C26" s="119">
        <v>4</v>
      </c>
      <c r="D26" s="119">
        <v>4</v>
      </c>
      <c r="E26" s="119">
        <v>4</v>
      </c>
      <c r="F26" s="119">
        <v>5</v>
      </c>
      <c r="G26" s="119">
        <v>3</v>
      </c>
      <c r="H26" s="119">
        <v>4</v>
      </c>
      <c r="I26" s="119">
        <v>7</v>
      </c>
      <c r="J26" s="120">
        <v>3</v>
      </c>
      <c r="K26" s="13">
        <f t="shared" si="5"/>
        <v>38</v>
      </c>
      <c r="M26" s="227" t="str">
        <f>A10</f>
        <v>Hunter</v>
      </c>
      <c r="N26" s="426">
        <f>K10</f>
        <v>50</v>
      </c>
      <c r="O26" s="13">
        <f>K57</f>
        <v>2</v>
      </c>
      <c r="P26" s="191"/>
      <c r="Q26" s="66"/>
      <c r="R26" s="66"/>
      <c r="S26" s="66"/>
      <c r="T26" s="154"/>
      <c r="V26" s="2">
        <f t="shared" si="0"/>
        <v>0</v>
      </c>
      <c r="W26" s="2" t="str">
        <f t="shared" si="1"/>
        <v/>
      </c>
      <c r="X26" s="2" t="str">
        <f t="shared" si="2"/>
        <v/>
      </c>
      <c r="Y26" s="2" t="str">
        <f t="shared" si="3"/>
        <v/>
      </c>
      <c r="Z26" s="2" t="str">
        <f t="shared" si="4"/>
        <v/>
      </c>
      <c r="AA26" s="144">
        <f>IF(SUM(V26:Z26)=0,0,Setup!F$44/SUM(V26:Z26))</f>
        <v>0</v>
      </c>
    </row>
    <row r="27" spans="1:27" hidden="1" x14ac:dyDescent="0.2">
      <c r="A27" s="22">
        <f>Matchups!E24</f>
        <v>5</v>
      </c>
      <c r="B27" s="341"/>
      <c r="C27" s="119"/>
      <c r="D27" s="119"/>
      <c r="E27" s="119"/>
      <c r="F27" s="119"/>
      <c r="G27" s="119"/>
      <c r="H27" s="119"/>
      <c r="I27" s="119"/>
      <c r="J27" s="120"/>
      <c r="K27" s="13"/>
      <c r="M27" s="227"/>
      <c r="N27" s="426"/>
      <c r="O27" s="13"/>
      <c r="P27" s="191"/>
      <c r="Q27" s="66"/>
      <c r="R27" s="66"/>
      <c r="S27" s="66"/>
      <c r="T27" s="154"/>
      <c r="V27" s="2">
        <f t="shared" si="0"/>
        <v>0</v>
      </c>
      <c r="W27" s="2" t="str">
        <f t="shared" si="1"/>
        <v/>
      </c>
      <c r="X27" s="2" t="str">
        <f t="shared" si="2"/>
        <v/>
      </c>
      <c r="Y27" s="2" t="str">
        <f t="shared" si="3"/>
        <v/>
      </c>
      <c r="Z27" s="2" t="str">
        <f t="shared" si="4"/>
        <v/>
      </c>
      <c r="AA27" s="144">
        <f>IF(SUM(V27:Z27)=0,0,Setup!F$44/SUM(V27:Z27))</f>
        <v>0</v>
      </c>
    </row>
    <row r="28" spans="1:27" ht="13.5" thickBot="1" x14ac:dyDescent="0.25">
      <c r="A28" s="23" t="str">
        <f>Matchups!E25</f>
        <v>Patrick</v>
      </c>
      <c r="B28" s="343">
        <v>4</v>
      </c>
      <c r="C28" s="122">
        <v>6</v>
      </c>
      <c r="D28" s="122">
        <v>5</v>
      </c>
      <c r="E28" s="122">
        <v>5</v>
      </c>
      <c r="F28" s="122">
        <v>5</v>
      </c>
      <c r="G28" s="122">
        <v>6</v>
      </c>
      <c r="H28" s="122">
        <v>5</v>
      </c>
      <c r="I28" s="122">
        <v>7</v>
      </c>
      <c r="J28" s="123">
        <v>6</v>
      </c>
      <c r="K28" s="14">
        <f t="shared" si="5"/>
        <v>49</v>
      </c>
      <c r="M28" s="228" t="str">
        <f>A36</f>
        <v>Gerald C</v>
      </c>
      <c r="N28" s="557">
        <f>K36</f>
        <v>57</v>
      </c>
      <c r="O28" s="14">
        <f>K141</f>
        <v>0</v>
      </c>
      <c r="P28" s="192"/>
      <c r="Q28" s="67"/>
      <c r="R28" s="67"/>
      <c r="S28" s="67"/>
      <c r="T28" s="157"/>
      <c r="V28" s="2">
        <f t="shared" si="0"/>
        <v>0</v>
      </c>
      <c r="W28" s="2" t="str">
        <f t="shared" si="1"/>
        <v/>
      </c>
      <c r="X28" s="2" t="str">
        <f t="shared" si="2"/>
        <v/>
      </c>
      <c r="Y28" s="2" t="str">
        <f t="shared" si="3"/>
        <v/>
      </c>
      <c r="Z28" s="2" t="str">
        <f t="shared" si="4"/>
        <v/>
      </c>
      <c r="AA28" s="144">
        <f>IF(SUM(V28:Z28)=0,0,Setup!F$44/SUM(V28:Z28))</f>
        <v>0</v>
      </c>
    </row>
    <row r="29" spans="1:27" ht="13.5" hidden="1" thickBot="1" x14ac:dyDescent="0.25">
      <c r="A29" s="400">
        <f>Matchups!E26</f>
        <v>8</v>
      </c>
      <c r="B29" s="124"/>
      <c r="C29" s="125"/>
      <c r="D29" s="125"/>
      <c r="E29" s="125"/>
      <c r="F29" s="125"/>
      <c r="G29" s="125"/>
      <c r="H29" s="125"/>
      <c r="I29" s="125"/>
      <c r="J29" s="126"/>
      <c r="K29" s="250"/>
      <c r="M29" s="262"/>
      <c r="N29" s="556"/>
      <c r="O29" s="231"/>
      <c r="P29" s="537"/>
      <c r="Q29" s="158"/>
      <c r="R29" s="158"/>
      <c r="S29" s="158"/>
      <c r="T29" s="159"/>
      <c r="V29" s="2">
        <f t="shared" si="0"/>
        <v>0</v>
      </c>
      <c r="W29" s="2" t="str">
        <f t="shared" si="1"/>
        <v/>
      </c>
      <c r="X29" s="2" t="str">
        <f t="shared" si="2"/>
        <v/>
      </c>
      <c r="Y29" s="2" t="str">
        <f t="shared" si="3"/>
        <v/>
      </c>
      <c r="Z29" s="2" t="str">
        <f t="shared" si="4"/>
        <v/>
      </c>
      <c r="AA29" s="144">
        <f>IF(SUM(V29:Z29)=0,0,Setup!F$44/SUM(V29:Z29))</f>
        <v>0</v>
      </c>
    </row>
    <row r="30" spans="1:27" x14ac:dyDescent="0.2">
      <c r="A30" s="21" t="str">
        <f>Matchups!E27</f>
        <v>Mil</v>
      </c>
      <c r="B30" s="339">
        <v>4</v>
      </c>
      <c r="C30" s="116">
        <v>7</v>
      </c>
      <c r="D30" s="116">
        <v>5</v>
      </c>
      <c r="E30" s="116">
        <v>9</v>
      </c>
      <c r="F30" s="116">
        <v>4</v>
      </c>
      <c r="G30" s="116">
        <v>6</v>
      </c>
      <c r="H30" s="116">
        <v>4</v>
      </c>
      <c r="I30" s="116">
        <v>6</v>
      </c>
      <c r="J30" s="401">
        <v>3</v>
      </c>
      <c r="K30" s="5">
        <f>SUM(B30:J30)</f>
        <v>48</v>
      </c>
      <c r="M30" s="227" t="str">
        <f>A14</f>
        <v>Bob</v>
      </c>
      <c r="N30" s="426">
        <f>K14</f>
        <v>47</v>
      </c>
      <c r="O30" s="13">
        <f>K70</f>
        <v>2</v>
      </c>
      <c r="P30" s="191"/>
      <c r="Q30" s="66"/>
      <c r="R30" s="66"/>
      <c r="S30" s="66"/>
      <c r="T30" s="154"/>
      <c r="V30" s="2">
        <f t="shared" si="0"/>
        <v>0</v>
      </c>
      <c r="W30" s="2" t="str">
        <f t="shared" si="1"/>
        <v/>
      </c>
      <c r="X30" s="2" t="str">
        <f t="shared" si="2"/>
        <v/>
      </c>
      <c r="Y30" s="2" t="str">
        <f t="shared" si="3"/>
        <v/>
      </c>
      <c r="Z30" s="2" t="str">
        <f t="shared" si="4"/>
        <v/>
      </c>
      <c r="AA30" s="144">
        <f>IF(SUM(V30:Z30)=0,0,Setup!F$44/SUM(V30:Z30))</f>
        <v>0</v>
      </c>
    </row>
    <row r="31" spans="1:27" hidden="1" x14ac:dyDescent="0.2">
      <c r="A31" s="22">
        <f>Matchups!E28</f>
        <v>6</v>
      </c>
      <c r="B31" s="341"/>
      <c r="C31" s="119"/>
      <c r="D31" s="119"/>
      <c r="E31" s="119"/>
      <c r="F31" s="119"/>
      <c r="G31" s="119"/>
      <c r="H31" s="119"/>
      <c r="I31" s="119"/>
      <c r="J31" s="402"/>
      <c r="K31" s="8"/>
      <c r="M31" s="227"/>
      <c r="N31" s="426"/>
      <c r="O31" s="13"/>
      <c r="P31" s="191"/>
      <c r="Q31" s="66"/>
      <c r="R31" s="66"/>
      <c r="S31" s="66"/>
      <c r="T31" s="154"/>
      <c r="V31" s="2">
        <f t="shared" si="0"/>
        <v>0</v>
      </c>
      <c r="W31" s="2" t="str">
        <f t="shared" si="1"/>
        <v/>
      </c>
      <c r="X31" s="2" t="str">
        <f t="shared" si="2"/>
        <v/>
      </c>
      <c r="Y31" s="2" t="str">
        <f t="shared" si="3"/>
        <v/>
      </c>
      <c r="Z31" s="2" t="str">
        <f t="shared" si="4"/>
        <v/>
      </c>
      <c r="AA31" s="144">
        <f>IF(SUM(V31:Z31)=0,0,Setup!F$44/SUM(V31:Z31))</f>
        <v>0</v>
      </c>
    </row>
    <row r="32" spans="1:27" x14ac:dyDescent="0.2">
      <c r="A32" s="22" t="str">
        <f>Matchups!E29</f>
        <v>Brian S</v>
      </c>
      <c r="B32" s="341">
        <v>6</v>
      </c>
      <c r="C32" s="119">
        <v>5</v>
      </c>
      <c r="D32" s="119">
        <v>4</v>
      </c>
      <c r="E32" s="119">
        <v>5</v>
      </c>
      <c r="F32" s="119">
        <v>6</v>
      </c>
      <c r="G32" s="119">
        <v>7</v>
      </c>
      <c r="H32" s="119">
        <v>8</v>
      </c>
      <c r="I32" s="119">
        <v>9</v>
      </c>
      <c r="J32" s="402">
        <v>4</v>
      </c>
      <c r="K32" s="8">
        <f>SUM(B32:J32)</f>
        <v>54</v>
      </c>
      <c r="M32" s="227" t="str">
        <f>A28</f>
        <v>Patrick</v>
      </c>
      <c r="N32" s="426">
        <f>K28</f>
        <v>49</v>
      </c>
      <c r="O32" s="13">
        <f>K115</f>
        <v>0</v>
      </c>
      <c r="P32" s="191"/>
      <c r="Q32" s="66"/>
      <c r="R32" s="66"/>
      <c r="S32" s="66"/>
      <c r="T32" s="154"/>
      <c r="V32" s="2">
        <f t="shared" si="0"/>
        <v>0</v>
      </c>
      <c r="W32" s="2" t="str">
        <f t="shared" si="1"/>
        <v/>
      </c>
      <c r="X32" s="2" t="str">
        <f t="shared" si="2"/>
        <v/>
      </c>
      <c r="Y32" s="2" t="str">
        <f t="shared" si="3"/>
        <v/>
      </c>
      <c r="Z32" s="2" t="str">
        <f t="shared" si="4"/>
        <v/>
      </c>
      <c r="AA32" s="144">
        <f>IF(SUM(V32:Z32)=0,0,Setup!F$44/SUM(V32:Z32))</f>
        <v>0</v>
      </c>
    </row>
    <row r="33" spans="1:27" hidden="1" x14ac:dyDescent="0.2">
      <c r="A33" s="22">
        <f>Matchups!E30</f>
        <v>13</v>
      </c>
      <c r="B33" s="341"/>
      <c r="C33" s="119"/>
      <c r="D33" s="119"/>
      <c r="E33" s="119"/>
      <c r="F33" s="119"/>
      <c r="G33" s="119"/>
      <c r="H33" s="119"/>
      <c r="I33" s="119"/>
      <c r="J33" s="402"/>
      <c r="K33" s="8"/>
      <c r="M33" s="227"/>
      <c r="N33" s="8"/>
      <c r="O33" s="13"/>
      <c r="P33" s="191"/>
      <c r="Q33" s="66"/>
      <c r="R33" s="66"/>
      <c r="S33" s="66"/>
      <c r="T33" s="154"/>
      <c r="V33" s="2">
        <f t="shared" si="0"/>
        <v>0</v>
      </c>
      <c r="W33" s="2" t="str">
        <f t="shared" si="1"/>
        <v/>
      </c>
      <c r="X33" s="2" t="str">
        <f t="shared" si="2"/>
        <v/>
      </c>
      <c r="Y33" s="2" t="str">
        <f t="shared" si="3"/>
        <v/>
      </c>
      <c r="Z33" s="2" t="str">
        <f t="shared" si="4"/>
        <v/>
      </c>
      <c r="AA33" s="144">
        <f>IF(SUM(V33:Z33)=0,0,Setup!F$44/SUM(V33:Z33))</f>
        <v>0</v>
      </c>
    </row>
    <row r="34" spans="1:27" s="425" customFormat="1" x14ac:dyDescent="0.2">
      <c r="A34" s="22" t="str">
        <f>Matchups!E31</f>
        <v>Keith</v>
      </c>
      <c r="B34" s="341">
        <v>5</v>
      </c>
      <c r="C34" s="119">
        <v>6</v>
      </c>
      <c r="D34" s="119">
        <v>5</v>
      </c>
      <c r="E34" s="119">
        <v>7</v>
      </c>
      <c r="F34" s="119">
        <v>5</v>
      </c>
      <c r="G34" s="119">
        <v>6</v>
      </c>
      <c r="H34" s="119">
        <v>9</v>
      </c>
      <c r="I34" s="119">
        <v>10</v>
      </c>
      <c r="J34" s="402">
        <v>4</v>
      </c>
      <c r="K34" s="8">
        <f>SUM(B34:J34)</f>
        <v>57</v>
      </c>
      <c r="M34" s="227" t="str">
        <f>A32</f>
        <v>Brian S</v>
      </c>
      <c r="N34" s="528">
        <f>K32</f>
        <v>54</v>
      </c>
      <c r="O34" s="535">
        <f>K128</f>
        <v>0</v>
      </c>
      <c r="P34" s="191"/>
      <c r="Q34" s="66"/>
      <c r="R34" s="66"/>
      <c r="S34" s="66"/>
      <c r="T34" s="154"/>
      <c r="V34" s="2">
        <f t="shared" si="0"/>
        <v>0</v>
      </c>
      <c r="W34" s="2" t="str">
        <f t="shared" si="1"/>
        <v/>
      </c>
      <c r="X34" s="2" t="str">
        <f t="shared" si="2"/>
        <v/>
      </c>
      <c r="Y34" s="2" t="str">
        <f t="shared" si="3"/>
        <v/>
      </c>
      <c r="Z34" s="2" t="str">
        <f t="shared" si="4"/>
        <v/>
      </c>
      <c r="AA34" s="144">
        <f>IF(SUM(V34:Z34)=0,0,Setup!F$44/SUM(V34:Z34))</f>
        <v>0</v>
      </c>
    </row>
    <row r="35" spans="1:27" s="425" customFormat="1" hidden="1" x14ac:dyDescent="0.2">
      <c r="A35" s="22">
        <f>Matchups!E32</f>
        <v>16</v>
      </c>
      <c r="B35" s="341"/>
      <c r="C35" s="119"/>
      <c r="D35" s="119"/>
      <c r="E35" s="119"/>
      <c r="F35" s="119"/>
      <c r="G35" s="119"/>
      <c r="H35" s="119"/>
      <c r="I35" s="119"/>
      <c r="J35" s="402"/>
      <c r="K35" s="545"/>
      <c r="M35" s="227"/>
      <c r="N35" s="528"/>
      <c r="O35" s="535"/>
      <c r="P35" s="191"/>
      <c r="Q35" s="66"/>
      <c r="R35" s="66"/>
      <c r="S35" s="66"/>
      <c r="T35" s="154"/>
      <c r="V35" s="2">
        <f t="shared" si="0"/>
        <v>0</v>
      </c>
      <c r="W35" s="2" t="str">
        <f t="shared" si="1"/>
        <v/>
      </c>
      <c r="X35" s="2" t="str">
        <f t="shared" si="2"/>
        <v/>
      </c>
      <c r="Y35" s="2" t="str">
        <f t="shared" si="3"/>
        <v/>
      </c>
      <c r="Z35" s="2" t="str">
        <f t="shared" si="4"/>
        <v/>
      </c>
      <c r="AA35" s="144">
        <f>IF(SUM(V35:Z35)=0,0,Setup!F$44/SUM(V35:Z35))</f>
        <v>0</v>
      </c>
    </row>
    <row r="36" spans="1:27" s="425" customFormat="1" ht="13.5" thickBot="1" x14ac:dyDescent="0.25">
      <c r="A36" s="23" t="str">
        <f>Matchups!E33</f>
        <v>Gerald C</v>
      </c>
      <c r="B36" s="343">
        <v>6</v>
      </c>
      <c r="C36" s="122">
        <v>6</v>
      </c>
      <c r="D36" s="122">
        <v>8</v>
      </c>
      <c r="E36" s="122">
        <v>5</v>
      </c>
      <c r="F36" s="122">
        <v>4</v>
      </c>
      <c r="G36" s="122">
        <v>6</v>
      </c>
      <c r="H36" s="122">
        <v>7</v>
      </c>
      <c r="I36" s="122">
        <v>10</v>
      </c>
      <c r="J36" s="403">
        <v>5</v>
      </c>
      <c r="K36" s="11">
        <f>SUM(B36:J36)</f>
        <v>57</v>
      </c>
      <c r="M36" s="228" t="str">
        <f>A12</f>
        <v>Chris</v>
      </c>
      <c r="N36" s="529">
        <f>K12</f>
        <v>60</v>
      </c>
      <c r="O36" s="536">
        <f>K63</f>
        <v>0</v>
      </c>
      <c r="P36" s="192"/>
      <c r="Q36" s="67"/>
      <c r="R36" s="67"/>
      <c r="S36" s="67"/>
      <c r="T36" s="157"/>
      <c r="V36" s="2">
        <f t="shared" si="0"/>
        <v>0</v>
      </c>
      <c r="W36" s="2" t="str">
        <f t="shared" si="1"/>
        <v/>
      </c>
      <c r="X36" s="2" t="str">
        <f t="shared" si="2"/>
        <v/>
      </c>
      <c r="Y36" s="2" t="str">
        <f t="shared" si="3"/>
        <v/>
      </c>
      <c r="Z36" s="2" t="str">
        <f t="shared" si="4"/>
        <v/>
      </c>
      <c r="AA36" s="144">
        <f>IF(SUM(V36:Z36)=0,0,Setup!F$44/SUM(V36:Z36))</f>
        <v>0</v>
      </c>
    </row>
    <row r="37" spans="1:27" s="425" customFormat="1" ht="13.5" hidden="1" thickBot="1" x14ac:dyDescent="0.25">
      <c r="A37" s="679">
        <f>Matchups!E34</f>
        <v>12</v>
      </c>
      <c r="B37" s="683"/>
      <c r="C37" s="684"/>
      <c r="D37" s="684"/>
      <c r="E37" s="684"/>
      <c r="F37" s="684"/>
      <c r="G37" s="684"/>
      <c r="H37" s="684"/>
      <c r="I37" s="684"/>
      <c r="J37" s="685"/>
      <c r="K37" s="546"/>
      <c r="M37" s="333"/>
      <c r="N37" s="545"/>
      <c r="O37" s="525"/>
      <c r="P37" s="558"/>
      <c r="Q37" s="394"/>
      <c r="R37" s="394"/>
      <c r="S37" s="394"/>
      <c r="T37" s="405"/>
      <c r="V37" s="2">
        <f t="shared" si="0"/>
        <v>0</v>
      </c>
      <c r="W37" s="2" t="str">
        <f t="shared" si="1"/>
        <v/>
      </c>
      <c r="X37" s="2" t="str">
        <f t="shared" si="2"/>
        <v/>
      </c>
      <c r="Y37" s="2" t="str">
        <f t="shared" si="3"/>
        <v/>
      </c>
      <c r="Z37" s="2" t="str">
        <f t="shared" si="4"/>
        <v/>
      </c>
      <c r="AA37" s="144">
        <f>IF(SUM(V37:Z37)=0,0,Setup!F$44/SUM(V37:Z37))</f>
        <v>0</v>
      </c>
    </row>
    <row r="38" spans="1:27" x14ac:dyDescent="0.2">
      <c r="A38" s="26"/>
      <c r="B38" s="15"/>
      <c r="C38" s="15"/>
      <c r="D38" s="15"/>
      <c r="E38" s="15"/>
      <c r="F38" s="15"/>
      <c r="G38" s="15"/>
      <c r="H38" s="15"/>
      <c r="I38" s="15"/>
      <c r="J38" s="15"/>
      <c r="K38" s="15"/>
      <c r="AA38" s="139"/>
    </row>
    <row r="39" spans="1:27" x14ac:dyDescent="0.2">
      <c r="A39" s="26"/>
      <c r="S39" s="52">
        <f>COUNTIF(S6:S37,1)</f>
        <v>1</v>
      </c>
    </row>
    <row r="40" spans="1:27" ht="13.5" thickBot="1" x14ac:dyDescent="0.25">
      <c r="A40" s="24" t="s">
        <v>8</v>
      </c>
    </row>
    <row r="41" spans="1:27" x14ac:dyDescent="0.2">
      <c r="A41" s="79" t="str">
        <f t="shared" ref="A41:J41" si="6">A6</f>
        <v>John</v>
      </c>
      <c r="B41" s="17">
        <f t="shared" si="6"/>
        <v>5</v>
      </c>
      <c r="C41" s="3">
        <f t="shared" si="6"/>
        <v>6</v>
      </c>
      <c r="D41" s="3">
        <f t="shared" si="6"/>
        <v>5</v>
      </c>
      <c r="E41" s="3">
        <f t="shared" si="6"/>
        <v>6</v>
      </c>
      <c r="F41" s="3">
        <f t="shared" si="6"/>
        <v>6</v>
      </c>
      <c r="G41" s="3">
        <f t="shared" si="6"/>
        <v>5</v>
      </c>
      <c r="H41" s="3">
        <f t="shared" si="6"/>
        <v>4</v>
      </c>
      <c r="I41" s="3">
        <f t="shared" si="6"/>
        <v>6</v>
      </c>
      <c r="J41" s="4">
        <f t="shared" si="6"/>
        <v>3</v>
      </c>
      <c r="K41" s="12">
        <f>SUM(B41:J41)</f>
        <v>46</v>
      </c>
    </row>
    <row r="42" spans="1:27" x14ac:dyDescent="0.2">
      <c r="A42" s="80">
        <f>A7</f>
        <v>7</v>
      </c>
      <c r="B42" s="18">
        <f>IF(AND(ISNUMBER($A42),ISNUMBER($A48)),IF((RANK(B$4,$B$4:$J$4,1))&lt;=($A42-$A48),1,0),"")</f>
        <v>0</v>
      </c>
      <c r="C42" s="6">
        <f t="shared" ref="C42:J43" si="7">IF(AND(ISNUMBER($A42),ISNUMBER($A48)),IF((RANK(C$4,$B$4:$J$4,1))&lt;=($A42-$A48),1,0),"")</f>
        <v>0</v>
      </c>
      <c r="D42" s="6">
        <f t="shared" si="7"/>
        <v>0</v>
      </c>
      <c r="E42" s="6">
        <f t="shared" si="7"/>
        <v>0</v>
      </c>
      <c r="F42" s="6">
        <f t="shared" si="7"/>
        <v>0</v>
      </c>
      <c r="G42" s="6">
        <f t="shared" si="7"/>
        <v>0</v>
      </c>
      <c r="H42" s="6">
        <f t="shared" si="7"/>
        <v>0</v>
      </c>
      <c r="I42" s="6">
        <f t="shared" si="7"/>
        <v>0</v>
      </c>
      <c r="J42" s="7">
        <f t="shared" si="7"/>
        <v>0</v>
      </c>
      <c r="K42" s="13">
        <f>SUM(B42:J42)</f>
        <v>0</v>
      </c>
    </row>
    <row r="43" spans="1:27" x14ac:dyDescent="0.2">
      <c r="A43" s="80">
        <f>IF((A42-A48)&gt;9,(A42-A48-9),0)</f>
        <v>0</v>
      </c>
      <c r="B43" s="18">
        <f>IF(AND(ISNUMBER($A43),ISNUMBER($A49)),IF((RANK(B$4,$B$4:$J$4,1))&lt;=($A43-$A49),1,0),"")</f>
        <v>0</v>
      </c>
      <c r="C43" s="6">
        <f t="shared" si="7"/>
        <v>0</v>
      </c>
      <c r="D43" s="6">
        <f t="shared" si="7"/>
        <v>0</v>
      </c>
      <c r="E43" s="6">
        <f t="shared" si="7"/>
        <v>0</v>
      </c>
      <c r="F43" s="6">
        <f t="shared" si="7"/>
        <v>0</v>
      </c>
      <c r="G43" s="6">
        <f t="shared" si="7"/>
        <v>0</v>
      </c>
      <c r="H43" s="6">
        <f t="shared" si="7"/>
        <v>0</v>
      </c>
      <c r="I43" s="6">
        <f t="shared" si="7"/>
        <v>0</v>
      </c>
      <c r="J43" s="7">
        <f t="shared" si="7"/>
        <v>0</v>
      </c>
      <c r="K43" s="13">
        <f>SUM(B43:J43)</f>
        <v>0</v>
      </c>
    </row>
    <row r="44" spans="1:27" x14ac:dyDescent="0.2">
      <c r="A44" s="80"/>
      <c r="B44" s="82">
        <f>IF(AND(ISNUMBER(B41),ISNUMBER(B42)),B41-B42-B43," ")</f>
        <v>5</v>
      </c>
      <c r="C44" s="83">
        <f t="shared" ref="C44:J44" si="8">IF(AND(ISNUMBER(C41),ISNUMBER(C42)),C41-C42-C43," ")</f>
        <v>6</v>
      </c>
      <c r="D44" s="83">
        <f t="shared" si="8"/>
        <v>5</v>
      </c>
      <c r="E44" s="83">
        <f t="shared" si="8"/>
        <v>6</v>
      </c>
      <c r="F44" s="83">
        <f t="shared" si="8"/>
        <v>6</v>
      </c>
      <c r="G44" s="83">
        <f t="shared" si="8"/>
        <v>5</v>
      </c>
      <c r="H44" s="83">
        <f t="shared" si="8"/>
        <v>4</v>
      </c>
      <c r="I44" s="83">
        <f t="shared" si="8"/>
        <v>6</v>
      </c>
      <c r="J44" s="84">
        <f t="shared" si="8"/>
        <v>3</v>
      </c>
      <c r="K44" s="13">
        <f>IF(ISNUMBER(FIND("Wins",K45)), 2, IF(ISNUMBER(FIND("Tie",K45)), 1, 0))</f>
        <v>2</v>
      </c>
    </row>
    <row r="45" spans="1:27" ht="13.5" thickBot="1" x14ac:dyDescent="0.25">
      <c r="A45" s="81"/>
      <c r="B45" s="19">
        <f>IF(AND(ISNUMBER(B44),ISNUMBER(B50)),IF(B44&lt;B50, 0+1, (IF(B44&gt;B50, 0-1, 0)))," ")</f>
        <v>0</v>
      </c>
      <c r="C45" s="9">
        <f t="shared" ref="C45:J45" si="9">IF(AND(ISNUMBER(C44),ISNUMBER(C50)),IF(C44&lt;C50, +B45+1, (IF(C44&gt;C50, +B45-1, +B45)))," ")</f>
        <v>0</v>
      </c>
      <c r="D45" s="9">
        <f t="shared" si="9"/>
        <v>1</v>
      </c>
      <c r="E45" s="9">
        <f t="shared" si="9"/>
        <v>2</v>
      </c>
      <c r="F45" s="9">
        <f t="shared" si="9"/>
        <v>1</v>
      </c>
      <c r="G45" s="9">
        <f t="shared" si="9"/>
        <v>1</v>
      </c>
      <c r="H45" s="9">
        <f t="shared" si="9"/>
        <v>2</v>
      </c>
      <c r="I45" s="9">
        <f t="shared" si="9"/>
        <v>3</v>
      </c>
      <c r="J45" s="10">
        <f t="shared" si="9"/>
        <v>3</v>
      </c>
      <c r="K45" s="14" t="str">
        <f>IF(ISNUMBER(J45),IF(F45&gt;4,"Wins " &amp; F45 &amp; " &amp; 4",IF(G45&gt;3,"Wins " &amp; G45 &amp; " &amp; 3",IF(H45&gt;2,"Wins " &amp; H45 &amp; " &amp; 2",IF(I45&gt;1,"Wins " &amp; I45 &amp; " &amp; 1",IF(J45&gt;J51,"Wins " &amp; J45 &amp; " Up",IF(J45&lt;J51,"Loss","Tie"))))))," ")</f>
        <v>Wins 3 &amp; 1</v>
      </c>
    </row>
    <row r="46" spans="1:27" ht="13.5" thickBot="1" x14ac:dyDescent="0.25">
      <c r="A46" s="32"/>
    </row>
    <row r="47" spans="1:27" x14ac:dyDescent="0.2">
      <c r="A47" s="29" t="str">
        <f t="shared" ref="A47:J47" si="10">A8</f>
        <v>Rick</v>
      </c>
      <c r="B47" s="17">
        <f t="shared" si="10"/>
        <v>5</v>
      </c>
      <c r="C47" s="3">
        <f t="shared" si="10"/>
        <v>6</v>
      </c>
      <c r="D47" s="3">
        <f t="shared" si="10"/>
        <v>6</v>
      </c>
      <c r="E47" s="3">
        <f t="shared" si="10"/>
        <v>7</v>
      </c>
      <c r="F47" s="3">
        <f t="shared" si="10"/>
        <v>4</v>
      </c>
      <c r="G47" s="3">
        <f t="shared" si="10"/>
        <v>5</v>
      </c>
      <c r="H47" s="3">
        <f t="shared" si="10"/>
        <v>6</v>
      </c>
      <c r="I47" s="3">
        <f t="shared" si="10"/>
        <v>7</v>
      </c>
      <c r="J47" s="4">
        <f t="shared" si="10"/>
        <v>3</v>
      </c>
      <c r="K47" s="12">
        <f>SUM(B47:J47)</f>
        <v>49</v>
      </c>
    </row>
    <row r="48" spans="1:27" x14ac:dyDescent="0.2">
      <c r="A48" s="30">
        <f>A9</f>
        <v>7</v>
      </c>
      <c r="B48" s="18">
        <f>IF(AND(ISNUMBER($A42),ISNUMBER($A48)),IF((RANK(B$4,$B$4:$J$4,1))&lt;=($A48-$A42),1,0),"")</f>
        <v>0</v>
      </c>
      <c r="C48" s="6">
        <f t="shared" ref="C48:J49" si="11">IF(AND(ISNUMBER($A42),ISNUMBER($A48)),IF((RANK(C$4,$B$4:$J$4,1))&lt;=($A48-$A42),1,0),"")</f>
        <v>0</v>
      </c>
      <c r="D48" s="6">
        <f t="shared" si="11"/>
        <v>0</v>
      </c>
      <c r="E48" s="6">
        <f t="shared" si="11"/>
        <v>0</v>
      </c>
      <c r="F48" s="6">
        <f t="shared" si="11"/>
        <v>0</v>
      </c>
      <c r="G48" s="6">
        <f t="shared" si="11"/>
        <v>0</v>
      </c>
      <c r="H48" s="6">
        <f t="shared" si="11"/>
        <v>0</v>
      </c>
      <c r="I48" s="6">
        <f t="shared" si="11"/>
        <v>0</v>
      </c>
      <c r="J48" s="7">
        <f t="shared" si="11"/>
        <v>0</v>
      </c>
      <c r="K48" s="13">
        <f>SUM(B48:J48)</f>
        <v>0</v>
      </c>
    </row>
    <row r="49" spans="1:27" x14ac:dyDescent="0.2">
      <c r="A49" s="30">
        <f>IF((A48-A42)&gt;9,(A48-A42-9),0)</f>
        <v>0</v>
      </c>
      <c r="B49" s="18">
        <f>IF(AND(ISNUMBER($A43),ISNUMBER($A49)),IF((RANK(B$4,$B$4:$J$4,1))&lt;=($A49-$A43),1,0),"")</f>
        <v>0</v>
      </c>
      <c r="C49" s="6">
        <f t="shared" si="11"/>
        <v>0</v>
      </c>
      <c r="D49" s="6">
        <f t="shared" si="11"/>
        <v>0</v>
      </c>
      <c r="E49" s="6">
        <f t="shared" si="11"/>
        <v>0</v>
      </c>
      <c r="F49" s="6">
        <f t="shared" si="11"/>
        <v>0</v>
      </c>
      <c r="G49" s="6">
        <f t="shared" si="11"/>
        <v>0</v>
      </c>
      <c r="H49" s="6">
        <f t="shared" si="11"/>
        <v>0</v>
      </c>
      <c r="I49" s="6">
        <f t="shared" si="11"/>
        <v>0</v>
      </c>
      <c r="J49" s="7">
        <f t="shared" si="11"/>
        <v>0</v>
      </c>
      <c r="K49" s="13">
        <f>SUM(B49:J49)</f>
        <v>0</v>
      </c>
    </row>
    <row r="50" spans="1:27" x14ac:dyDescent="0.2">
      <c r="A50" s="30"/>
      <c r="B50" s="82">
        <f>IF(AND(ISNUMBER(B47),ISNUMBER(B48)),B47-B48-B49," ")</f>
        <v>5</v>
      </c>
      <c r="C50" s="83">
        <f t="shared" ref="C50:J50" si="12">IF(AND(ISNUMBER(C47),ISNUMBER(C48)),C47-C48-C49," ")</f>
        <v>6</v>
      </c>
      <c r="D50" s="83">
        <f t="shared" si="12"/>
        <v>6</v>
      </c>
      <c r="E50" s="83">
        <f t="shared" si="12"/>
        <v>7</v>
      </c>
      <c r="F50" s="83">
        <f t="shared" si="12"/>
        <v>4</v>
      </c>
      <c r="G50" s="83">
        <f t="shared" si="12"/>
        <v>5</v>
      </c>
      <c r="H50" s="83">
        <f t="shared" si="12"/>
        <v>6</v>
      </c>
      <c r="I50" s="83">
        <f t="shared" si="12"/>
        <v>7</v>
      </c>
      <c r="J50" s="84">
        <f t="shared" si="12"/>
        <v>3</v>
      </c>
      <c r="K50" s="13">
        <f>IF(ISNUMBER(FIND("Wins",K51)), 2, IF(ISNUMBER(FIND("Tie",K51)), 1, 0))</f>
        <v>0</v>
      </c>
    </row>
    <row r="51" spans="1:27" ht="13.5" thickBot="1" x14ac:dyDescent="0.25">
      <c r="A51" s="31"/>
      <c r="B51" s="19">
        <f>IF(AND(ISNUMBER(B44),ISNUMBER(B50)),IF(B50&lt;B44, 0+1, (IF(B50&gt;B44, 0-1, 0)))," ")</f>
        <v>0</v>
      </c>
      <c r="C51" s="9">
        <f t="shared" ref="C51:J51" si="13">IF(AND(ISNUMBER(C44),ISNUMBER(C50)),IF(C50&lt;C44, +B51+1, (IF(C50&gt;C44, +B51-1, +B51)))," ")</f>
        <v>0</v>
      </c>
      <c r="D51" s="9">
        <f t="shared" si="13"/>
        <v>-1</v>
      </c>
      <c r="E51" s="9">
        <f t="shared" si="13"/>
        <v>-2</v>
      </c>
      <c r="F51" s="9">
        <f t="shared" si="13"/>
        <v>-1</v>
      </c>
      <c r="G51" s="9">
        <f t="shared" si="13"/>
        <v>-1</v>
      </c>
      <c r="H51" s="9">
        <f t="shared" si="13"/>
        <v>-2</v>
      </c>
      <c r="I51" s="9">
        <f t="shared" si="13"/>
        <v>-3</v>
      </c>
      <c r="J51" s="10">
        <f t="shared" si="13"/>
        <v>-3</v>
      </c>
      <c r="K51" s="14" t="str">
        <f>IF(ISNUMBER(J51),IF(F51&gt;4,"Wins " &amp; F51 &amp; " &amp; 4",IF(G51&gt;3,"Wins " &amp; G51 &amp; " &amp; 3",IF(H51&gt;2,"Wins " &amp; H51 &amp; " &amp; 2",IF(I51&gt;1,"Wins " &amp; I51 &amp; " &amp; 1",IF(J51&gt;J45,"Wins " &amp; J51 &amp; " Up",IF(J51&lt;J45,"Loss","Tie"))))))," ")</f>
        <v>Loss</v>
      </c>
    </row>
    <row r="53" spans="1:27" s="16" customFormat="1" ht="13.5" thickBot="1" x14ac:dyDescent="0.25">
      <c r="A53" s="24" t="s">
        <v>9</v>
      </c>
      <c r="B53" s="2"/>
      <c r="C53" s="2"/>
      <c r="D53" s="2"/>
      <c r="E53" s="2"/>
      <c r="F53" s="2"/>
      <c r="G53" s="2"/>
      <c r="H53" s="2"/>
      <c r="I53" s="2"/>
      <c r="J53" s="2"/>
      <c r="K53" s="2"/>
      <c r="N53" s="15"/>
      <c r="O53" s="15"/>
      <c r="P53" s="59"/>
      <c r="Q53" s="59"/>
      <c r="R53" s="59"/>
      <c r="S53" s="59"/>
      <c r="T53" s="59"/>
      <c r="W53" s="15"/>
      <c r="X53" s="15"/>
      <c r="Y53" s="15"/>
      <c r="Z53" s="15"/>
      <c r="AA53" s="15"/>
    </row>
    <row r="54" spans="1:27" s="16" customFormat="1" x14ac:dyDescent="0.2">
      <c r="A54" s="29" t="str">
        <f t="shared" ref="A54:J54" si="14">A10</f>
        <v>Hunter</v>
      </c>
      <c r="B54" s="17">
        <f t="shared" si="14"/>
        <v>5</v>
      </c>
      <c r="C54" s="3">
        <f t="shared" si="14"/>
        <v>4</v>
      </c>
      <c r="D54" s="3">
        <f t="shared" si="14"/>
        <v>5</v>
      </c>
      <c r="E54" s="3">
        <f t="shared" si="14"/>
        <v>6</v>
      </c>
      <c r="F54" s="3">
        <f t="shared" si="14"/>
        <v>4</v>
      </c>
      <c r="G54" s="3">
        <f t="shared" si="14"/>
        <v>7</v>
      </c>
      <c r="H54" s="3">
        <f t="shared" si="14"/>
        <v>7</v>
      </c>
      <c r="I54" s="3">
        <f t="shared" si="14"/>
        <v>8</v>
      </c>
      <c r="J54" s="4">
        <f t="shared" si="14"/>
        <v>4</v>
      </c>
      <c r="K54" s="12">
        <f>SUM(B54:J54)</f>
        <v>50</v>
      </c>
      <c r="N54" s="15"/>
      <c r="O54" s="15"/>
      <c r="P54" s="59"/>
      <c r="Q54" s="59"/>
      <c r="R54" s="59"/>
      <c r="S54" s="59"/>
      <c r="T54" s="59"/>
      <c r="W54" s="15"/>
      <c r="X54" s="15"/>
      <c r="Y54" s="15"/>
      <c r="Z54" s="15"/>
      <c r="AA54" s="15"/>
    </row>
    <row r="55" spans="1:27" s="16" customFormat="1" x14ac:dyDescent="0.2">
      <c r="A55" s="30">
        <f>A11</f>
        <v>7</v>
      </c>
      <c r="B55" s="18">
        <f>IF(AND(ISNUMBER($A55),ISNUMBER($A61)),IF((RANK(B$4,$B$4:$J$4,1))&lt;=($A55-$A61),1,0),"")</f>
        <v>0</v>
      </c>
      <c r="C55" s="6">
        <f t="shared" ref="C55:J55" si="15">IF(AND(ISNUMBER($A55),ISNUMBER($A61)),IF((RANK(C$4,$B$4:$J$4,1))&lt;=($A55-$A61),1,0),"")</f>
        <v>0</v>
      </c>
      <c r="D55" s="6">
        <f t="shared" si="15"/>
        <v>0</v>
      </c>
      <c r="E55" s="6">
        <f t="shared" si="15"/>
        <v>0</v>
      </c>
      <c r="F55" s="6">
        <f t="shared" si="15"/>
        <v>0</v>
      </c>
      <c r="G55" s="6">
        <f t="shared" si="15"/>
        <v>0</v>
      </c>
      <c r="H55" s="6">
        <f t="shared" si="15"/>
        <v>0</v>
      </c>
      <c r="I55" s="6">
        <f t="shared" si="15"/>
        <v>0</v>
      </c>
      <c r="J55" s="7">
        <f t="shared" si="15"/>
        <v>0</v>
      </c>
      <c r="K55" s="13">
        <f>SUM(B55:J55)</f>
        <v>0</v>
      </c>
      <c r="N55" s="15"/>
      <c r="O55" s="15"/>
      <c r="P55" s="59"/>
      <c r="Q55" s="59"/>
      <c r="R55" s="59"/>
      <c r="S55" s="59"/>
      <c r="T55" s="59"/>
      <c r="W55" s="15"/>
      <c r="X55" s="15"/>
      <c r="Y55" s="15"/>
      <c r="Z55" s="15"/>
      <c r="AA55" s="15"/>
    </row>
    <row r="56" spans="1:27" s="16" customFormat="1" x14ac:dyDescent="0.2">
      <c r="A56" s="30">
        <f>IF((A55-A61)&gt;9,(A55-A61-9),0)</f>
        <v>0</v>
      </c>
      <c r="B56" s="18">
        <f>IF(AND(ISNUMBER($A56),ISNUMBER($A62)),IF((RANK(B$4,$B$4:$J$4,1))&lt;=($A56-$A62),1,0),"")</f>
        <v>0</v>
      </c>
      <c r="C56" s="6">
        <f t="shared" ref="C56:J56" si="16">IF(AND(ISNUMBER($A56),ISNUMBER($A62)),IF((RANK(C$4,$B$4:$J$4,1))&lt;=($A56-$A62),1,0),"")</f>
        <v>0</v>
      </c>
      <c r="D56" s="6">
        <f t="shared" si="16"/>
        <v>0</v>
      </c>
      <c r="E56" s="6">
        <f t="shared" si="16"/>
        <v>0</v>
      </c>
      <c r="F56" s="6">
        <f t="shared" si="16"/>
        <v>0</v>
      </c>
      <c r="G56" s="6">
        <f t="shared" si="16"/>
        <v>0</v>
      </c>
      <c r="H56" s="6">
        <f t="shared" si="16"/>
        <v>0</v>
      </c>
      <c r="I56" s="6">
        <f t="shared" si="16"/>
        <v>0</v>
      </c>
      <c r="J56" s="7">
        <f t="shared" si="16"/>
        <v>0</v>
      </c>
      <c r="K56" s="13">
        <f>SUM(B56:J56)</f>
        <v>0</v>
      </c>
      <c r="N56" s="15"/>
      <c r="O56" s="15"/>
      <c r="P56" s="59"/>
      <c r="Q56" s="59"/>
      <c r="R56" s="59"/>
      <c r="S56" s="59"/>
      <c r="T56" s="59"/>
      <c r="W56" s="15"/>
      <c r="X56" s="15"/>
      <c r="Y56" s="15"/>
      <c r="Z56" s="15"/>
      <c r="AA56" s="15"/>
    </row>
    <row r="57" spans="1:27" s="16" customFormat="1" x14ac:dyDescent="0.2">
      <c r="A57" s="30"/>
      <c r="B57" s="82">
        <f t="shared" ref="B57:J57" si="17">IF(AND(ISNUMBER(B54),ISNUMBER(B55)),B54-B55-B56," ")</f>
        <v>5</v>
      </c>
      <c r="C57" s="83">
        <f t="shared" si="17"/>
        <v>4</v>
      </c>
      <c r="D57" s="83">
        <f t="shared" si="17"/>
        <v>5</v>
      </c>
      <c r="E57" s="83">
        <f t="shared" si="17"/>
        <v>6</v>
      </c>
      <c r="F57" s="83">
        <f t="shared" si="17"/>
        <v>4</v>
      </c>
      <c r="G57" s="83">
        <f t="shared" si="17"/>
        <v>7</v>
      </c>
      <c r="H57" s="83">
        <f t="shared" si="17"/>
        <v>7</v>
      </c>
      <c r="I57" s="83">
        <f t="shared" si="17"/>
        <v>8</v>
      </c>
      <c r="J57" s="84">
        <f t="shared" si="17"/>
        <v>4</v>
      </c>
      <c r="K57" s="13">
        <f>IF(ISNUMBER(FIND("Wins",K58)), 2, IF(ISNUMBER(FIND("Tie",K58)), 1, 0))</f>
        <v>2</v>
      </c>
      <c r="N57" s="15"/>
      <c r="O57" s="15"/>
      <c r="P57" s="59"/>
      <c r="Q57" s="59"/>
      <c r="R57" s="59"/>
      <c r="S57" s="59"/>
      <c r="T57" s="59"/>
      <c r="W57" s="15"/>
      <c r="X57" s="15"/>
      <c r="Y57" s="15"/>
      <c r="Z57" s="15"/>
      <c r="AA57" s="15"/>
    </row>
    <row r="58" spans="1:27" s="16" customFormat="1" ht="13.5" thickBot="1" x14ac:dyDescent="0.25">
      <c r="A58" s="31"/>
      <c r="B58" s="19">
        <f>IF(AND(ISNUMBER(B57),ISNUMBER(B63)),IF(B57&lt;B63, 0+1, (IF(B57&gt;B63, 0-1, 0)))," ")</f>
        <v>1</v>
      </c>
      <c r="C58" s="9">
        <f t="shared" ref="C58:J58" si="18">IF(AND(ISNUMBER(C57),ISNUMBER(C63)),IF(C57&lt;C63, +B58+1, (IF(C57&gt;C63, +B58-1, +B58)))," ")</f>
        <v>1</v>
      </c>
      <c r="D58" s="9">
        <f t="shared" si="18"/>
        <v>0</v>
      </c>
      <c r="E58" s="9">
        <f t="shared" si="18"/>
        <v>1</v>
      </c>
      <c r="F58" s="9">
        <f t="shared" si="18"/>
        <v>0</v>
      </c>
      <c r="G58" s="9">
        <f t="shared" si="18"/>
        <v>1</v>
      </c>
      <c r="H58" s="9">
        <f t="shared" si="18"/>
        <v>1</v>
      </c>
      <c r="I58" s="9">
        <f t="shared" si="18"/>
        <v>0</v>
      </c>
      <c r="J58" s="10">
        <f t="shared" si="18"/>
        <v>1</v>
      </c>
      <c r="K58" s="14" t="str">
        <f>IF(ISNUMBER(J58),IF(F58&gt;4,"Wins " &amp; F58 &amp; " &amp; 4",IF(G58&gt;3,"Wins " &amp; G58 &amp; " &amp; 3",IF(H58&gt;2,"Wins " &amp; H58 &amp; " &amp; 2",IF(I58&gt;1,"Wins " &amp; I58 &amp; " &amp; 1",IF(J58&gt;J64,"Wins " &amp; J58 &amp; " Up",IF(J58&lt;J64,"Loss","Tie"))))))," ")</f>
        <v>Wins 1 Up</v>
      </c>
      <c r="N58" s="15"/>
      <c r="O58" s="15"/>
      <c r="P58" s="59"/>
      <c r="Q58" s="59"/>
      <c r="R58" s="59"/>
      <c r="S58" s="59"/>
      <c r="T58" s="59"/>
      <c r="W58" s="15"/>
      <c r="X58" s="15"/>
      <c r="Y58" s="15"/>
      <c r="Z58" s="15"/>
      <c r="AA58" s="15"/>
    </row>
    <row r="59" spans="1:27" s="16" customFormat="1" ht="13.5" thickBot="1" x14ac:dyDescent="0.25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N59" s="15"/>
      <c r="O59" s="15"/>
      <c r="P59" s="59"/>
      <c r="Q59" s="59"/>
      <c r="R59" s="59"/>
      <c r="S59" s="59"/>
      <c r="T59" s="59"/>
      <c r="W59" s="15"/>
      <c r="X59" s="15"/>
      <c r="Y59" s="15"/>
      <c r="Z59" s="15"/>
      <c r="AA59" s="15"/>
    </row>
    <row r="60" spans="1:27" s="16" customFormat="1" x14ac:dyDescent="0.2">
      <c r="A60" s="29" t="str">
        <f t="shared" ref="A60:J60" si="19">A12</f>
        <v>Chris</v>
      </c>
      <c r="B60" s="17">
        <f t="shared" si="19"/>
        <v>7</v>
      </c>
      <c r="C60" s="3">
        <f t="shared" si="19"/>
        <v>5</v>
      </c>
      <c r="D60" s="3">
        <f t="shared" si="19"/>
        <v>5</v>
      </c>
      <c r="E60" s="3">
        <f t="shared" si="19"/>
        <v>9</v>
      </c>
      <c r="F60" s="3">
        <f t="shared" si="19"/>
        <v>3</v>
      </c>
      <c r="G60" s="3">
        <f t="shared" si="19"/>
        <v>9</v>
      </c>
      <c r="H60" s="3">
        <f t="shared" si="19"/>
        <v>8</v>
      </c>
      <c r="I60" s="3">
        <f t="shared" si="19"/>
        <v>6</v>
      </c>
      <c r="J60" s="4">
        <f t="shared" si="19"/>
        <v>8</v>
      </c>
      <c r="K60" s="12">
        <f>SUM(B60:J60)</f>
        <v>60</v>
      </c>
      <c r="N60" s="15"/>
      <c r="O60" s="15"/>
      <c r="P60" s="59"/>
      <c r="Q60" s="59"/>
      <c r="R60" s="59"/>
      <c r="S60" s="59"/>
      <c r="T60" s="59"/>
      <c r="W60" s="15"/>
      <c r="X60" s="15"/>
      <c r="Y60" s="15"/>
      <c r="Z60" s="15"/>
      <c r="AA60" s="15"/>
    </row>
    <row r="61" spans="1:27" s="16" customFormat="1" x14ac:dyDescent="0.2">
      <c r="A61" s="30">
        <f>A13</f>
        <v>15</v>
      </c>
      <c r="B61" s="18">
        <f>IF(AND(ISNUMBER($A55),ISNUMBER($A61)),IF((RANK(B$4,$B$4:$J$4,1))&lt;=($A61-$A55),1,0),"")</f>
        <v>1</v>
      </c>
      <c r="C61" s="6">
        <f t="shared" ref="C61:J61" si="20">IF(AND(ISNUMBER($A55),ISNUMBER($A61)),IF((RANK(C$4,$B$4:$J$4,1))&lt;=($A61-$A55),1,0),"")</f>
        <v>1</v>
      </c>
      <c r="D61" s="6">
        <f t="shared" si="20"/>
        <v>1</v>
      </c>
      <c r="E61" s="6">
        <f t="shared" si="20"/>
        <v>1</v>
      </c>
      <c r="F61" s="6">
        <f t="shared" si="20"/>
        <v>0</v>
      </c>
      <c r="G61" s="6">
        <f t="shared" si="20"/>
        <v>1</v>
      </c>
      <c r="H61" s="6">
        <f t="shared" si="20"/>
        <v>1</v>
      </c>
      <c r="I61" s="6">
        <f t="shared" si="20"/>
        <v>1</v>
      </c>
      <c r="J61" s="7">
        <f t="shared" si="20"/>
        <v>1</v>
      </c>
      <c r="K61" s="13">
        <f>SUM(B61:J61)</f>
        <v>8</v>
      </c>
      <c r="N61" s="15"/>
      <c r="O61" s="15"/>
      <c r="P61" s="59"/>
      <c r="Q61" s="59"/>
      <c r="R61" s="59"/>
      <c r="S61" s="59"/>
      <c r="T61" s="59"/>
      <c r="W61" s="15"/>
      <c r="X61" s="15"/>
      <c r="Y61" s="15"/>
      <c r="Z61" s="15"/>
      <c r="AA61" s="15"/>
    </row>
    <row r="62" spans="1:27" s="16" customFormat="1" x14ac:dyDescent="0.2">
      <c r="A62" s="30">
        <f>IF((A61-A55)&gt;9,(A61-A55-9),0)</f>
        <v>0</v>
      </c>
      <c r="B62" s="18">
        <f>IF(AND(ISNUMBER($A56),ISNUMBER($A62)),IF((RANK(B$4,$B$4:$J$4,1))&lt;=($A62-$A56),1,0),"")</f>
        <v>0</v>
      </c>
      <c r="C62" s="6">
        <f t="shared" ref="C62:J62" si="21">IF(AND(ISNUMBER($A56),ISNUMBER($A62)),IF((RANK(C$4,$B$4:$J$4,1))&lt;=($A62-$A56),1,0),"")</f>
        <v>0</v>
      </c>
      <c r="D62" s="6">
        <f t="shared" si="21"/>
        <v>0</v>
      </c>
      <c r="E62" s="6">
        <f t="shared" si="21"/>
        <v>0</v>
      </c>
      <c r="F62" s="6">
        <f t="shared" si="21"/>
        <v>0</v>
      </c>
      <c r="G62" s="6">
        <f t="shared" si="21"/>
        <v>0</v>
      </c>
      <c r="H62" s="6">
        <f t="shared" si="21"/>
        <v>0</v>
      </c>
      <c r="I62" s="6">
        <f t="shared" si="21"/>
        <v>0</v>
      </c>
      <c r="J62" s="7">
        <f t="shared" si="21"/>
        <v>0</v>
      </c>
      <c r="K62" s="13">
        <f>SUM(B62:J62)</f>
        <v>0</v>
      </c>
      <c r="N62" s="15"/>
      <c r="O62" s="15"/>
      <c r="P62" s="59"/>
      <c r="Q62" s="59"/>
      <c r="R62" s="59"/>
      <c r="S62" s="59"/>
      <c r="T62" s="59"/>
      <c r="W62" s="15"/>
      <c r="X62" s="15"/>
      <c r="Y62" s="15"/>
      <c r="Z62" s="15"/>
      <c r="AA62" s="15"/>
    </row>
    <row r="63" spans="1:27" s="16" customFormat="1" x14ac:dyDescent="0.2">
      <c r="A63" s="30"/>
      <c r="B63" s="82">
        <f t="shared" ref="B63:J63" si="22">IF(AND(ISNUMBER(B60),ISNUMBER(B61)),B60-B61-B62," ")</f>
        <v>6</v>
      </c>
      <c r="C63" s="83">
        <f t="shared" si="22"/>
        <v>4</v>
      </c>
      <c r="D63" s="83">
        <f t="shared" si="22"/>
        <v>4</v>
      </c>
      <c r="E63" s="83">
        <f t="shared" si="22"/>
        <v>8</v>
      </c>
      <c r="F63" s="83">
        <f t="shared" si="22"/>
        <v>3</v>
      </c>
      <c r="G63" s="83">
        <f t="shared" si="22"/>
        <v>8</v>
      </c>
      <c r="H63" s="83">
        <f t="shared" si="22"/>
        <v>7</v>
      </c>
      <c r="I63" s="83">
        <f t="shared" si="22"/>
        <v>5</v>
      </c>
      <c r="J63" s="84">
        <f t="shared" si="22"/>
        <v>7</v>
      </c>
      <c r="K63" s="13">
        <f>IF(ISNUMBER(FIND("Wins",K64)), 2, IF(ISNUMBER(FIND("Tie",K64)), 1, 0))</f>
        <v>0</v>
      </c>
      <c r="N63" s="15"/>
      <c r="O63" s="15"/>
      <c r="P63" s="59"/>
      <c r="Q63" s="59"/>
      <c r="R63" s="59"/>
      <c r="S63" s="59"/>
      <c r="T63" s="59"/>
      <c r="W63" s="15"/>
      <c r="X63" s="15"/>
      <c r="Y63" s="15"/>
      <c r="Z63" s="15"/>
      <c r="AA63" s="15"/>
    </row>
    <row r="64" spans="1:27" s="16" customFormat="1" ht="13.5" thickBot="1" x14ac:dyDescent="0.25">
      <c r="A64" s="31"/>
      <c r="B64" s="19">
        <f>IF(AND(ISNUMBER(B57),ISNUMBER(B63)),IF(B63&lt;B57, 0+1, (IF(B63&gt;B57, 0-1, 0)))," ")</f>
        <v>-1</v>
      </c>
      <c r="C64" s="9">
        <f t="shared" ref="C64:J64" si="23">IF(AND(ISNUMBER(C57),ISNUMBER(C63)),IF(C63&lt;C57, +B64+1, (IF(C63&gt;C57, +B64-1, +B64)))," ")</f>
        <v>-1</v>
      </c>
      <c r="D64" s="9">
        <f t="shared" si="23"/>
        <v>0</v>
      </c>
      <c r="E64" s="9">
        <f t="shared" si="23"/>
        <v>-1</v>
      </c>
      <c r="F64" s="9">
        <f t="shared" si="23"/>
        <v>0</v>
      </c>
      <c r="G64" s="9">
        <f t="shared" si="23"/>
        <v>-1</v>
      </c>
      <c r="H64" s="9">
        <f t="shared" si="23"/>
        <v>-1</v>
      </c>
      <c r="I64" s="9">
        <f t="shared" si="23"/>
        <v>0</v>
      </c>
      <c r="J64" s="10">
        <f t="shared" si="23"/>
        <v>-1</v>
      </c>
      <c r="K64" s="14" t="str">
        <f>IF(ISNUMBER(J64),IF(F64&gt;4,"Wins " &amp; F64 &amp; " &amp; 4",IF(G64&gt;3,"Wins " &amp; G64 &amp; " &amp; 3",IF(H64&gt;2,"Wins " &amp; H64 &amp; " &amp; 2",IF(I64&gt;1,"Wins " &amp; I64 &amp; " &amp; 1",IF(J64&gt;J58,"Wins " &amp; J64 &amp; " Up",IF(J64&lt;J58,"Loss","Tie"))))))," ")</f>
        <v>Loss</v>
      </c>
      <c r="N64" s="15"/>
      <c r="O64" s="15"/>
      <c r="P64" s="59"/>
      <c r="Q64" s="59"/>
      <c r="R64" s="59"/>
      <c r="S64" s="59"/>
      <c r="T64" s="59"/>
      <c r="W64" s="15"/>
      <c r="X64" s="15"/>
      <c r="Y64" s="15"/>
      <c r="Z64" s="15"/>
      <c r="AA64" s="15"/>
    </row>
    <row r="65" spans="1:27" s="16" customFormat="1" x14ac:dyDescent="0.2">
      <c r="A65" s="25"/>
      <c r="B65" s="15"/>
      <c r="C65" s="15"/>
      <c r="D65" s="15"/>
      <c r="E65" s="15"/>
      <c r="F65" s="15"/>
      <c r="G65" s="15"/>
      <c r="H65" s="15"/>
      <c r="I65" s="15"/>
      <c r="J65" s="15"/>
      <c r="K65" s="15"/>
      <c r="N65" s="15"/>
      <c r="O65" s="15"/>
      <c r="P65" s="59"/>
      <c r="Q65" s="59"/>
      <c r="R65" s="59"/>
      <c r="S65" s="59"/>
      <c r="T65" s="59"/>
      <c r="W65" s="15"/>
      <c r="X65" s="15"/>
      <c r="Y65" s="15"/>
      <c r="Z65" s="15"/>
      <c r="AA65" s="15"/>
    </row>
    <row r="66" spans="1:27" s="16" customFormat="1" ht="13.5" thickBot="1" x14ac:dyDescent="0.25">
      <c r="A66" s="24" t="s">
        <v>10</v>
      </c>
      <c r="B66" s="2"/>
      <c r="C66" s="2"/>
      <c r="D66" s="2"/>
      <c r="E66" s="2"/>
      <c r="F66" s="2"/>
      <c r="G66" s="2"/>
      <c r="H66" s="2"/>
      <c r="I66" s="2"/>
      <c r="J66" s="2"/>
      <c r="K66" s="2"/>
      <c r="N66" s="15"/>
      <c r="O66" s="15"/>
      <c r="P66" s="59"/>
      <c r="Q66" s="59"/>
      <c r="R66" s="59"/>
      <c r="S66" s="59"/>
      <c r="T66" s="59"/>
      <c r="W66" s="15"/>
      <c r="X66" s="15"/>
      <c r="Y66" s="15"/>
      <c r="Z66" s="15"/>
      <c r="AA66" s="15"/>
    </row>
    <row r="67" spans="1:27" s="16" customFormat="1" x14ac:dyDescent="0.2">
      <c r="A67" s="79" t="str">
        <f t="shared" ref="A67:J67" si="24">A14</f>
        <v>Bob</v>
      </c>
      <c r="B67" s="17">
        <f t="shared" si="24"/>
        <v>6</v>
      </c>
      <c r="C67" s="3">
        <f t="shared" si="24"/>
        <v>4</v>
      </c>
      <c r="D67" s="3">
        <f t="shared" si="24"/>
        <v>6</v>
      </c>
      <c r="E67" s="3">
        <f t="shared" si="24"/>
        <v>6</v>
      </c>
      <c r="F67" s="3">
        <f t="shared" si="24"/>
        <v>5</v>
      </c>
      <c r="G67" s="3">
        <f t="shared" si="24"/>
        <v>5</v>
      </c>
      <c r="H67" s="3">
        <f t="shared" si="24"/>
        <v>6</v>
      </c>
      <c r="I67" s="3">
        <f t="shared" si="24"/>
        <v>5</v>
      </c>
      <c r="J67" s="4">
        <f t="shared" si="24"/>
        <v>4</v>
      </c>
      <c r="K67" s="12">
        <f>SUM(B67:J67)</f>
        <v>47</v>
      </c>
      <c r="N67" s="15"/>
      <c r="O67" s="15"/>
      <c r="P67" s="59"/>
      <c r="Q67" s="59"/>
      <c r="R67" s="59"/>
      <c r="S67" s="59"/>
      <c r="T67" s="59"/>
      <c r="W67" s="15"/>
      <c r="X67" s="15"/>
      <c r="Y67" s="15"/>
      <c r="Z67" s="15"/>
      <c r="AA67" s="15"/>
    </row>
    <row r="68" spans="1:27" s="16" customFormat="1" x14ac:dyDescent="0.2">
      <c r="A68" s="80">
        <f>A15</f>
        <v>10</v>
      </c>
      <c r="B68" s="18">
        <f>IF(AND(ISNUMBER($A68),ISNUMBER($A74)),IF((RANK(B$4,$B$4:$J$4,1))&lt;=($A68-$A74),1,0),"")</f>
        <v>1</v>
      </c>
      <c r="C68" s="6">
        <f t="shared" ref="C68:J68" si="25">IF(AND(ISNUMBER($A68),ISNUMBER($A74)),IF((RANK(C$4,$B$4:$J$4,1))&lt;=($A68-$A74),1,0),"")</f>
        <v>0</v>
      </c>
      <c r="D68" s="6">
        <f t="shared" si="25"/>
        <v>1</v>
      </c>
      <c r="E68" s="6">
        <f t="shared" si="25"/>
        <v>1</v>
      </c>
      <c r="F68" s="6">
        <f t="shared" si="25"/>
        <v>0</v>
      </c>
      <c r="G68" s="6">
        <f t="shared" si="25"/>
        <v>1</v>
      </c>
      <c r="H68" s="6">
        <f t="shared" si="25"/>
        <v>0</v>
      </c>
      <c r="I68" s="6">
        <f t="shared" si="25"/>
        <v>1</v>
      </c>
      <c r="J68" s="7">
        <f t="shared" si="25"/>
        <v>1</v>
      </c>
      <c r="K68" s="13">
        <f>SUM(B68:J68)</f>
        <v>6</v>
      </c>
      <c r="N68" s="15"/>
      <c r="O68" s="15"/>
      <c r="P68" s="59"/>
      <c r="Q68" s="59"/>
      <c r="R68" s="59"/>
      <c r="S68" s="59"/>
      <c r="T68" s="59"/>
      <c r="W68" s="15"/>
      <c r="X68" s="15"/>
      <c r="Y68" s="15"/>
      <c r="Z68" s="15"/>
      <c r="AA68" s="15"/>
    </row>
    <row r="69" spans="1:27" s="16" customFormat="1" x14ac:dyDescent="0.2">
      <c r="A69" s="80">
        <f>IF((A68-A74)&gt;9,(A68-A74-9),0)</f>
        <v>0</v>
      </c>
      <c r="B69" s="18">
        <f>IF(AND(ISNUMBER($A69),ISNUMBER($A75)),IF((RANK(B$4,$B$4:$J$4,1))&lt;=($A69-$A75),1,0),"")</f>
        <v>0</v>
      </c>
      <c r="C69" s="6">
        <f t="shared" ref="C69:J69" si="26">IF(AND(ISNUMBER($A69),ISNUMBER($A75)),IF((RANK(C$4,$B$4:$J$4,1))&lt;=($A69-$A75),1,0),"")</f>
        <v>0</v>
      </c>
      <c r="D69" s="6">
        <f t="shared" si="26"/>
        <v>0</v>
      </c>
      <c r="E69" s="6">
        <f t="shared" si="26"/>
        <v>0</v>
      </c>
      <c r="F69" s="6">
        <f t="shared" si="26"/>
        <v>0</v>
      </c>
      <c r="G69" s="6">
        <f t="shared" si="26"/>
        <v>0</v>
      </c>
      <c r="H69" s="6">
        <f t="shared" si="26"/>
        <v>0</v>
      </c>
      <c r="I69" s="6">
        <f t="shared" si="26"/>
        <v>0</v>
      </c>
      <c r="J69" s="7">
        <f t="shared" si="26"/>
        <v>0</v>
      </c>
      <c r="K69" s="13">
        <f>SUM(B69:J69)</f>
        <v>0</v>
      </c>
      <c r="N69" s="15"/>
      <c r="O69" s="15"/>
      <c r="P69" s="59"/>
      <c r="Q69" s="59"/>
      <c r="R69" s="59"/>
      <c r="S69" s="59"/>
      <c r="T69" s="59"/>
      <c r="W69" s="15"/>
      <c r="X69" s="15"/>
      <c r="Y69" s="15"/>
      <c r="Z69" s="15"/>
      <c r="AA69" s="15"/>
    </row>
    <row r="70" spans="1:27" s="16" customFormat="1" x14ac:dyDescent="0.2">
      <c r="A70" s="80"/>
      <c r="B70" s="82">
        <f t="shared" ref="B70:J70" si="27">IF(AND(ISNUMBER(B67),ISNUMBER(B68)),B67-B68-B69," ")</f>
        <v>5</v>
      </c>
      <c r="C70" s="83">
        <f t="shared" si="27"/>
        <v>4</v>
      </c>
      <c r="D70" s="83">
        <f t="shared" si="27"/>
        <v>5</v>
      </c>
      <c r="E70" s="83">
        <f t="shared" si="27"/>
        <v>5</v>
      </c>
      <c r="F70" s="83">
        <f t="shared" si="27"/>
        <v>5</v>
      </c>
      <c r="G70" s="83">
        <f t="shared" si="27"/>
        <v>4</v>
      </c>
      <c r="H70" s="83">
        <f t="shared" si="27"/>
        <v>6</v>
      </c>
      <c r="I70" s="83">
        <f t="shared" si="27"/>
        <v>4</v>
      </c>
      <c r="J70" s="84">
        <f t="shared" si="27"/>
        <v>3</v>
      </c>
      <c r="K70" s="13">
        <f>IF(ISNUMBER(FIND("Wins",K71)), 2, IF(ISNUMBER(FIND("Tie",K71)), 1, 0))</f>
        <v>2</v>
      </c>
      <c r="N70" s="15"/>
      <c r="O70" s="15"/>
      <c r="P70" s="59"/>
      <c r="Q70" s="59"/>
      <c r="R70" s="59"/>
      <c r="S70" s="59"/>
      <c r="T70" s="59"/>
      <c r="W70" s="15"/>
      <c r="X70" s="15"/>
      <c r="Y70" s="15"/>
      <c r="Z70" s="15"/>
      <c r="AA70" s="15"/>
    </row>
    <row r="71" spans="1:27" s="16" customFormat="1" ht="13.5" thickBot="1" x14ac:dyDescent="0.25">
      <c r="A71" s="81"/>
      <c r="B71" s="19">
        <f>IF(AND(ISNUMBER(B70),ISNUMBER(B76)),IF(B70&lt;B76, 0+1, (IF(B70&gt;B76, 0-1, 0)))," ")</f>
        <v>-1</v>
      </c>
      <c r="C71" s="9">
        <f t="shared" ref="C71:J71" si="28">IF(AND(ISNUMBER(C70),ISNUMBER(C76)),IF(C70&lt;C76, +B71+1, (IF(C70&gt;C76, +B71-1, +B71)))," ")</f>
        <v>0</v>
      </c>
      <c r="D71" s="9">
        <f t="shared" si="28"/>
        <v>0</v>
      </c>
      <c r="E71" s="9">
        <f t="shared" si="28"/>
        <v>1</v>
      </c>
      <c r="F71" s="9">
        <f t="shared" si="28"/>
        <v>2</v>
      </c>
      <c r="G71" s="9">
        <f t="shared" si="28"/>
        <v>2</v>
      </c>
      <c r="H71" s="9">
        <f t="shared" si="28"/>
        <v>1</v>
      </c>
      <c r="I71" s="9">
        <f t="shared" si="28"/>
        <v>2</v>
      </c>
      <c r="J71" s="10">
        <f t="shared" si="28"/>
        <v>3</v>
      </c>
      <c r="K71" s="14" t="str">
        <f>IF(ISNUMBER(J71),IF(F71&gt;4,"Wins " &amp; F71 &amp; " &amp; 4",IF(G71&gt;3,"Wins " &amp; G71 &amp; " &amp; 3",IF(H71&gt;2,"Wins " &amp; H71 &amp; " &amp; 2",IF(I71&gt;1,"Wins " &amp; I71 &amp; " &amp; 1",IF(J71&gt;J77,"Wins " &amp; J71 &amp; " Up",IF(J71&lt;J77,"Loss","Tie"))))))," ")</f>
        <v>Wins 2 &amp; 1</v>
      </c>
      <c r="N71" s="15"/>
      <c r="O71" s="15"/>
      <c r="P71" s="59"/>
      <c r="Q71" s="59"/>
      <c r="R71" s="59"/>
      <c r="S71" s="59"/>
      <c r="T71" s="59"/>
      <c r="W71" s="15"/>
      <c r="X71" s="15"/>
      <c r="Y71" s="15"/>
      <c r="Z71" s="15"/>
      <c r="AA71" s="15"/>
    </row>
    <row r="72" spans="1:27" s="16" customFormat="1" ht="13.5" thickBot="1" x14ac:dyDescent="0.25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N72" s="15"/>
      <c r="O72" s="15"/>
      <c r="P72" s="59"/>
      <c r="Q72" s="59"/>
      <c r="R72" s="59"/>
      <c r="S72" s="59"/>
      <c r="T72" s="59"/>
      <c r="W72" s="15"/>
      <c r="X72" s="15"/>
      <c r="Y72" s="15"/>
      <c r="Z72" s="15"/>
      <c r="AA72" s="15"/>
    </row>
    <row r="73" spans="1:27" s="16" customFormat="1" x14ac:dyDescent="0.2">
      <c r="A73" s="79" t="str">
        <f t="shared" ref="A73:J73" si="29">A16</f>
        <v>Dave</v>
      </c>
      <c r="B73" s="17">
        <f t="shared" si="29"/>
        <v>4</v>
      </c>
      <c r="C73" s="3">
        <f t="shared" si="29"/>
        <v>5</v>
      </c>
      <c r="D73" s="3">
        <f t="shared" si="29"/>
        <v>5</v>
      </c>
      <c r="E73" s="3">
        <f t="shared" si="29"/>
        <v>7</v>
      </c>
      <c r="F73" s="3">
        <f t="shared" si="29"/>
        <v>6</v>
      </c>
      <c r="G73" s="3">
        <f t="shared" si="29"/>
        <v>4</v>
      </c>
      <c r="H73" s="3">
        <f t="shared" si="29"/>
        <v>4</v>
      </c>
      <c r="I73" s="3">
        <f t="shared" si="29"/>
        <v>5</v>
      </c>
      <c r="J73" s="4">
        <f t="shared" si="29"/>
        <v>4</v>
      </c>
      <c r="K73" s="12">
        <f>SUM(B73:J73)</f>
        <v>44</v>
      </c>
      <c r="N73" s="15"/>
      <c r="O73" s="15"/>
      <c r="P73" s="59"/>
      <c r="Q73" s="59"/>
      <c r="R73" s="59"/>
      <c r="S73" s="59"/>
      <c r="T73" s="59"/>
      <c r="W73" s="15"/>
      <c r="X73" s="15"/>
      <c r="Y73" s="15"/>
      <c r="Z73" s="15"/>
      <c r="AA73" s="15"/>
    </row>
    <row r="74" spans="1:27" s="16" customFormat="1" x14ac:dyDescent="0.2">
      <c r="A74" s="80">
        <f>A17</f>
        <v>5</v>
      </c>
      <c r="B74" s="18">
        <f>IF(AND(ISNUMBER($A68),ISNUMBER($A74)),IF((RANK(B$4,$B$4:$J$4,1))&lt;=($A74-$A68),1,0),"")</f>
        <v>0</v>
      </c>
      <c r="C74" s="6">
        <f t="shared" ref="C74:J74" si="30">IF(AND(ISNUMBER($A68),ISNUMBER($A74)),IF((RANK(C$4,$B$4:$J$4,1))&lt;=($A74-$A68),1,0),"")</f>
        <v>0</v>
      </c>
      <c r="D74" s="6">
        <f t="shared" si="30"/>
        <v>0</v>
      </c>
      <c r="E74" s="6">
        <f t="shared" si="30"/>
        <v>0</v>
      </c>
      <c r="F74" s="6">
        <f t="shared" si="30"/>
        <v>0</v>
      </c>
      <c r="G74" s="6">
        <f t="shared" si="30"/>
        <v>0</v>
      </c>
      <c r="H74" s="6">
        <f t="shared" si="30"/>
        <v>0</v>
      </c>
      <c r="I74" s="6">
        <f t="shared" si="30"/>
        <v>0</v>
      </c>
      <c r="J74" s="7">
        <f t="shared" si="30"/>
        <v>0</v>
      </c>
      <c r="K74" s="13">
        <f>SUM(B74:J74)</f>
        <v>0</v>
      </c>
      <c r="N74" s="15"/>
      <c r="O74" s="15"/>
      <c r="P74" s="59"/>
      <c r="Q74" s="59"/>
      <c r="R74" s="59"/>
      <c r="S74" s="59"/>
      <c r="T74" s="59"/>
      <c r="W74" s="15"/>
      <c r="X74" s="15"/>
      <c r="Y74" s="15"/>
      <c r="Z74" s="15"/>
      <c r="AA74" s="15"/>
    </row>
    <row r="75" spans="1:27" s="16" customFormat="1" x14ac:dyDescent="0.2">
      <c r="A75" s="80">
        <f>IF((A74-A68)&gt;9,(A74-A68-9),0)</f>
        <v>0</v>
      </c>
      <c r="B75" s="18">
        <f>IF(AND(ISNUMBER($A69),ISNUMBER($A75)),IF((RANK(B$4,$B$4:$J$4,1))&lt;=($A75-$A69),1,0),"")</f>
        <v>0</v>
      </c>
      <c r="C75" s="6">
        <f t="shared" ref="C75:J75" si="31">IF(AND(ISNUMBER($A69),ISNUMBER($A75)),IF((RANK(C$4,$B$4:$J$4,1))&lt;=($A75-$A69),1,0),"")</f>
        <v>0</v>
      </c>
      <c r="D75" s="6">
        <f t="shared" si="31"/>
        <v>0</v>
      </c>
      <c r="E75" s="6">
        <f t="shared" si="31"/>
        <v>0</v>
      </c>
      <c r="F75" s="6">
        <f t="shared" si="31"/>
        <v>0</v>
      </c>
      <c r="G75" s="6">
        <f t="shared" si="31"/>
        <v>0</v>
      </c>
      <c r="H75" s="6">
        <f t="shared" si="31"/>
        <v>0</v>
      </c>
      <c r="I75" s="6">
        <f t="shared" si="31"/>
        <v>0</v>
      </c>
      <c r="J75" s="7">
        <f t="shared" si="31"/>
        <v>0</v>
      </c>
      <c r="K75" s="13">
        <f>SUM(B75:J75)</f>
        <v>0</v>
      </c>
      <c r="N75" s="15"/>
      <c r="O75" s="15"/>
      <c r="P75" s="59"/>
      <c r="Q75" s="59"/>
      <c r="R75" s="59"/>
      <c r="S75" s="59"/>
      <c r="T75" s="59"/>
      <c r="W75" s="15"/>
      <c r="X75" s="15"/>
      <c r="Y75" s="15"/>
      <c r="Z75" s="15"/>
      <c r="AA75" s="15"/>
    </row>
    <row r="76" spans="1:27" s="16" customFormat="1" x14ac:dyDescent="0.2">
      <c r="A76" s="80"/>
      <c r="B76" s="82">
        <f t="shared" ref="B76:J76" si="32">IF(AND(ISNUMBER(B73),ISNUMBER(B74)),B73-B74-B75," ")</f>
        <v>4</v>
      </c>
      <c r="C76" s="83">
        <f t="shared" si="32"/>
        <v>5</v>
      </c>
      <c r="D76" s="83">
        <f t="shared" si="32"/>
        <v>5</v>
      </c>
      <c r="E76" s="83">
        <f t="shared" si="32"/>
        <v>7</v>
      </c>
      <c r="F76" s="83">
        <f t="shared" si="32"/>
        <v>6</v>
      </c>
      <c r="G76" s="83">
        <f t="shared" si="32"/>
        <v>4</v>
      </c>
      <c r="H76" s="83">
        <f t="shared" si="32"/>
        <v>4</v>
      </c>
      <c r="I76" s="83">
        <f t="shared" si="32"/>
        <v>5</v>
      </c>
      <c r="J76" s="84">
        <f t="shared" si="32"/>
        <v>4</v>
      </c>
      <c r="K76" s="13">
        <f>IF(ISNUMBER(FIND("Wins",K77)), 2, IF(ISNUMBER(FIND("Tie",K77)), 1, 0))</f>
        <v>0</v>
      </c>
      <c r="N76" s="15"/>
      <c r="O76" s="15"/>
      <c r="P76" s="59"/>
      <c r="Q76" s="59"/>
      <c r="R76" s="59"/>
      <c r="S76" s="59"/>
      <c r="T76" s="59"/>
      <c r="W76" s="15"/>
      <c r="X76" s="15"/>
      <c r="Y76" s="15"/>
      <c r="Z76" s="15"/>
      <c r="AA76" s="15"/>
    </row>
    <row r="77" spans="1:27" s="16" customFormat="1" ht="13.5" thickBot="1" x14ac:dyDescent="0.25">
      <c r="A77" s="81"/>
      <c r="B77" s="19">
        <f>IF(AND(ISNUMBER(B70),ISNUMBER(B76)),IF(B76&lt;B70, 0+1, (IF(B76&gt;B70, 0-1, 0)))," ")</f>
        <v>1</v>
      </c>
      <c r="C77" s="9">
        <f t="shared" ref="C77:J77" si="33">IF(AND(ISNUMBER(C70),ISNUMBER(C76)),IF(C76&lt;C70, +B77+1, (IF(C76&gt;C70, +B77-1, +B77)))," ")</f>
        <v>0</v>
      </c>
      <c r="D77" s="9">
        <f t="shared" si="33"/>
        <v>0</v>
      </c>
      <c r="E77" s="9">
        <f t="shared" si="33"/>
        <v>-1</v>
      </c>
      <c r="F77" s="9">
        <f t="shared" si="33"/>
        <v>-2</v>
      </c>
      <c r="G77" s="9">
        <f t="shared" si="33"/>
        <v>-2</v>
      </c>
      <c r="H77" s="9">
        <f t="shared" si="33"/>
        <v>-1</v>
      </c>
      <c r="I77" s="9">
        <f t="shared" si="33"/>
        <v>-2</v>
      </c>
      <c r="J77" s="10">
        <f t="shared" si="33"/>
        <v>-3</v>
      </c>
      <c r="K77" s="14" t="str">
        <f>IF(ISNUMBER(J77),IF(F77&gt;4,"Wins " &amp; F77 &amp; " &amp; 4",IF(G77&gt;3,"Wins " &amp; G77 &amp; " &amp; 3",IF(H77&gt;2,"Wins " &amp; H77 &amp; " &amp; 2",IF(I77&gt;1,"Wins " &amp; I77 &amp; " &amp; 1",IF(J77&gt;J71,"Wins " &amp; J77 &amp; " Up",IF(J77&lt;J71,"Loss","Tie"))))))," ")</f>
        <v>Loss</v>
      </c>
      <c r="N77" s="15"/>
      <c r="O77" s="15"/>
      <c r="P77" s="59"/>
      <c r="Q77" s="59"/>
      <c r="R77" s="59"/>
      <c r="S77" s="59"/>
      <c r="T77" s="59"/>
      <c r="W77" s="15"/>
      <c r="X77" s="15"/>
      <c r="Y77" s="15"/>
      <c r="Z77" s="15"/>
      <c r="AA77" s="15"/>
    </row>
    <row r="78" spans="1:27" s="16" customFormat="1" x14ac:dyDescent="0.2">
      <c r="A78" s="26"/>
      <c r="B78" s="15"/>
      <c r="C78" s="15"/>
      <c r="D78" s="15"/>
      <c r="E78" s="15"/>
      <c r="F78" s="15"/>
      <c r="G78" s="15"/>
      <c r="H78" s="15"/>
      <c r="I78" s="15"/>
      <c r="J78" s="15"/>
      <c r="K78" s="15"/>
      <c r="N78" s="15"/>
      <c r="O78" s="15"/>
      <c r="P78" s="59"/>
      <c r="Q78" s="59"/>
      <c r="R78" s="59"/>
      <c r="S78" s="59"/>
      <c r="T78" s="59"/>
      <c r="W78" s="15"/>
      <c r="X78" s="15"/>
      <c r="Y78" s="15"/>
      <c r="Z78" s="15"/>
      <c r="AA78" s="15"/>
    </row>
    <row r="79" spans="1:27" s="16" customFormat="1" ht="13.5" thickBot="1" x14ac:dyDescent="0.25">
      <c r="A79" s="24" t="s">
        <v>11</v>
      </c>
      <c r="B79" s="2"/>
      <c r="C79" s="2"/>
      <c r="D79" s="2"/>
      <c r="E79" s="2"/>
      <c r="F79" s="2"/>
      <c r="G79" s="2"/>
      <c r="H79" s="2"/>
      <c r="I79" s="2"/>
      <c r="J79" s="2"/>
      <c r="K79" s="2"/>
      <c r="N79" s="15"/>
      <c r="O79" s="15"/>
      <c r="P79" s="59"/>
      <c r="Q79" s="59"/>
      <c r="R79" s="59"/>
      <c r="S79" s="59"/>
      <c r="T79" s="59"/>
      <c r="W79" s="15"/>
      <c r="X79" s="15"/>
      <c r="Y79" s="15"/>
      <c r="Z79" s="15"/>
      <c r="AA79" s="15"/>
    </row>
    <row r="80" spans="1:27" s="16" customFormat="1" x14ac:dyDescent="0.2">
      <c r="A80" s="29" t="str">
        <f t="shared" ref="A80:J80" si="34">A18</f>
        <v>Brian P</v>
      </c>
      <c r="B80" s="17">
        <f t="shared" si="34"/>
        <v>6</v>
      </c>
      <c r="C80" s="3">
        <f t="shared" si="34"/>
        <v>8</v>
      </c>
      <c r="D80" s="3">
        <f t="shared" si="34"/>
        <v>7</v>
      </c>
      <c r="E80" s="3">
        <f t="shared" si="34"/>
        <v>8</v>
      </c>
      <c r="F80" s="3">
        <f t="shared" si="34"/>
        <v>4</v>
      </c>
      <c r="G80" s="3">
        <f t="shared" si="34"/>
        <v>6</v>
      </c>
      <c r="H80" s="3">
        <f t="shared" si="34"/>
        <v>4</v>
      </c>
      <c r="I80" s="3">
        <f t="shared" si="34"/>
        <v>6</v>
      </c>
      <c r="J80" s="4">
        <f t="shared" si="34"/>
        <v>4</v>
      </c>
      <c r="K80" s="12">
        <f>SUM(B80:J80)</f>
        <v>53</v>
      </c>
      <c r="N80" s="15"/>
      <c r="O80" s="15"/>
      <c r="P80" s="59"/>
      <c r="Q80" s="59"/>
      <c r="R80" s="59"/>
      <c r="S80" s="59"/>
      <c r="T80" s="59"/>
      <c r="W80" s="15"/>
      <c r="X80" s="15"/>
      <c r="Y80" s="15"/>
      <c r="Z80" s="15"/>
      <c r="AA80" s="15"/>
    </row>
    <row r="81" spans="1:27" s="16" customFormat="1" x14ac:dyDescent="0.2">
      <c r="A81" s="30">
        <f>A19</f>
        <v>6</v>
      </c>
      <c r="B81" s="18">
        <f>IF(AND(ISNUMBER($A81),ISNUMBER($A87)),IF((RANK(B$4,$B$4:$J$4,1))&lt;=($A81-$A87),1,0),"")</f>
        <v>0</v>
      </c>
      <c r="C81" s="6">
        <f t="shared" ref="C81:J81" si="35">IF(AND(ISNUMBER($A81),ISNUMBER($A87)),IF((RANK(C$4,$B$4:$J$4,1))&lt;=($A81-$A87),1,0),"")</f>
        <v>0</v>
      </c>
      <c r="D81" s="6">
        <f t="shared" si="35"/>
        <v>0</v>
      </c>
      <c r="E81" s="6">
        <f t="shared" si="35"/>
        <v>0</v>
      </c>
      <c r="F81" s="6">
        <f t="shared" si="35"/>
        <v>0</v>
      </c>
      <c r="G81" s="6">
        <f t="shared" si="35"/>
        <v>0</v>
      </c>
      <c r="H81" s="6">
        <f t="shared" si="35"/>
        <v>0</v>
      </c>
      <c r="I81" s="6">
        <f t="shared" si="35"/>
        <v>0</v>
      </c>
      <c r="J81" s="7">
        <f t="shared" si="35"/>
        <v>0</v>
      </c>
      <c r="K81" s="13">
        <f>SUM(B81:J81)</f>
        <v>0</v>
      </c>
      <c r="N81" s="15"/>
      <c r="O81" s="15"/>
      <c r="P81" s="59"/>
      <c r="Q81" s="59"/>
      <c r="R81" s="59"/>
      <c r="S81" s="59"/>
      <c r="T81" s="59"/>
      <c r="W81" s="15"/>
      <c r="X81" s="15"/>
      <c r="Y81" s="15"/>
      <c r="Z81" s="15"/>
      <c r="AA81" s="15"/>
    </row>
    <row r="82" spans="1:27" s="16" customFormat="1" x14ac:dyDescent="0.2">
      <c r="A82" s="30">
        <f>IF((A81-A87)&gt;9,(A81-A87-9),0)</f>
        <v>0</v>
      </c>
      <c r="B82" s="18">
        <f>IF(AND(ISNUMBER($A82),ISNUMBER($A88)),IF((RANK(B$4,$B$4:$J$4,1))&lt;=($A82-$A88),1,0),"")</f>
        <v>0</v>
      </c>
      <c r="C82" s="6">
        <f t="shared" ref="C82:J82" si="36">IF(AND(ISNUMBER($A82),ISNUMBER($A88)),IF((RANK(C$4,$B$4:$J$4,1))&lt;=($A82-$A88),1,0),"")</f>
        <v>0</v>
      </c>
      <c r="D82" s="6">
        <f t="shared" si="36"/>
        <v>0</v>
      </c>
      <c r="E82" s="6">
        <f t="shared" si="36"/>
        <v>0</v>
      </c>
      <c r="F82" s="6">
        <f t="shared" si="36"/>
        <v>0</v>
      </c>
      <c r="G82" s="6">
        <f t="shared" si="36"/>
        <v>0</v>
      </c>
      <c r="H82" s="6">
        <f t="shared" si="36"/>
        <v>0</v>
      </c>
      <c r="I82" s="6">
        <f t="shared" si="36"/>
        <v>0</v>
      </c>
      <c r="J82" s="7">
        <f t="shared" si="36"/>
        <v>0</v>
      </c>
      <c r="K82" s="13">
        <f>SUM(B82:J82)</f>
        <v>0</v>
      </c>
      <c r="N82" s="15"/>
      <c r="O82" s="15"/>
      <c r="P82" s="59"/>
      <c r="Q82" s="59"/>
      <c r="R82" s="59"/>
      <c r="S82" s="59"/>
      <c r="T82" s="59"/>
      <c r="W82" s="15"/>
      <c r="X82" s="15"/>
      <c r="Y82" s="15"/>
      <c r="Z82" s="15"/>
      <c r="AA82" s="15"/>
    </row>
    <row r="83" spans="1:27" s="16" customFormat="1" x14ac:dyDescent="0.2">
      <c r="A83" s="30"/>
      <c r="B83" s="82">
        <f t="shared" ref="B83:J83" si="37">IF(AND(ISNUMBER(B80),ISNUMBER(B81)),B80-B81-B82," ")</f>
        <v>6</v>
      </c>
      <c r="C83" s="83">
        <f t="shared" si="37"/>
        <v>8</v>
      </c>
      <c r="D83" s="83">
        <f t="shared" si="37"/>
        <v>7</v>
      </c>
      <c r="E83" s="83">
        <f t="shared" si="37"/>
        <v>8</v>
      </c>
      <c r="F83" s="83">
        <f t="shared" si="37"/>
        <v>4</v>
      </c>
      <c r="G83" s="83">
        <f t="shared" si="37"/>
        <v>6</v>
      </c>
      <c r="H83" s="83">
        <f t="shared" si="37"/>
        <v>4</v>
      </c>
      <c r="I83" s="83">
        <f t="shared" si="37"/>
        <v>6</v>
      </c>
      <c r="J83" s="84">
        <f t="shared" si="37"/>
        <v>4</v>
      </c>
      <c r="K83" s="13">
        <f>IF(ISNUMBER(FIND("Wins",K84)), 2, IF(ISNUMBER(FIND("Tie",K84)), 1, 0))</f>
        <v>0</v>
      </c>
      <c r="N83" s="15"/>
      <c r="O83" s="15"/>
      <c r="P83" s="59"/>
      <c r="Q83" s="59"/>
      <c r="R83" s="59"/>
      <c r="S83" s="59"/>
      <c r="T83" s="59"/>
      <c r="W83" s="15"/>
      <c r="X83" s="15"/>
      <c r="Y83" s="15"/>
      <c r="Z83" s="15"/>
      <c r="AA83" s="15"/>
    </row>
    <row r="84" spans="1:27" s="16" customFormat="1" ht="13.5" thickBot="1" x14ac:dyDescent="0.25">
      <c r="A84" s="31"/>
      <c r="B84" s="19">
        <f>IF(AND(ISNUMBER(B83),ISNUMBER(B89)),IF(B83&lt;B89, 0+1, (IF(B83&gt;B89, 0-1, 0)))," ")</f>
        <v>1</v>
      </c>
      <c r="C84" s="9">
        <f t="shared" ref="C84:J84" si="38">IF(AND(ISNUMBER(C83),ISNUMBER(C89)),IF(C83&lt;C89, +B84+1, (IF(C83&gt;C89, +B84-1, +B84)))," ")</f>
        <v>0</v>
      </c>
      <c r="D84" s="9">
        <f t="shared" si="38"/>
        <v>1</v>
      </c>
      <c r="E84" s="9">
        <f t="shared" si="38"/>
        <v>0</v>
      </c>
      <c r="F84" s="9">
        <f t="shared" si="38"/>
        <v>-1</v>
      </c>
      <c r="G84" s="9">
        <f t="shared" si="38"/>
        <v>-1</v>
      </c>
      <c r="H84" s="9">
        <f t="shared" si="38"/>
        <v>-1</v>
      </c>
      <c r="I84" s="9">
        <f t="shared" si="38"/>
        <v>0</v>
      </c>
      <c r="J84" s="10">
        <f t="shared" si="38"/>
        <v>-1</v>
      </c>
      <c r="K84" s="14" t="str">
        <f>IF(ISNUMBER(J84),IF(F84&gt;4,"Wins " &amp; F84 &amp; " &amp; 4",IF(G84&gt;3,"Wins " &amp; G84 &amp; " &amp; 3",IF(H84&gt;2,"Wins " &amp; H84 &amp; " &amp; 2",IF(I84&gt;1,"Wins " &amp; I84 &amp; " &amp; 1",IF(J84&gt;J90,"Wins " &amp; J84 &amp; " Up",IF(J84&lt;J90,"Loss","Tie"))))))," ")</f>
        <v>Loss</v>
      </c>
      <c r="N84" s="15"/>
      <c r="O84" s="15"/>
      <c r="P84" s="59"/>
      <c r="Q84" s="59"/>
      <c r="R84" s="59"/>
      <c r="S84" s="59"/>
      <c r="T84" s="59"/>
      <c r="W84" s="15"/>
      <c r="X84" s="15"/>
      <c r="Y84" s="15"/>
      <c r="Z84" s="15"/>
      <c r="AA84" s="15"/>
    </row>
    <row r="85" spans="1:27" s="16" customFormat="1" ht="13.5" thickBot="1" x14ac:dyDescent="0.2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N85" s="15"/>
      <c r="O85" s="15"/>
      <c r="P85" s="59"/>
      <c r="Q85" s="59"/>
      <c r="R85" s="59"/>
      <c r="S85" s="59"/>
      <c r="T85" s="59"/>
      <c r="W85" s="15"/>
      <c r="X85" s="15"/>
      <c r="Y85" s="15"/>
      <c r="Z85" s="15"/>
      <c r="AA85" s="15"/>
    </row>
    <row r="86" spans="1:27" s="16" customFormat="1" x14ac:dyDescent="0.2">
      <c r="A86" s="29" t="str">
        <f t="shared" ref="A86:J86" si="39">A20</f>
        <v>Manny</v>
      </c>
      <c r="B86" s="17">
        <f t="shared" si="39"/>
        <v>9</v>
      </c>
      <c r="C86" s="3">
        <f t="shared" si="39"/>
        <v>4</v>
      </c>
      <c r="D86" s="3">
        <f t="shared" si="39"/>
        <v>9</v>
      </c>
      <c r="E86" s="3">
        <f t="shared" si="39"/>
        <v>6</v>
      </c>
      <c r="F86" s="3">
        <f t="shared" si="39"/>
        <v>3</v>
      </c>
      <c r="G86" s="3">
        <f t="shared" si="39"/>
        <v>7</v>
      </c>
      <c r="H86" s="3">
        <f t="shared" si="39"/>
        <v>5</v>
      </c>
      <c r="I86" s="3">
        <f t="shared" si="39"/>
        <v>8</v>
      </c>
      <c r="J86" s="4">
        <f t="shared" si="39"/>
        <v>4</v>
      </c>
      <c r="K86" s="12">
        <f>SUM(B86:J86)</f>
        <v>55</v>
      </c>
      <c r="N86" s="15"/>
      <c r="O86" s="15"/>
      <c r="P86" s="59"/>
      <c r="Q86" s="59"/>
      <c r="R86" s="59"/>
      <c r="S86" s="59"/>
      <c r="T86" s="59"/>
      <c r="W86" s="15"/>
      <c r="X86" s="15"/>
      <c r="Y86" s="15"/>
      <c r="Z86" s="15"/>
      <c r="AA86" s="15"/>
    </row>
    <row r="87" spans="1:27" s="16" customFormat="1" x14ac:dyDescent="0.2">
      <c r="A87" s="30">
        <f>A21</f>
        <v>14</v>
      </c>
      <c r="B87" s="18">
        <f>IF(AND(ISNUMBER($A81),ISNUMBER($A87)),IF((RANK(B$4,$B$4:$J$4,1))&lt;=($A87-$A81),1,0),"")</f>
        <v>1</v>
      </c>
      <c r="C87" s="6">
        <f t="shared" ref="C87:J87" si="40">IF(AND(ISNUMBER($A81),ISNUMBER($A87)),IF((RANK(C$4,$B$4:$J$4,1))&lt;=($A87-$A81),1,0),"")</f>
        <v>1</v>
      </c>
      <c r="D87" s="6">
        <f t="shared" si="40"/>
        <v>1</v>
      </c>
      <c r="E87" s="6">
        <f t="shared" si="40"/>
        <v>1</v>
      </c>
      <c r="F87" s="6">
        <f t="shared" si="40"/>
        <v>0</v>
      </c>
      <c r="G87" s="6">
        <f t="shared" si="40"/>
        <v>1</v>
      </c>
      <c r="H87" s="6">
        <f t="shared" si="40"/>
        <v>1</v>
      </c>
      <c r="I87" s="6">
        <f t="shared" si="40"/>
        <v>1</v>
      </c>
      <c r="J87" s="7">
        <f t="shared" si="40"/>
        <v>1</v>
      </c>
      <c r="K87" s="13">
        <f>SUM(B87:J87)</f>
        <v>8</v>
      </c>
      <c r="N87" s="15"/>
      <c r="O87" s="15"/>
      <c r="P87" s="59"/>
      <c r="Q87" s="59"/>
      <c r="R87" s="59"/>
      <c r="S87" s="59"/>
      <c r="T87" s="59"/>
      <c r="W87" s="15"/>
      <c r="X87" s="15"/>
      <c r="Y87" s="15"/>
      <c r="Z87" s="15"/>
      <c r="AA87" s="15"/>
    </row>
    <row r="88" spans="1:27" s="16" customFormat="1" x14ac:dyDescent="0.2">
      <c r="A88" s="30">
        <f>IF((A87-A81)&gt;9,(A87-A81-9),0)</f>
        <v>0</v>
      </c>
      <c r="B88" s="18">
        <f>IF(AND(ISNUMBER($A82),ISNUMBER($A88)),IF((RANK(B$4,$B$4:$J$4,1))&lt;=($A88-$A82),1,0),"")</f>
        <v>0</v>
      </c>
      <c r="C88" s="6">
        <f t="shared" ref="C88:J88" si="41">IF(AND(ISNUMBER($A82),ISNUMBER($A88)),IF((RANK(C$4,$B$4:$J$4,1))&lt;=($A88-$A82),1,0),"")</f>
        <v>0</v>
      </c>
      <c r="D88" s="6">
        <f t="shared" si="41"/>
        <v>0</v>
      </c>
      <c r="E88" s="6">
        <f t="shared" si="41"/>
        <v>0</v>
      </c>
      <c r="F88" s="6">
        <f t="shared" si="41"/>
        <v>0</v>
      </c>
      <c r="G88" s="6">
        <f t="shared" si="41"/>
        <v>0</v>
      </c>
      <c r="H88" s="6">
        <f t="shared" si="41"/>
        <v>0</v>
      </c>
      <c r="I88" s="6">
        <f t="shared" si="41"/>
        <v>0</v>
      </c>
      <c r="J88" s="7">
        <f t="shared" si="41"/>
        <v>0</v>
      </c>
      <c r="K88" s="13">
        <f>SUM(B88:J88)</f>
        <v>0</v>
      </c>
      <c r="N88" s="15"/>
      <c r="O88" s="15"/>
      <c r="P88" s="59"/>
      <c r="Q88" s="59"/>
      <c r="R88" s="59"/>
      <c r="S88" s="59"/>
      <c r="T88" s="59"/>
      <c r="W88" s="15"/>
      <c r="X88" s="15"/>
      <c r="Y88" s="15"/>
      <c r="Z88" s="15"/>
      <c r="AA88" s="15"/>
    </row>
    <row r="89" spans="1:27" s="16" customFormat="1" x14ac:dyDescent="0.2">
      <c r="A89" s="30"/>
      <c r="B89" s="82">
        <f t="shared" ref="B89:J89" si="42">IF(AND(ISNUMBER(B86),ISNUMBER(B87)),B86-B87-B88," ")</f>
        <v>8</v>
      </c>
      <c r="C89" s="83">
        <f t="shared" si="42"/>
        <v>3</v>
      </c>
      <c r="D89" s="83">
        <f t="shared" si="42"/>
        <v>8</v>
      </c>
      <c r="E89" s="83">
        <f t="shared" si="42"/>
        <v>5</v>
      </c>
      <c r="F89" s="83">
        <f t="shared" si="42"/>
        <v>3</v>
      </c>
      <c r="G89" s="83">
        <f t="shared" si="42"/>
        <v>6</v>
      </c>
      <c r="H89" s="83">
        <f t="shared" si="42"/>
        <v>4</v>
      </c>
      <c r="I89" s="83">
        <f t="shared" si="42"/>
        <v>7</v>
      </c>
      <c r="J89" s="84">
        <f t="shared" si="42"/>
        <v>3</v>
      </c>
      <c r="K89" s="13">
        <f>IF(ISNUMBER(FIND("Wins",K90)), 2, IF(ISNUMBER(FIND("Tie",K90)), 1, 0))</f>
        <v>2</v>
      </c>
      <c r="N89" s="15"/>
      <c r="O89" s="15"/>
      <c r="P89" s="59"/>
      <c r="Q89" s="59"/>
      <c r="R89" s="59"/>
      <c r="S89" s="59"/>
      <c r="T89" s="59"/>
      <c r="W89" s="15"/>
      <c r="X89" s="15"/>
      <c r="Y89" s="15"/>
      <c r="Z89" s="15"/>
      <c r="AA89" s="15"/>
    </row>
    <row r="90" spans="1:27" s="16" customFormat="1" ht="13.5" thickBot="1" x14ac:dyDescent="0.25">
      <c r="A90" s="31"/>
      <c r="B90" s="19">
        <f>IF(AND(ISNUMBER(B83),ISNUMBER(B89)),IF(B89&lt;B83, 0+1, (IF(B89&gt;B83, 0-1, 0)))," ")</f>
        <v>-1</v>
      </c>
      <c r="C90" s="9">
        <f t="shared" ref="C90:J90" si="43">IF(AND(ISNUMBER(C83),ISNUMBER(C89)),IF(C89&lt;C83, +B90+1, (IF(C89&gt;C83, +B90-1, +B90)))," ")</f>
        <v>0</v>
      </c>
      <c r="D90" s="9">
        <f t="shared" si="43"/>
        <v>-1</v>
      </c>
      <c r="E90" s="9">
        <f t="shared" si="43"/>
        <v>0</v>
      </c>
      <c r="F90" s="9">
        <f t="shared" si="43"/>
        <v>1</v>
      </c>
      <c r="G90" s="9">
        <f t="shared" si="43"/>
        <v>1</v>
      </c>
      <c r="H90" s="9">
        <f t="shared" si="43"/>
        <v>1</v>
      </c>
      <c r="I90" s="9">
        <f t="shared" si="43"/>
        <v>0</v>
      </c>
      <c r="J90" s="10">
        <f t="shared" si="43"/>
        <v>1</v>
      </c>
      <c r="K90" s="14" t="str">
        <f>IF(ISNUMBER(J90),IF(F90&gt;4,"Wins " &amp; F90 &amp; " &amp; 4",IF(G90&gt;3,"Wins " &amp; G90 &amp; " &amp; 3",IF(H90&gt;2,"Wins " &amp; H90 &amp; " &amp; 2",IF(I90&gt;1,"Wins " &amp; I90 &amp; " &amp; 1",IF(J90&gt;J84,"Wins " &amp; J90 &amp; " Up",IF(J90&lt;J84,"Loss","Tie"))))))," ")</f>
        <v>Wins 1 Up</v>
      </c>
      <c r="N90" s="15"/>
      <c r="O90" s="15"/>
      <c r="P90" s="59"/>
      <c r="Q90" s="59"/>
      <c r="R90" s="59"/>
      <c r="S90" s="59"/>
      <c r="T90" s="59"/>
      <c r="W90" s="15"/>
      <c r="X90" s="15"/>
      <c r="Y90" s="15"/>
      <c r="Z90" s="15"/>
      <c r="AA90" s="15"/>
    </row>
    <row r="91" spans="1:27" s="16" customFormat="1" x14ac:dyDescent="0.2">
      <c r="A91" s="26"/>
      <c r="B91" s="15"/>
      <c r="C91" s="15"/>
      <c r="D91" s="15"/>
      <c r="E91" s="15"/>
      <c r="F91" s="15"/>
      <c r="G91" s="15"/>
      <c r="H91" s="15"/>
      <c r="I91" s="15"/>
      <c r="J91" s="15"/>
      <c r="K91" s="15"/>
      <c r="N91" s="15"/>
      <c r="O91" s="15"/>
      <c r="P91" s="59"/>
      <c r="Q91" s="59"/>
      <c r="R91" s="59"/>
      <c r="S91" s="59"/>
      <c r="T91" s="59"/>
      <c r="W91" s="15"/>
      <c r="X91" s="15"/>
      <c r="Y91" s="15"/>
      <c r="Z91" s="15"/>
      <c r="AA91" s="15"/>
    </row>
    <row r="92" spans="1:27" s="16" customFormat="1" ht="13.5" thickBot="1" x14ac:dyDescent="0.25">
      <c r="A92" s="24" t="s">
        <v>12</v>
      </c>
      <c r="B92" s="2"/>
      <c r="C92" s="2"/>
      <c r="D92" s="2"/>
      <c r="E92" s="2"/>
      <c r="F92" s="2"/>
      <c r="G92" s="2"/>
      <c r="H92" s="2"/>
      <c r="I92" s="2"/>
      <c r="J92" s="2"/>
      <c r="K92" s="2"/>
      <c r="N92" s="15"/>
      <c r="O92" s="15"/>
      <c r="P92" s="59"/>
      <c r="Q92" s="59"/>
      <c r="R92" s="59"/>
      <c r="S92" s="59"/>
      <c r="T92" s="59"/>
      <c r="W92" s="15"/>
      <c r="X92" s="15"/>
      <c r="Y92" s="15"/>
      <c r="Z92" s="15"/>
      <c r="AA92" s="15"/>
    </row>
    <row r="93" spans="1:27" s="16" customFormat="1" x14ac:dyDescent="0.2">
      <c r="A93" s="29" t="str">
        <f t="shared" ref="A93:J93" si="44">A22</f>
        <v xml:space="preserve">Pat </v>
      </c>
      <c r="B93" s="17">
        <f t="shared" si="44"/>
        <v>4</v>
      </c>
      <c r="C93" s="3">
        <f t="shared" si="44"/>
        <v>5</v>
      </c>
      <c r="D93" s="3">
        <f t="shared" si="44"/>
        <v>4</v>
      </c>
      <c r="E93" s="3">
        <f t="shared" si="44"/>
        <v>4</v>
      </c>
      <c r="F93" s="3">
        <f t="shared" si="44"/>
        <v>5</v>
      </c>
      <c r="G93" s="3">
        <f t="shared" si="44"/>
        <v>4</v>
      </c>
      <c r="H93" s="3">
        <f t="shared" si="44"/>
        <v>5</v>
      </c>
      <c r="I93" s="3">
        <f t="shared" si="44"/>
        <v>5</v>
      </c>
      <c r="J93" s="4">
        <f t="shared" si="44"/>
        <v>4</v>
      </c>
      <c r="K93" s="12">
        <f>SUM(B93:J93)</f>
        <v>40</v>
      </c>
      <c r="N93" s="15"/>
      <c r="O93" s="15"/>
      <c r="P93" s="59"/>
      <c r="Q93" s="59"/>
      <c r="R93" s="59"/>
      <c r="S93" s="59"/>
      <c r="T93" s="59"/>
      <c r="W93" s="15"/>
      <c r="X93" s="15"/>
      <c r="Y93" s="15"/>
      <c r="Z93" s="15"/>
      <c r="AA93" s="15"/>
    </row>
    <row r="94" spans="1:27" s="16" customFormat="1" x14ac:dyDescent="0.2">
      <c r="A94" s="30">
        <f>A23</f>
        <v>6</v>
      </c>
      <c r="B94" s="18">
        <f>IF(AND(ISNUMBER($A94),ISNUMBER($A100)),IF((RANK(B$4,$B$4:$J$4,1))&lt;=($A94-$A100),1,0),"")</f>
        <v>0</v>
      </c>
      <c r="C94" s="6">
        <f t="shared" ref="C94:J94" si="45">IF(AND(ISNUMBER($A94),ISNUMBER($A100)),IF((RANK(C$4,$B$4:$J$4,1))&lt;=($A94-$A100),1,0),"")</f>
        <v>0</v>
      </c>
      <c r="D94" s="6">
        <f t="shared" si="45"/>
        <v>0</v>
      </c>
      <c r="E94" s="6">
        <f t="shared" si="45"/>
        <v>0</v>
      </c>
      <c r="F94" s="6">
        <f t="shared" si="45"/>
        <v>0</v>
      </c>
      <c r="G94" s="6">
        <f t="shared" si="45"/>
        <v>0</v>
      </c>
      <c r="H94" s="6">
        <f t="shared" si="45"/>
        <v>0</v>
      </c>
      <c r="I94" s="6">
        <f t="shared" si="45"/>
        <v>0</v>
      </c>
      <c r="J94" s="7">
        <f t="shared" si="45"/>
        <v>0</v>
      </c>
      <c r="K94" s="13">
        <f>SUM(B94:J94)</f>
        <v>0</v>
      </c>
      <c r="N94" s="15"/>
      <c r="O94" s="15"/>
      <c r="P94" s="59"/>
      <c r="Q94" s="59"/>
      <c r="R94" s="59"/>
      <c r="S94" s="59"/>
      <c r="T94" s="59"/>
      <c r="W94" s="15"/>
      <c r="X94" s="15"/>
      <c r="Y94" s="15"/>
      <c r="Z94" s="15"/>
      <c r="AA94" s="15"/>
    </row>
    <row r="95" spans="1:27" s="16" customFormat="1" x14ac:dyDescent="0.2">
      <c r="A95" s="30">
        <f>IF((A94-A100)&gt;9,(A94-A100-9),0)</f>
        <v>0</v>
      </c>
      <c r="B95" s="18">
        <f>IF(AND(ISNUMBER($A95),ISNUMBER($A101)),IF((RANK(B$4,$B$4:$J$4,1))&lt;=($A95-$A101),1,0),"")</f>
        <v>0</v>
      </c>
      <c r="C95" s="6">
        <f t="shared" ref="C95:J95" si="46">IF(AND(ISNUMBER($A95),ISNUMBER($A101)),IF((RANK(C$4,$B$4:$J$4,1))&lt;=($A95-$A101),1,0),"")</f>
        <v>0</v>
      </c>
      <c r="D95" s="6">
        <f t="shared" si="46"/>
        <v>0</v>
      </c>
      <c r="E95" s="6">
        <f t="shared" si="46"/>
        <v>0</v>
      </c>
      <c r="F95" s="6">
        <f t="shared" si="46"/>
        <v>0</v>
      </c>
      <c r="G95" s="6">
        <f t="shared" si="46"/>
        <v>0</v>
      </c>
      <c r="H95" s="6">
        <f t="shared" si="46"/>
        <v>0</v>
      </c>
      <c r="I95" s="6">
        <f t="shared" si="46"/>
        <v>0</v>
      </c>
      <c r="J95" s="7">
        <f t="shared" si="46"/>
        <v>0</v>
      </c>
      <c r="K95" s="13">
        <f>SUM(B95:J95)</f>
        <v>0</v>
      </c>
      <c r="N95" s="15"/>
      <c r="O95" s="15"/>
      <c r="P95" s="59"/>
      <c r="Q95" s="59"/>
      <c r="R95" s="59"/>
      <c r="S95" s="59"/>
      <c r="T95" s="59"/>
      <c r="W95" s="15"/>
      <c r="X95" s="15"/>
      <c r="Y95" s="15"/>
      <c r="Z95" s="15"/>
      <c r="AA95" s="15"/>
    </row>
    <row r="96" spans="1:27" s="16" customFormat="1" x14ac:dyDescent="0.2">
      <c r="A96" s="30"/>
      <c r="B96" s="82">
        <f t="shared" ref="B96:J96" si="47">IF(AND(ISNUMBER(B93),ISNUMBER(B94)),B93-B94-B95," ")</f>
        <v>4</v>
      </c>
      <c r="C96" s="83">
        <f t="shared" si="47"/>
        <v>5</v>
      </c>
      <c r="D96" s="83">
        <f t="shared" si="47"/>
        <v>4</v>
      </c>
      <c r="E96" s="83">
        <f t="shared" si="47"/>
        <v>4</v>
      </c>
      <c r="F96" s="83">
        <f t="shared" si="47"/>
        <v>5</v>
      </c>
      <c r="G96" s="83">
        <f t="shared" si="47"/>
        <v>4</v>
      </c>
      <c r="H96" s="83">
        <f t="shared" si="47"/>
        <v>5</v>
      </c>
      <c r="I96" s="83">
        <f t="shared" si="47"/>
        <v>5</v>
      </c>
      <c r="J96" s="84">
        <f t="shared" si="47"/>
        <v>4</v>
      </c>
      <c r="K96" s="13">
        <f>IF(ISNUMBER(FIND("Wins",K97)), 2, IF(ISNUMBER(FIND("Tie",K97)), 1, 0))</f>
        <v>2</v>
      </c>
      <c r="N96" s="15"/>
      <c r="O96" s="15"/>
      <c r="P96" s="59"/>
      <c r="Q96" s="59"/>
      <c r="R96" s="59"/>
      <c r="S96" s="59"/>
      <c r="T96" s="59"/>
      <c r="W96" s="15"/>
      <c r="X96" s="15"/>
      <c r="Y96" s="15"/>
      <c r="Z96" s="15"/>
      <c r="AA96" s="15"/>
    </row>
    <row r="97" spans="1:27" s="16" customFormat="1" ht="13.5" thickBot="1" x14ac:dyDescent="0.25">
      <c r="A97" s="31"/>
      <c r="B97" s="19">
        <f>IF(AND(ISNUMBER(B96),ISNUMBER(B102)),IF(B96&lt;B102, 0+1, (IF(B96&gt;B102, 0-1, 0)))," ")</f>
        <v>1</v>
      </c>
      <c r="C97" s="9">
        <f t="shared" ref="C97:J97" si="48">IF(AND(ISNUMBER(C96),ISNUMBER(C102)),IF(C96&lt;C102, +B97+1, (IF(C96&gt;C102, +B97-1, +B97)))," ")</f>
        <v>2</v>
      </c>
      <c r="D97" s="9">
        <f t="shared" si="48"/>
        <v>3</v>
      </c>
      <c r="E97" s="9">
        <f t="shared" si="48"/>
        <v>4</v>
      </c>
      <c r="F97" s="9">
        <f t="shared" si="48"/>
        <v>4</v>
      </c>
      <c r="G97" s="9">
        <f t="shared" si="48"/>
        <v>5</v>
      </c>
      <c r="H97" s="9">
        <f t="shared" si="48"/>
        <v>4</v>
      </c>
      <c r="I97" s="9">
        <f t="shared" si="48"/>
        <v>5</v>
      </c>
      <c r="J97" s="10">
        <f t="shared" si="48"/>
        <v>6</v>
      </c>
      <c r="K97" s="14" t="str">
        <f>IF(ISNUMBER(J97),IF(F97&gt;4,"Wins " &amp; F97 &amp; " &amp; 4",IF(G97&gt;3,"Wins " &amp; G97 &amp; " &amp; 3",IF(H97&gt;2,"Wins " &amp; H97 &amp; " &amp; 2",IF(I97&gt;1,"Wins " &amp; I97 &amp; " &amp; 1",IF(J97&gt;J103,"Wins " &amp; J97 &amp; " Up",IF(J97&lt;J103,"Loss","Tie"))))))," ")</f>
        <v>Wins 5 &amp; 3</v>
      </c>
      <c r="N97" s="15"/>
      <c r="O97" s="15"/>
      <c r="P97" s="59"/>
      <c r="Q97" s="59"/>
      <c r="R97" s="59"/>
      <c r="S97" s="59"/>
      <c r="T97" s="59"/>
      <c r="W97" s="15"/>
      <c r="X97" s="15"/>
      <c r="Y97" s="15"/>
      <c r="Z97" s="15"/>
      <c r="AA97" s="15"/>
    </row>
    <row r="98" spans="1:27" s="16" customFormat="1" ht="13.5" thickBot="1" x14ac:dyDescent="0.25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N98" s="15"/>
      <c r="O98" s="15"/>
      <c r="P98" s="59"/>
      <c r="Q98" s="59"/>
      <c r="R98" s="59"/>
      <c r="S98" s="59"/>
      <c r="T98" s="59"/>
      <c r="W98" s="15"/>
      <c r="X98" s="15"/>
      <c r="Y98" s="15"/>
      <c r="Z98" s="15"/>
      <c r="AA98" s="15"/>
    </row>
    <row r="99" spans="1:27" s="16" customFormat="1" x14ac:dyDescent="0.2">
      <c r="A99" s="29" t="str">
        <f t="shared" ref="A99:J99" si="49">A24</f>
        <v>Tony W</v>
      </c>
      <c r="B99" s="17">
        <f t="shared" si="49"/>
        <v>6</v>
      </c>
      <c r="C99" s="3">
        <f t="shared" si="49"/>
        <v>6</v>
      </c>
      <c r="D99" s="3">
        <f t="shared" si="49"/>
        <v>6</v>
      </c>
      <c r="E99" s="3">
        <f t="shared" si="49"/>
        <v>6</v>
      </c>
      <c r="F99" s="3">
        <f t="shared" si="49"/>
        <v>5</v>
      </c>
      <c r="G99" s="3">
        <f t="shared" si="49"/>
        <v>7</v>
      </c>
      <c r="H99" s="3">
        <f t="shared" si="49"/>
        <v>4</v>
      </c>
      <c r="I99" s="3">
        <f t="shared" si="49"/>
        <v>7</v>
      </c>
      <c r="J99" s="4">
        <f t="shared" si="49"/>
        <v>6</v>
      </c>
      <c r="K99" s="12">
        <f>SUM(B99:J99)</f>
        <v>53</v>
      </c>
      <c r="N99" s="15"/>
      <c r="O99" s="15"/>
      <c r="P99" s="59"/>
      <c r="Q99" s="59"/>
      <c r="R99" s="59"/>
      <c r="S99" s="59"/>
      <c r="T99" s="59"/>
      <c r="W99" s="15"/>
      <c r="X99" s="15"/>
      <c r="Y99" s="15"/>
      <c r="Z99" s="15"/>
      <c r="AA99" s="15"/>
    </row>
    <row r="100" spans="1:27" s="16" customFormat="1" x14ac:dyDescent="0.2">
      <c r="A100" s="30">
        <f>A25</f>
        <v>10</v>
      </c>
      <c r="B100" s="18">
        <f>IF(AND(ISNUMBER($A94),ISNUMBER($A100)),IF((RANK(B$4,$B$4:$J$4,1))&lt;=($A100-$A94),1,0),"")</f>
        <v>1</v>
      </c>
      <c r="C100" s="6">
        <f t="shared" ref="C100:J100" si="50">IF(AND(ISNUMBER($A94),ISNUMBER($A100)),IF((RANK(C$4,$B$4:$J$4,1))&lt;=($A100-$A94),1,0),"")</f>
        <v>0</v>
      </c>
      <c r="D100" s="6">
        <f t="shared" si="50"/>
        <v>0</v>
      </c>
      <c r="E100" s="6">
        <f t="shared" si="50"/>
        <v>1</v>
      </c>
      <c r="F100" s="6">
        <f t="shared" si="50"/>
        <v>0</v>
      </c>
      <c r="G100" s="6">
        <f t="shared" si="50"/>
        <v>1</v>
      </c>
      <c r="H100" s="6">
        <f t="shared" si="50"/>
        <v>0</v>
      </c>
      <c r="I100" s="6">
        <f t="shared" si="50"/>
        <v>1</v>
      </c>
      <c r="J100" s="7">
        <f t="shared" si="50"/>
        <v>0</v>
      </c>
      <c r="K100" s="13">
        <f>SUM(B100:J100)</f>
        <v>4</v>
      </c>
      <c r="N100" s="15"/>
      <c r="O100" s="15"/>
      <c r="P100" s="59"/>
      <c r="Q100" s="59"/>
      <c r="R100" s="59"/>
      <c r="S100" s="59"/>
      <c r="T100" s="59"/>
      <c r="W100" s="15"/>
      <c r="X100" s="15"/>
      <c r="Y100" s="15"/>
      <c r="Z100" s="15"/>
      <c r="AA100" s="15"/>
    </row>
    <row r="101" spans="1:27" s="16" customFormat="1" x14ac:dyDescent="0.2">
      <c r="A101" s="30">
        <f>IF((A100-A94)&gt;9,(A100-A94-9),0)</f>
        <v>0</v>
      </c>
      <c r="B101" s="18">
        <f>IF(AND(ISNUMBER($A95),ISNUMBER($A101)),IF((RANK(B$4,$B$4:$J$4,1))&lt;=($A101-$A95),1,0),"")</f>
        <v>0</v>
      </c>
      <c r="C101" s="6">
        <f t="shared" ref="C101:J101" si="51">IF(AND(ISNUMBER($A95),ISNUMBER($A101)),IF((RANK(C$4,$B$4:$J$4,1))&lt;=($A101-$A95),1,0),"")</f>
        <v>0</v>
      </c>
      <c r="D101" s="6">
        <f t="shared" si="51"/>
        <v>0</v>
      </c>
      <c r="E101" s="6">
        <f t="shared" si="51"/>
        <v>0</v>
      </c>
      <c r="F101" s="6">
        <f t="shared" si="51"/>
        <v>0</v>
      </c>
      <c r="G101" s="6">
        <f t="shared" si="51"/>
        <v>0</v>
      </c>
      <c r="H101" s="6">
        <f t="shared" si="51"/>
        <v>0</v>
      </c>
      <c r="I101" s="6">
        <f t="shared" si="51"/>
        <v>0</v>
      </c>
      <c r="J101" s="7">
        <f t="shared" si="51"/>
        <v>0</v>
      </c>
      <c r="K101" s="13">
        <f>SUM(B101:J101)</f>
        <v>0</v>
      </c>
      <c r="N101" s="15"/>
      <c r="O101" s="15"/>
      <c r="P101" s="59"/>
      <c r="Q101" s="59"/>
      <c r="R101" s="59"/>
      <c r="S101" s="59"/>
      <c r="T101" s="59"/>
      <c r="W101" s="15"/>
      <c r="X101" s="15"/>
      <c r="Y101" s="15"/>
      <c r="Z101" s="15"/>
      <c r="AA101" s="15"/>
    </row>
    <row r="102" spans="1:27" s="16" customFormat="1" x14ac:dyDescent="0.2">
      <c r="A102" s="30"/>
      <c r="B102" s="82">
        <f t="shared" ref="B102:J102" si="52">IF(AND(ISNUMBER(B99),ISNUMBER(B100)),B99-B100-B101," ")</f>
        <v>5</v>
      </c>
      <c r="C102" s="83">
        <f t="shared" si="52"/>
        <v>6</v>
      </c>
      <c r="D102" s="83">
        <f t="shared" si="52"/>
        <v>6</v>
      </c>
      <c r="E102" s="83">
        <f t="shared" si="52"/>
        <v>5</v>
      </c>
      <c r="F102" s="83">
        <f t="shared" si="52"/>
        <v>5</v>
      </c>
      <c r="G102" s="83">
        <f t="shared" si="52"/>
        <v>6</v>
      </c>
      <c r="H102" s="83">
        <f t="shared" si="52"/>
        <v>4</v>
      </c>
      <c r="I102" s="83">
        <f t="shared" si="52"/>
        <v>6</v>
      </c>
      <c r="J102" s="84">
        <f t="shared" si="52"/>
        <v>6</v>
      </c>
      <c r="K102" s="13">
        <f>IF(ISNUMBER(FIND("Wins",K103)), 2, IF(ISNUMBER(FIND("Tie",K103)), 1, 0))</f>
        <v>0</v>
      </c>
      <c r="N102" s="15"/>
      <c r="O102" s="15"/>
      <c r="P102" s="59"/>
      <c r="Q102" s="59"/>
      <c r="R102" s="59"/>
      <c r="S102" s="59"/>
      <c r="T102" s="59"/>
      <c r="W102" s="15"/>
      <c r="X102" s="15"/>
      <c r="Y102" s="15"/>
      <c r="Z102" s="15"/>
      <c r="AA102" s="15"/>
    </row>
    <row r="103" spans="1:27" s="16" customFormat="1" ht="13.5" thickBot="1" x14ac:dyDescent="0.25">
      <c r="A103" s="31"/>
      <c r="B103" s="19">
        <f>IF(AND(ISNUMBER(B96),ISNUMBER(B102)),IF(B102&lt;B96, 0+1, (IF(B102&gt;B96, 0-1, 0)))," ")</f>
        <v>-1</v>
      </c>
      <c r="C103" s="9">
        <f t="shared" ref="C103:J103" si="53">IF(AND(ISNUMBER(C96),ISNUMBER(C102)),IF(C102&lt;C96, +B103+1, (IF(C102&gt;C96, +B103-1, +B103)))," ")</f>
        <v>-2</v>
      </c>
      <c r="D103" s="9">
        <f t="shared" si="53"/>
        <v>-3</v>
      </c>
      <c r="E103" s="9">
        <f t="shared" si="53"/>
        <v>-4</v>
      </c>
      <c r="F103" s="9">
        <f t="shared" si="53"/>
        <v>-4</v>
      </c>
      <c r="G103" s="9">
        <f t="shared" si="53"/>
        <v>-5</v>
      </c>
      <c r="H103" s="9">
        <f t="shared" si="53"/>
        <v>-4</v>
      </c>
      <c r="I103" s="9">
        <f t="shared" si="53"/>
        <v>-5</v>
      </c>
      <c r="J103" s="10">
        <f t="shared" si="53"/>
        <v>-6</v>
      </c>
      <c r="K103" s="14" t="str">
        <f>IF(ISNUMBER(J103),IF(F103&gt;4,"Wins " &amp; F103 &amp; " &amp; 4",IF(G103&gt;3,"Wins " &amp; G103 &amp; " &amp; 3",IF(H103&gt;2,"Wins " &amp; H103 &amp; " &amp; 2",IF(I103&gt;1,"Wins " &amp; I103 &amp; " &amp; 1",IF(J103&gt;J97,"Wins " &amp; J103 &amp; " Up",IF(J103&lt;J97,"Loss","Tie"))))))," ")</f>
        <v>Loss</v>
      </c>
      <c r="N103" s="15"/>
      <c r="O103" s="15"/>
      <c r="P103" s="59"/>
      <c r="Q103" s="59"/>
      <c r="R103" s="59"/>
      <c r="S103" s="59"/>
      <c r="T103" s="59"/>
      <c r="W103" s="15"/>
      <c r="X103" s="15"/>
      <c r="Y103" s="15"/>
      <c r="Z103" s="15"/>
      <c r="AA103" s="15"/>
    </row>
    <row r="104" spans="1:27" s="16" customFormat="1" x14ac:dyDescent="0.2">
      <c r="A104" s="2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N104" s="15"/>
      <c r="O104" s="15"/>
      <c r="P104" s="59"/>
      <c r="Q104" s="59"/>
      <c r="R104" s="59"/>
      <c r="S104" s="59"/>
      <c r="T104" s="59"/>
      <c r="W104" s="15"/>
      <c r="X104" s="15"/>
      <c r="Y104" s="15"/>
      <c r="Z104" s="15"/>
      <c r="AA104" s="15"/>
    </row>
    <row r="105" spans="1:27" s="16" customFormat="1" ht="13.5" thickBot="1" x14ac:dyDescent="0.25">
      <c r="A105" s="24" t="s">
        <v>13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N105" s="15"/>
      <c r="O105" s="15"/>
      <c r="P105" s="59"/>
      <c r="Q105" s="59"/>
      <c r="R105" s="59"/>
      <c r="S105" s="59"/>
      <c r="T105" s="59"/>
      <c r="W105" s="15"/>
      <c r="X105" s="15"/>
      <c r="Y105" s="15"/>
      <c r="Z105" s="15"/>
      <c r="AA105" s="15"/>
    </row>
    <row r="106" spans="1:27" s="16" customFormat="1" x14ac:dyDescent="0.2">
      <c r="A106" s="29" t="str">
        <f t="shared" ref="A106:J106" si="54">A26</f>
        <v>Tommy</v>
      </c>
      <c r="B106" s="17">
        <f t="shared" si="54"/>
        <v>4</v>
      </c>
      <c r="C106" s="3">
        <f t="shared" si="54"/>
        <v>4</v>
      </c>
      <c r="D106" s="3">
        <f t="shared" si="54"/>
        <v>4</v>
      </c>
      <c r="E106" s="3">
        <f t="shared" si="54"/>
        <v>4</v>
      </c>
      <c r="F106" s="3">
        <f t="shared" si="54"/>
        <v>5</v>
      </c>
      <c r="G106" s="3">
        <f t="shared" si="54"/>
        <v>3</v>
      </c>
      <c r="H106" s="3">
        <f t="shared" si="54"/>
        <v>4</v>
      </c>
      <c r="I106" s="3">
        <f t="shared" si="54"/>
        <v>7</v>
      </c>
      <c r="J106" s="4">
        <f t="shared" si="54"/>
        <v>3</v>
      </c>
      <c r="K106" s="12">
        <f>SUM(B106:J106)</f>
        <v>38</v>
      </c>
      <c r="N106" s="15"/>
      <c r="O106" s="15"/>
      <c r="P106" s="59"/>
      <c r="Q106" s="59"/>
      <c r="R106" s="59"/>
      <c r="S106" s="59"/>
      <c r="T106" s="59"/>
      <c r="W106" s="15"/>
      <c r="X106" s="15"/>
      <c r="Y106" s="15"/>
      <c r="Z106" s="15"/>
      <c r="AA106" s="15"/>
    </row>
    <row r="107" spans="1:27" s="16" customFormat="1" x14ac:dyDescent="0.2">
      <c r="A107" s="30">
        <f>A27</f>
        <v>5</v>
      </c>
      <c r="B107" s="18">
        <f>IF(AND(ISNUMBER($A107),ISNUMBER($A113)),IF((RANK(B$4,$B$4:$J$4,1))&lt;=($A107-$A113),1,0),"")</f>
        <v>0</v>
      </c>
      <c r="C107" s="6">
        <f t="shared" ref="C107:J107" si="55">IF(AND(ISNUMBER($A107),ISNUMBER($A113)),IF((RANK(C$4,$B$4:$J$4,1))&lt;=($A107-$A113),1,0),"")</f>
        <v>0</v>
      </c>
      <c r="D107" s="6">
        <f t="shared" si="55"/>
        <v>0</v>
      </c>
      <c r="E107" s="6">
        <f t="shared" si="55"/>
        <v>0</v>
      </c>
      <c r="F107" s="6">
        <f t="shared" si="55"/>
        <v>0</v>
      </c>
      <c r="G107" s="6">
        <f t="shared" si="55"/>
        <v>0</v>
      </c>
      <c r="H107" s="6">
        <f t="shared" si="55"/>
        <v>0</v>
      </c>
      <c r="I107" s="6">
        <f t="shared" si="55"/>
        <v>0</v>
      </c>
      <c r="J107" s="7">
        <f t="shared" si="55"/>
        <v>0</v>
      </c>
      <c r="K107" s="13">
        <f>SUM(B107:J107)</f>
        <v>0</v>
      </c>
      <c r="N107" s="15"/>
      <c r="O107" s="15"/>
      <c r="P107" s="59"/>
      <c r="Q107" s="59"/>
      <c r="R107" s="59"/>
      <c r="S107" s="59"/>
      <c r="T107" s="59"/>
      <c r="W107" s="15"/>
      <c r="X107" s="15"/>
      <c r="Y107" s="15"/>
      <c r="Z107" s="15"/>
      <c r="AA107" s="15"/>
    </row>
    <row r="108" spans="1:27" s="16" customFormat="1" x14ac:dyDescent="0.2">
      <c r="A108" s="30">
        <f>IF((A107-A113)&gt;9,(A107-A113-9),0)</f>
        <v>0</v>
      </c>
      <c r="B108" s="18">
        <f>IF(AND(ISNUMBER($A108),ISNUMBER($A114)),IF((RANK(B$4,$B$4:$J$4,1))&lt;=($A108-$A114),1,0),"")</f>
        <v>0</v>
      </c>
      <c r="C108" s="6">
        <f t="shared" ref="C108:J108" si="56">IF(AND(ISNUMBER($A108),ISNUMBER($A114)),IF((RANK(C$4,$B$4:$J$4,1))&lt;=($A108-$A114),1,0),"")</f>
        <v>0</v>
      </c>
      <c r="D108" s="6">
        <f t="shared" si="56"/>
        <v>0</v>
      </c>
      <c r="E108" s="6">
        <f t="shared" si="56"/>
        <v>0</v>
      </c>
      <c r="F108" s="6">
        <f t="shared" si="56"/>
        <v>0</v>
      </c>
      <c r="G108" s="6">
        <f t="shared" si="56"/>
        <v>0</v>
      </c>
      <c r="H108" s="6">
        <f t="shared" si="56"/>
        <v>0</v>
      </c>
      <c r="I108" s="6">
        <f t="shared" si="56"/>
        <v>0</v>
      </c>
      <c r="J108" s="7">
        <f t="shared" si="56"/>
        <v>0</v>
      </c>
      <c r="K108" s="13">
        <f>SUM(B108:J108)</f>
        <v>0</v>
      </c>
      <c r="N108" s="15"/>
      <c r="O108" s="15"/>
      <c r="P108" s="59"/>
      <c r="Q108" s="59"/>
      <c r="R108" s="59"/>
      <c r="S108" s="59"/>
      <c r="T108" s="59"/>
      <c r="W108" s="15"/>
      <c r="X108" s="15"/>
      <c r="Y108" s="15"/>
      <c r="Z108" s="15"/>
      <c r="AA108" s="15"/>
    </row>
    <row r="109" spans="1:27" s="16" customFormat="1" x14ac:dyDescent="0.2">
      <c r="A109" s="30"/>
      <c r="B109" s="82">
        <f t="shared" ref="B109:J109" si="57">IF(AND(ISNUMBER(B106),ISNUMBER(B107)),B106-B107-B108," ")</f>
        <v>4</v>
      </c>
      <c r="C109" s="83">
        <f t="shared" si="57"/>
        <v>4</v>
      </c>
      <c r="D109" s="83">
        <f t="shared" si="57"/>
        <v>4</v>
      </c>
      <c r="E109" s="83">
        <f t="shared" si="57"/>
        <v>4</v>
      </c>
      <c r="F109" s="83">
        <f t="shared" si="57"/>
        <v>5</v>
      </c>
      <c r="G109" s="83">
        <f t="shared" si="57"/>
        <v>3</v>
      </c>
      <c r="H109" s="83">
        <f t="shared" si="57"/>
        <v>4</v>
      </c>
      <c r="I109" s="83">
        <f t="shared" si="57"/>
        <v>7</v>
      </c>
      <c r="J109" s="84">
        <f t="shared" si="57"/>
        <v>3</v>
      </c>
      <c r="K109" s="13">
        <f>IF(ISNUMBER(FIND("Wins",K110)), 2, IF(ISNUMBER(FIND("Tie",K110)), 1, 0))</f>
        <v>2</v>
      </c>
      <c r="N109" s="15"/>
      <c r="O109" s="15"/>
      <c r="P109" s="59"/>
      <c r="Q109" s="59"/>
      <c r="R109" s="59"/>
      <c r="S109" s="59"/>
      <c r="T109" s="59"/>
      <c r="W109" s="15"/>
      <c r="X109" s="15"/>
      <c r="Y109" s="15"/>
      <c r="Z109" s="15"/>
      <c r="AA109" s="15"/>
    </row>
    <row r="110" spans="1:27" s="16" customFormat="1" ht="13.5" thickBot="1" x14ac:dyDescent="0.25">
      <c r="A110" s="31"/>
      <c r="B110" s="19">
        <f>IF(AND(ISNUMBER(B109),ISNUMBER(B115)),IF(B109&lt;B115, 0+1, (IF(B109&gt;B115, 0-1, 0)))," ")</f>
        <v>-1</v>
      </c>
      <c r="C110" s="9">
        <f t="shared" ref="C110:J110" si="58">IF(AND(ISNUMBER(C109),ISNUMBER(C115)),IF(C109&lt;C115, +B110+1, (IF(C109&gt;C115, +B110-1, +B110)))," ")</f>
        <v>0</v>
      </c>
      <c r="D110" s="9">
        <f t="shared" si="58"/>
        <v>1</v>
      </c>
      <c r="E110" s="9">
        <f t="shared" si="58"/>
        <v>1</v>
      </c>
      <c r="F110" s="9">
        <f t="shared" si="58"/>
        <v>1</v>
      </c>
      <c r="G110" s="9">
        <f t="shared" si="58"/>
        <v>2</v>
      </c>
      <c r="H110" s="9">
        <f t="shared" si="58"/>
        <v>3</v>
      </c>
      <c r="I110" s="9">
        <f t="shared" si="58"/>
        <v>2</v>
      </c>
      <c r="J110" s="10">
        <f t="shared" si="58"/>
        <v>3</v>
      </c>
      <c r="K110" s="14" t="str">
        <f>IF(ISNUMBER(J110),IF(F110&gt;4,"Wins " &amp; F110 &amp; " &amp; 4",IF(G110&gt;3,"Wins " &amp; G110 &amp; " &amp; 3",IF(H110&gt;2,"Wins " &amp; H110 &amp; " &amp; 2",IF(I110&gt;1,"Wins " &amp; I110 &amp; " &amp; 1",IF(J110&gt;J116,"Wins " &amp; J110 &amp; " Up",IF(J110&lt;J116,"Loss","Tie"))))))," ")</f>
        <v>Wins 3 &amp; 2</v>
      </c>
      <c r="N110" s="15"/>
      <c r="O110" s="15"/>
      <c r="P110" s="59"/>
      <c r="Q110" s="59"/>
      <c r="R110" s="59"/>
      <c r="S110" s="59"/>
      <c r="T110" s="59"/>
      <c r="W110" s="15"/>
      <c r="X110" s="15"/>
      <c r="Y110" s="15"/>
      <c r="Z110" s="15"/>
      <c r="AA110" s="15"/>
    </row>
    <row r="111" spans="1:27" s="16" customFormat="1" ht="13.5" thickBot="1" x14ac:dyDescent="0.25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N111" s="15"/>
      <c r="O111" s="15"/>
      <c r="P111" s="59"/>
      <c r="Q111" s="59"/>
      <c r="R111" s="59"/>
      <c r="S111" s="59"/>
      <c r="T111" s="59"/>
      <c r="W111" s="15"/>
      <c r="X111" s="15"/>
      <c r="Y111" s="15"/>
      <c r="Z111" s="15"/>
      <c r="AA111" s="15"/>
    </row>
    <row r="112" spans="1:27" s="16" customFormat="1" x14ac:dyDescent="0.2">
      <c r="A112" s="29" t="str">
        <f t="shared" ref="A112:J112" si="59">A28</f>
        <v>Patrick</v>
      </c>
      <c r="B112" s="17">
        <f t="shared" si="59"/>
        <v>4</v>
      </c>
      <c r="C112" s="3">
        <f t="shared" si="59"/>
        <v>6</v>
      </c>
      <c r="D112" s="3">
        <f t="shared" si="59"/>
        <v>5</v>
      </c>
      <c r="E112" s="3">
        <f t="shared" si="59"/>
        <v>5</v>
      </c>
      <c r="F112" s="3">
        <f t="shared" si="59"/>
        <v>5</v>
      </c>
      <c r="G112" s="3">
        <f t="shared" si="59"/>
        <v>6</v>
      </c>
      <c r="H112" s="3">
        <f t="shared" si="59"/>
        <v>5</v>
      </c>
      <c r="I112" s="3">
        <f t="shared" si="59"/>
        <v>7</v>
      </c>
      <c r="J112" s="4">
        <f t="shared" si="59"/>
        <v>6</v>
      </c>
      <c r="K112" s="12">
        <f>SUM(B112:J112)</f>
        <v>49</v>
      </c>
      <c r="N112" s="15"/>
      <c r="O112" s="15"/>
      <c r="P112" s="59"/>
      <c r="Q112" s="59"/>
      <c r="R112" s="59"/>
      <c r="S112" s="59"/>
      <c r="T112" s="59"/>
      <c r="W112" s="15"/>
      <c r="X112" s="15"/>
      <c r="Y112" s="15"/>
      <c r="Z112" s="15"/>
      <c r="AA112" s="15"/>
    </row>
    <row r="113" spans="1:27" s="16" customFormat="1" x14ac:dyDescent="0.2">
      <c r="A113" s="30">
        <f>A29</f>
        <v>8</v>
      </c>
      <c r="B113" s="18">
        <f>IF(AND(ISNUMBER($A107),ISNUMBER($A113)),IF((RANK(B$4,$B$4:$J$4,1))&lt;=($A113-$A107),1,0),"")</f>
        <v>1</v>
      </c>
      <c r="C113" s="6">
        <f t="shared" ref="C113:J113" si="60">IF(AND(ISNUMBER($A107),ISNUMBER($A113)),IF((RANK(C$4,$B$4:$J$4,1))&lt;=($A113-$A107),1,0),"")</f>
        <v>0</v>
      </c>
      <c r="D113" s="6">
        <f t="shared" si="60"/>
        <v>0</v>
      </c>
      <c r="E113" s="6">
        <f t="shared" si="60"/>
        <v>1</v>
      </c>
      <c r="F113" s="6">
        <f t="shared" si="60"/>
        <v>0</v>
      </c>
      <c r="G113" s="6">
        <f t="shared" si="60"/>
        <v>0</v>
      </c>
      <c r="H113" s="6">
        <f t="shared" si="60"/>
        <v>0</v>
      </c>
      <c r="I113" s="6">
        <f t="shared" si="60"/>
        <v>1</v>
      </c>
      <c r="J113" s="7">
        <f t="shared" si="60"/>
        <v>0</v>
      </c>
      <c r="K113" s="13">
        <f>SUM(B113:J113)</f>
        <v>3</v>
      </c>
      <c r="N113" s="15"/>
      <c r="O113" s="15"/>
      <c r="P113" s="59"/>
      <c r="Q113" s="59"/>
      <c r="R113" s="59"/>
      <c r="S113" s="59"/>
      <c r="T113" s="59"/>
      <c r="W113" s="15"/>
      <c r="X113" s="15"/>
      <c r="Y113" s="15"/>
      <c r="Z113" s="15"/>
      <c r="AA113" s="15"/>
    </row>
    <row r="114" spans="1:27" s="16" customFormat="1" x14ac:dyDescent="0.2">
      <c r="A114" s="30">
        <f>IF((A113-A107)&gt;9,(A113-A107-9),0)</f>
        <v>0</v>
      </c>
      <c r="B114" s="18">
        <f>IF(AND(ISNUMBER($A108),ISNUMBER($A114)),IF((RANK(B$4,$B$4:$J$4,1))&lt;=($A114-$A108),1,0),"")</f>
        <v>0</v>
      </c>
      <c r="C114" s="6">
        <f t="shared" ref="C114:J114" si="61">IF(AND(ISNUMBER($A108),ISNUMBER($A114)),IF((RANK(C$4,$B$4:$J$4,1))&lt;=($A114-$A108),1,0),"")</f>
        <v>0</v>
      </c>
      <c r="D114" s="6">
        <f t="shared" si="61"/>
        <v>0</v>
      </c>
      <c r="E114" s="6">
        <f t="shared" si="61"/>
        <v>0</v>
      </c>
      <c r="F114" s="6">
        <f t="shared" si="61"/>
        <v>0</v>
      </c>
      <c r="G114" s="6">
        <f t="shared" si="61"/>
        <v>0</v>
      </c>
      <c r="H114" s="6">
        <f t="shared" si="61"/>
        <v>0</v>
      </c>
      <c r="I114" s="6">
        <f t="shared" si="61"/>
        <v>0</v>
      </c>
      <c r="J114" s="7">
        <f t="shared" si="61"/>
        <v>0</v>
      </c>
      <c r="K114" s="13">
        <f>SUM(B114:J114)</f>
        <v>0</v>
      </c>
      <c r="N114" s="15"/>
      <c r="O114" s="15"/>
      <c r="P114" s="59"/>
      <c r="Q114" s="59"/>
      <c r="R114" s="59"/>
      <c r="S114" s="59"/>
      <c r="T114" s="59"/>
      <c r="W114" s="15"/>
      <c r="X114" s="15"/>
      <c r="Y114" s="15"/>
      <c r="Z114" s="15"/>
      <c r="AA114" s="15"/>
    </row>
    <row r="115" spans="1:27" s="16" customFormat="1" x14ac:dyDescent="0.2">
      <c r="A115" s="30"/>
      <c r="B115" s="82">
        <f t="shared" ref="B115:J115" si="62">IF(AND(ISNUMBER(B112),ISNUMBER(B113)),B112-B113-B114," ")</f>
        <v>3</v>
      </c>
      <c r="C115" s="83">
        <f t="shared" si="62"/>
        <v>6</v>
      </c>
      <c r="D115" s="83">
        <f t="shared" si="62"/>
        <v>5</v>
      </c>
      <c r="E115" s="83">
        <f t="shared" si="62"/>
        <v>4</v>
      </c>
      <c r="F115" s="83">
        <f t="shared" si="62"/>
        <v>5</v>
      </c>
      <c r="G115" s="83">
        <f t="shared" si="62"/>
        <v>6</v>
      </c>
      <c r="H115" s="83">
        <f t="shared" si="62"/>
        <v>5</v>
      </c>
      <c r="I115" s="83">
        <f t="shared" si="62"/>
        <v>6</v>
      </c>
      <c r="J115" s="84">
        <f t="shared" si="62"/>
        <v>6</v>
      </c>
      <c r="K115" s="13">
        <f>IF(ISNUMBER(FIND("Wins",K116)), 2, IF(ISNUMBER(FIND("Tie",K116)), 1, 0))</f>
        <v>0</v>
      </c>
      <c r="N115" s="15"/>
      <c r="O115" s="15"/>
      <c r="P115" s="59"/>
      <c r="Q115" s="59"/>
      <c r="R115" s="59"/>
      <c r="S115" s="59"/>
      <c r="T115" s="59"/>
      <c r="W115" s="15"/>
      <c r="X115" s="15"/>
      <c r="Y115" s="15"/>
      <c r="Z115" s="15"/>
      <c r="AA115" s="15"/>
    </row>
    <row r="116" spans="1:27" s="16" customFormat="1" ht="13.5" thickBot="1" x14ac:dyDescent="0.25">
      <c r="A116" s="31"/>
      <c r="B116" s="19">
        <f>IF(AND(ISNUMBER(B109),ISNUMBER(B115)),IF(B115&lt;B109, 0+1, (IF(B115&gt;B109, 0-1, 0)))," ")</f>
        <v>1</v>
      </c>
      <c r="C116" s="9">
        <f t="shared" ref="C116:J116" si="63">IF(AND(ISNUMBER(C109),ISNUMBER(C115)),IF(C115&lt;C109, +B116+1, (IF(C115&gt;C109, +B116-1, +B116)))," ")</f>
        <v>0</v>
      </c>
      <c r="D116" s="9">
        <f t="shared" si="63"/>
        <v>-1</v>
      </c>
      <c r="E116" s="9">
        <f t="shared" si="63"/>
        <v>-1</v>
      </c>
      <c r="F116" s="9">
        <f t="shared" si="63"/>
        <v>-1</v>
      </c>
      <c r="G116" s="9">
        <f t="shared" si="63"/>
        <v>-2</v>
      </c>
      <c r="H116" s="9">
        <f t="shared" si="63"/>
        <v>-3</v>
      </c>
      <c r="I116" s="9">
        <f t="shared" si="63"/>
        <v>-2</v>
      </c>
      <c r="J116" s="10">
        <f t="shared" si="63"/>
        <v>-3</v>
      </c>
      <c r="K116" s="14" t="str">
        <f>IF(ISNUMBER(J116),IF(F116&gt;4,"Wins " &amp; F116 &amp; " &amp; 4",IF(G116&gt;3,"Wins " &amp; G116 &amp; " &amp; 3",IF(H116&gt;2,"Wins " &amp; H116 &amp; " &amp; 2",IF(I116&gt;1,"Wins " &amp; I116 &amp; " &amp; 1",IF(J116&gt;J110,"Wins " &amp; J116 &amp; " Up",IF(J116&lt;J110,"Loss","Tie"))))))," ")</f>
        <v>Loss</v>
      </c>
      <c r="N116" s="15"/>
      <c r="O116" s="15"/>
      <c r="P116" s="59"/>
      <c r="Q116" s="59"/>
      <c r="R116" s="59"/>
      <c r="S116" s="59"/>
      <c r="T116" s="59"/>
      <c r="W116" s="15"/>
      <c r="X116" s="15"/>
      <c r="Y116" s="15"/>
      <c r="Z116" s="15"/>
      <c r="AA116" s="15"/>
    </row>
    <row r="117" spans="1:27" s="16" customFormat="1" x14ac:dyDescent="0.2">
      <c r="A117" s="26"/>
      <c r="B117" s="85"/>
      <c r="C117" s="85"/>
      <c r="D117" s="85"/>
      <c r="E117" s="85"/>
      <c r="F117" s="85"/>
      <c r="G117" s="85"/>
      <c r="H117" s="85"/>
      <c r="I117" s="85"/>
      <c r="J117" s="85"/>
      <c r="K117" s="15"/>
      <c r="N117" s="15"/>
      <c r="O117" s="15"/>
      <c r="P117" s="59"/>
      <c r="Q117" s="59"/>
      <c r="R117" s="59"/>
      <c r="S117" s="59"/>
      <c r="T117" s="59"/>
      <c r="W117" s="15"/>
      <c r="X117" s="15"/>
      <c r="Y117" s="15"/>
      <c r="Z117" s="15"/>
      <c r="AA117" s="15"/>
    </row>
    <row r="118" spans="1:27" ht="13.5" thickBot="1" x14ac:dyDescent="0.25">
      <c r="A118" s="24" t="s">
        <v>82</v>
      </c>
    </row>
    <row r="119" spans="1:27" x14ac:dyDescent="0.2">
      <c r="A119" s="79" t="str">
        <f t="shared" ref="A119:J119" si="64">A30</f>
        <v>Mil</v>
      </c>
      <c r="B119" s="17">
        <f t="shared" si="64"/>
        <v>4</v>
      </c>
      <c r="C119" s="3">
        <f t="shared" si="64"/>
        <v>7</v>
      </c>
      <c r="D119" s="3">
        <f t="shared" si="64"/>
        <v>5</v>
      </c>
      <c r="E119" s="3">
        <f t="shared" si="64"/>
        <v>9</v>
      </c>
      <c r="F119" s="3">
        <f t="shared" si="64"/>
        <v>4</v>
      </c>
      <c r="G119" s="3">
        <f t="shared" si="64"/>
        <v>6</v>
      </c>
      <c r="H119" s="3">
        <f t="shared" si="64"/>
        <v>4</v>
      </c>
      <c r="I119" s="3">
        <f t="shared" si="64"/>
        <v>6</v>
      </c>
      <c r="J119" s="4">
        <f t="shared" si="64"/>
        <v>3</v>
      </c>
      <c r="K119" s="12">
        <f>SUM(B119:J119)</f>
        <v>48</v>
      </c>
    </row>
    <row r="120" spans="1:27" x14ac:dyDescent="0.2">
      <c r="A120" s="80">
        <f>A31</f>
        <v>6</v>
      </c>
      <c r="B120" s="18">
        <f>IF(AND(ISNUMBER($A120),ISNUMBER($A126)),IF((RANK(B$4,$B$4:$J$4,1))&lt;=($A120-$A126),1,0),"")</f>
        <v>0</v>
      </c>
      <c r="C120" s="6">
        <f t="shared" ref="C120:J120" si="65">IF(AND(ISNUMBER($A120),ISNUMBER($A126)),IF((RANK(C$4,$B$4:$J$4,1))&lt;=($A120-$A126),1,0),"")</f>
        <v>0</v>
      </c>
      <c r="D120" s="6">
        <f t="shared" si="65"/>
        <v>0</v>
      </c>
      <c r="E120" s="6">
        <f t="shared" si="65"/>
        <v>0</v>
      </c>
      <c r="F120" s="6">
        <f t="shared" si="65"/>
        <v>0</v>
      </c>
      <c r="G120" s="6">
        <f t="shared" si="65"/>
        <v>0</v>
      </c>
      <c r="H120" s="6">
        <f t="shared" si="65"/>
        <v>0</v>
      </c>
      <c r="I120" s="6">
        <f t="shared" si="65"/>
        <v>0</v>
      </c>
      <c r="J120" s="7">
        <f t="shared" si="65"/>
        <v>0</v>
      </c>
      <c r="K120" s="13">
        <f>SUM(B120:J120)</f>
        <v>0</v>
      </c>
    </row>
    <row r="121" spans="1:27" x14ac:dyDescent="0.2">
      <c r="A121" s="80">
        <f>IF((A120-A126)&gt;9,(A120-A126-9),0)</f>
        <v>0</v>
      </c>
      <c r="B121" s="18">
        <f>IF(AND(ISNUMBER($A121),ISNUMBER($A127)),IF((RANK(B$4,$B$4:$J$4,1))&lt;=($A121-$A127),1,0),"")</f>
        <v>0</v>
      </c>
      <c r="C121" s="6">
        <f t="shared" ref="C121:J121" si="66">IF(AND(ISNUMBER($A121),ISNUMBER($A127)),IF((RANK(C$4,$B$4:$J$4,1))&lt;=($A121-$A127),1,0),"")</f>
        <v>0</v>
      </c>
      <c r="D121" s="6">
        <f t="shared" si="66"/>
        <v>0</v>
      </c>
      <c r="E121" s="6">
        <f t="shared" si="66"/>
        <v>0</v>
      </c>
      <c r="F121" s="6">
        <f t="shared" si="66"/>
        <v>0</v>
      </c>
      <c r="G121" s="6">
        <f t="shared" si="66"/>
        <v>0</v>
      </c>
      <c r="H121" s="6">
        <f t="shared" si="66"/>
        <v>0</v>
      </c>
      <c r="I121" s="6">
        <f t="shared" si="66"/>
        <v>0</v>
      </c>
      <c r="J121" s="7">
        <f t="shared" si="66"/>
        <v>0</v>
      </c>
      <c r="K121" s="13">
        <f>SUM(B121:J121)</f>
        <v>0</v>
      </c>
    </row>
    <row r="122" spans="1:27" x14ac:dyDescent="0.2">
      <c r="A122" s="80"/>
      <c r="B122" s="82">
        <f t="shared" ref="B122:J122" si="67">IF(AND(ISNUMBER(B119),ISNUMBER(B120)),B119-B120-B121," ")</f>
        <v>4</v>
      </c>
      <c r="C122" s="83">
        <f t="shared" si="67"/>
        <v>7</v>
      </c>
      <c r="D122" s="83">
        <f t="shared" si="67"/>
        <v>5</v>
      </c>
      <c r="E122" s="83">
        <f t="shared" si="67"/>
        <v>9</v>
      </c>
      <c r="F122" s="83">
        <f t="shared" si="67"/>
        <v>4</v>
      </c>
      <c r="G122" s="83">
        <f t="shared" si="67"/>
        <v>6</v>
      </c>
      <c r="H122" s="83">
        <f t="shared" si="67"/>
        <v>4</v>
      </c>
      <c r="I122" s="83">
        <f t="shared" si="67"/>
        <v>6</v>
      </c>
      <c r="J122" s="84">
        <f t="shared" si="67"/>
        <v>3</v>
      </c>
      <c r="K122" s="13">
        <f>IF(ISNUMBER(FIND("Wins",K123)), 2, IF(ISNUMBER(FIND("Tie",K123)), 1, 0))</f>
        <v>2</v>
      </c>
    </row>
    <row r="123" spans="1:27" ht="13.5" thickBot="1" x14ac:dyDescent="0.25">
      <c r="A123" s="81"/>
      <c r="B123" s="19">
        <f>IF(AND(ISNUMBER(B122),ISNUMBER(B128)),IF(B122&lt;B128, 0+1, (IF(B122&gt;B128, 0-1, 0)))," ")</f>
        <v>1</v>
      </c>
      <c r="C123" s="9">
        <f t="shared" ref="C123:J123" si="68">IF(AND(ISNUMBER(C122),ISNUMBER(C128)),IF(C122&lt;C128, +B123+1, (IF(C122&gt;C128, +B123-1, +B123)))," ")</f>
        <v>0</v>
      </c>
      <c r="D123" s="9">
        <f t="shared" si="68"/>
        <v>-1</v>
      </c>
      <c r="E123" s="9">
        <f t="shared" si="68"/>
        <v>-2</v>
      </c>
      <c r="F123" s="9">
        <f t="shared" si="68"/>
        <v>-1</v>
      </c>
      <c r="G123" s="9">
        <f t="shared" si="68"/>
        <v>-1</v>
      </c>
      <c r="H123" s="9">
        <f t="shared" si="68"/>
        <v>0</v>
      </c>
      <c r="I123" s="9">
        <f t="shared" si="68"/>
        <v>1</v>
      </c>
      <c r="J123" s="10">
        <f t="shared" si="68"/>
        <v>1</v>
      </c>
      <c r="K123" s="14" t="str">
        <f>IF(ISNUMBER(J123),IF(F123&gt;4,"Wins " &amp; F123 &amp; " &amp; 4",IF(G123&gt;3,"Wins " &amp; G123 &amp; " &amp; 3",IF(H123&gt;2,"Wins " &amp; H123 &amp; " &amp; 2",IF(I123&gt;1,"Wins " &amp; I123 &amp; " &amp; 1",IF(J123&gt;J129,"Wins " &amp; J123 &amp; " Up",IF(J123&lt;J129,"Loss","Tie"))))))," ")</f>
        <v>Wins 1 Up</v>
      </c>
    </row>
    <row r="124" spans="1:27" ht="13.5" thickBot="1" x14ac:dyDescent="0.25">
      <c r="A124" s="32"/>
    </row>
    <row r="125" spans="1:27" x14ac:dyDescent="0.2">
      <c r="A125" s="79" t="str">
        <f t="shared" ref="A125:J125" si="69">A32</f>
        <v>Brian S</v>
      </c>
      <c r="B125" s="17">
        <f t="shared" si="69"/>
        <v>6</v>
      </c>
      <c r="C125" s="3">
        <f t="shared" si="69"/>
        <v>5</v>
      </c>
      <c r="D125" s="3">
        <f t="shared" si="69"/>
        <v>4</v>
      </c>
      <c r="E125" s="3">
        <f t="shared" si="69"/>
        <v>5</v>
      </c>
      <c r="F125" s="3">
        <f t="shared" si="69"/>
        <v>6</v>
      </c>
      <c r="G125" s="3">
        <f t="shared" si="69"/>
        <v>7</v>
      </c>
      <c r="H125" s="3">
        <f t="shared" si="69"/>
        <v>8</v>
      </c>
      <c r="I125" s="3">
        <f t="shared" si="69"/>
        <v>9</v>
      </c>
      <c r="J125" s="4">
        <f t="shared" si="69"/>
        <v>4</v>
      </c>
      <c r="K125" s="12">
        <f>SUM(B125:J125)</f>
        <v>54</v>
      </c>
    </row>
    <row r="126" spans="1:27" x14ac:dyDescent="0.2">
      <c r="A126" s="80">
        <f>A33</f>
        <v>13</v>
      </c>
      <c r="B126" s="18">
        <f>IF(AND(ISNUMBER($A120),ISNUMBER($A126)),IF((RANK(B$4,$B$4:$J$4,1))&lt;=($A126-$A120),1,0),"")</f>
        <v>1</v>
      </c>
      <c r="C126" s="6">
        <f t="shared" ref="C126:J126" si="70">IF(AND(ISNUMBER($A120),ISNUMBER($A126)),IF((RANK(C$4,$B$4:$J$4,1))&lt;=($A126-$A120),1,0),"")</f>
        <v>1</v>
      </c>
      <c r="D126" s="6">
        <f t="shared" si="70"/>
        <v>1</v>
      </c>
      <c r="E126" s="6">
        <f t="shared" si="70"/>
        <v>1</v>
      </c>
      <c r="F126" s="6">
        <f t="shared" si="70"/>
        <v>0</v>
      </c>
      <c r="G126" s="6">
        <f t="shared" si="70"/>
        <v>1</v>
      </c>
      <c r="H126" s="6">
        <f t="shared" si="70"/>
        <v>0</v>
      </c>
      <c r="I126" s="6">
        <f t="shared" si="70"/>
        <v>1</v>
      </c>
      <c r="J126" s="7">
        <f t="shared" si="70"/>
        <v>1</v>
      </c>
      <c r="K126" s="13">
        <f>SUM(B126:J126)</f>
        <v>7</v>
      </c>
    </row>
    <row r="127" spans="1:27" x14ac:dyDescent="0.2">
      <c r="A127" s="80">
        <f>IF((A126-A120)&gt;9,(A126-A120-9),0)</f>
        <v>0</v>
      </c>
      <c r="B127" s="18">
        <f>IF(AND(ISNUMBER($A121),ISNUMBER($A127)),IF((RANK(B$4,$B$4:$J$4,1))&lt;=($A127-$A121),1,0),"")</f>
        <v>0</v>
      </c>
      <c r="C127" s="6">
        <f t="shared" ref="C127:J127" si="71">IF(AND(ISNUMBER($A121),ISNUMBER($A127)),IF((RANK(C$4,$B$4:$J$4,1))&lt;=($A127-$A121),1,0),"")</f>
        <v>0</v>
      </c>
      <c r="D127" s="6">
        <f t="shared" si="71"/>
        <v>0</v>
      </c>
      <c r="E127" s="6">
        <f t="shared" si="71"/>
        <v>0</v>
      </c>
      <c r="F127" s="6">
        <f t="shared" si="71"/>
        <v>0</v>
      </c>
      <c r="G127" s="6">
        <f t="shared" si="71"/>
        <v>0</v>
      </c>
      <c r="H127" s="6">
        <f t="shared" si="71"/>
        <v>0</v>
      </c>
      <c r="I127" s="6">
        <f t="shared" si="71"/>
        <v>0</v>
      </c>
      <c r="J127" s="7">
        <f t="shared" si="71"/>
        <v>0</v>
      </c>
      <c r="K127" s="13">
        <f>SUM(B127:J127)</f>
        <v>0</v>
      </c>
    </row>
    <row r="128" spans="1:27" x14ac:dyDescent="0.2">
      <c r="A128" s="80"/>
      <c r="B128" s="82">
        <f t="shared" ref="B128:J128" si="72">IF(AND(ISNUMBER(B125),ISNUMBER(B126)),B125-B126-B127," ")</f>
        <v>5</v>
      </c>
      <c r="C128" s="83">
        <f t="shared" si="72"/>
        <v>4</v>
      </c>
      <c r="D128" s="83">
        <f t="shared" si="72"/>
        <v>3</v>
      </c>
      <c r="E128" s="83">
        <f t="shared" si="72"/>
        <v>4</v>
      </c>
      <c r="F128" s="83">
        <f t="shared" si="72"/>
        <v>6</v>
      </c>
      <c r="G128" s="83">
        <f t="shared" si="72"/>
        <v>6</v>
      </c>
      <c r="H128" s="83">
        <f t="shared" si="72"/>
        <v>8</v>
      </c>
      <c r="I128" s="83">
        <f t="shared" si="72"/>
        <v>8</v>
      </c>
      <c r="J128" s="84">
        <f t="shared" si="72"/>
        <v>3</v>
      </c>
      <c r="K128" s="13">
        <f>IF(ISNUMBER(FIND("Wins",K129)), 2, IF(ISNUMBER(FIND("Tie",K129)), 1, 0))</f>
        <v>0</v>
      </c>
    </row>
    <row r="129" spans="1:11" ht="13.5" thickBot="1" x14ac:dyDescent="0.25">
      <c r="A129" s="81"/>
      <c r="B129" s="19">
        <f>IF(AND(ISNUMBER(B122),ISNUMBER(B128)),IF(B128&lt;B122, 0+1, (IF(B128&gt;B122, 0-1, 0)))," ")</f>
        <v>-1</v>
      </c>
      <c r="C129" s="9">
        <f t="shared" ref="C129:J129" si="73">IF(AND(ISNUMBER(C122),ISNUMBER(C128)),IF(C128&lt;C122, +B129+1, (IF(C128&gt;C122, +B129-1, +B129)))," ")</f>
        <v>0</v>
      </c>
      <c r="D129" s="9">
        <f t="shared" si="73"/>
        <v>1</v>
      </c>
      <c r="E129" s="9">
        <f t="shared" si="73"/>
        <v>2</v>
      </c>
      <c r="F129" s="9">
        <f t="shared" si="73"/>
        <v>1</v>
      </c>
      <c r="G129" s="9">
        <f t="shared" si="73"/>
        <v>1</v>
      </c>
      <c r="H129" s="9">
        <f t="shared" si="73"/>
        <v>0</v>
      </c>
      <c r="I129" s="9">
        <f t="shared" si="73"/>
        <v>-1</v>
      </c>
      <c r="J129" s="10">
        <f t="shared" si="73"/>
        <v>-1</v>
      </c>
      <c r="K129" s="14" t="str">
        <f>IF(ISNUMBER(J129),IF(F129&gt;4,"Wins " &amp; F129 &amp; " &amp; 4",IF(G129&gt;3,"Wins " &amp; G129 &amp; " &amp; 3",IF(H129&gt;2,"Wins " &amp; H129 &amp; " &amp; 2",IF(I129&gt;1,"Wins " &amp; I129 &amp; " &amp; 1",IF(J129&gt;J123,"Wins " &amp; J129 &amp; " Up",IF(J129&lt;J123,"Loss","Tie"))))))," ")</f>
        <v>Loss</v>
      </c>
    </row>
    <row r="130" spans="1:11" x14ac:dyDescent="0.2">
      <c r="A130" s="26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ht="13.5" thickBot="1" x14ac:dyDescent="0.25">
      <c r="A131" s="24" t="s">
        <v>133</v>
      </c>
    </row>
    <row r="132" spans="1:11" x14ac:dyDescent="0.2">
      <c r="A132" s="29" t="str">
        <f t="shared" ref="A132:J132" si="74">A34</f>
        <v>Keith</v>
      </c>
      <c r="B132" s="17">
        <f t="shared" si="74"/>
        <v>5</v>
      </c>
      <c r="C132" s="3">
        <f t="shared" si="74"/>
        <v>6</v>
      </c>
      <c r="D132" s="3">
        <f t="shared" si="74"/>
        <v>5</v>
      </c>
      <c r="E132" s="3">
        <f t="shared" si="74"/>
        <v>7</v>
      </c>
      <c r="F132" s="3">
        <f t="shared" si="74"/>
        <v>5</v>
      </c>
      <c r="G132" s="3">
        <f t="shared" si="74"/>
        <v>6</v>
      </c>
      <c r="H132" s="3">
        <f t="shared" si="74"/>
        <v>9</v>
      </c>
      <c r="I132" s="3">
        <f t="shared" si="74"/>
        <v>10</v>
      </c>
      <c r="J132" s="4">
        <f t="shared" si="74"/>
        <v>4</v>
      </c>
      <c r="K132" s="12">
        <f>SUM(B132:J132)</f>
        <v>57</v>
      </c>
    </row>
    <row r="133" spans="1:11" x14ac:dyDescent="0.2">
      <c r="A133" s="30">
        <f>A35</f>
        <v>16</v>
      </c>
      <c r="B133" s="18">
        <f>IF(AND(ISNUMBER($A133),ISNUMBER($A139)),IF((RANK(B$4,$B$4:$J$4,1))&lt;=($A133-$A139),1,0),"")</f>
        <v>1</v>
      </c>
      <c r="C133" s="6">
        <f t="shared" ref="C133:J133" si="75">IF(AND(ISNUMBER($A133),ISNUMBER($A139)),IF((RANK(C$4,$B$4:$J$4,1))&lt;=($A133-$A139),1,0),"")</f>
        <v>0</v>
      </c>
      <c r="D133" s="6">
        <f t="shared" si="75"/>
        <v>0</v>
      </c>
      <c r="E133" s="6">
        <f t="shared" si="75"/>
        <v>1</v>
      </c>
      <c r="F133" s="6">
        <f t="shared" si="75"/>
        <v>0</v>
      </c>
      <c r="G133" s="6">
        <f t="shared" si="75"/>
        <v>1</v>
      </c>
      <c r="H133" s="6">
        <f t="shared" si="75"/>
        <v>0</v>
      </c>
      <c r="I133" s="6">
        <f t="shared" si="75"/>
        <v>1</v>
      </c>
      <c r="J133" s="7">
        <f t="shared" si="75"/>
        <v>0</v>
      </c>
      <c r="K133" s="13">
        <f>SUM(B133:J133)</f>
        <v>4</v>
      </c>
    </row>
    <row r="134" spans="1:11" x14ac:dyDescent="0.2">
      <c r="A134" s="30">
        <f>IF((A133-A139)&gt;9,(A133-A139-9),0)</f>
        <v>0</v>
      </c>
      <c r="B134" s="18">
        <f>IF(AND(ISNUMBER($A134),ISNUMBER($A140)),IF((RANK(B$4,$B$4:$J$4,1))&lt;=($A134-$A140),1,0),"")</f>
        <v>0</v>
      </c>
      <c r="C134" s="6">
        <f t="shared" ref="C134:J134" si="76">IF(AND(ISNUMBER($A134),ISNUMBER($A140)),IF((RANK(C$4,$B$4:$J$4,1))&lt;=($A134-$A140),1,0),"")</f>
        <v>0</v>
      </c>
      <c r="D134" s="6">
        <f t="shared" si="76"/>
        <v>0</v>
      </c>
      <c r="E134" s="6">
        <f t="shared" si="76"/>
        <v>0</v>
      </c>
      <c r="F134" s="6">
        <f t="shared" si="76"/>
        <v>0</v>
      </c>
      <c r="G134" s="6">
        <f t="shared" si="76"/>
        <v>0</v>
      </c>
      <c r="H134" s="6">
        <f t="shared" si="76"/>
        <v>0</v>
      </c>
      <c r="I134" s="6">
        <f t="shared" si="76"/>
        <v>0</v>
      </c>
      <c r="J134" s="7">
        <f t="shared" si="76"/>
        <v>0</v>
      </c>
      <c r="K134" s="13">
        <f>SUM(B134:J134)</f>
        <v>0</v>
      </c>
    </row>
    <row r="135" spans="1:11" x14ac:dyDescent="0.2">
      <c r="A135" s="30"/>
      <c r="B135" s="82">
        <f t="shared" ref="B135:J135" si="77">IF(AND(ISNUMBER(B132),ISNUMBER(B133)),B132-B133-B134," ")</f>
        <v>4</v>
      </c>
      <c r="C135" s="83">
        <f t="shared" si="77"/>
        <v>6</v>
      </c>
      <c r="D135" s="83">
        <f t="shared" si="77"/>
        <v>5</v>
      </c>
      <c r="E135" s="83">
        <f t="shared" si="77"/>
        <v>6</v>
      </c>
      <c r="F135" s="83">
        <f t="shared" si="77"/>
        <v>5</v>
      </c>
      <c r="G135" s="83">
        <f t="shared" si="77"/>
        <v>5</v>
      </c>
      <c r="H135" s="83">
        <f t="shared" si="77"/>
        <v>9</v>
      </c>
      <c r="I135" s="83">
        <f t="shared" si="77"/>
        <v>9</v>
      </c>
      <c r="J135" s="84">
        <f t="shared" si="77"/>
        <v>4</v>
      </c>
      <c r="K135" s="13">
        <f>IF(ISNUMBER(FIND("Wins",K136)), 2, IF(ISNUMBER(FIND("Tie",K136)), 1, 0))</f>
        <v>2</v>
      </c>
    </row>
    <row r="136" spans="1:11" ht="13.5" thickBot="1" x14ac:dyDescent="0.25">
      <c r="A136" s="31"/>
      <c r="B136" s="19">
        <f>IF(AND(ISNUMBER(B135),ISNUMBER(B141)),IF(B135&lt;B141, 0+1, (IF(B135&gt;B141, 0-1, 0)))," ")</f>
        <v>1</v>
      </c>
      <c r="C136" s="9">
        <f t="shared" ref="C136:J136" si="78">IF(AND(ISNUMBER(C135),ISNUMBER(C141)),IF(C135&lt;C141, +B136+1, (IF(C135&gt;C141, +B136-1, +B136)))," ")</f>
        <v>1</v>
      </c>
      <c r="D136" s="9">
        <f t="shared" si="78"/>
        <v>2</v>
      </c>
      <c r="E136" s="9">
        <f t="shared" si="78"/>
        <v>1</v>
      </c>
      <c r="F136" s="9">
        <f t="shared" si="78"/>
        <v>0</v>
      </c>
      <c r="G136" s="9">
        <f t="shared" si="78"/>
        <v>1</v>
      </c>
      <c r="H136" s="9">
        <f t="shared" si="78"/>
        <v>0</v>
      </c>
      <c r="I136" s="9">
        <f t="shared" si="78"/>
        <v>1</v>
      </c>
      <c r="J136" s="10">
        <f t="shared" si="78"/>
        <v>2</v>
      </c>
      <c r="K136" s="14" t="str">
        <f>IF(ISNUMBER(J136),IF(F136&gt;4,"Wins " &amp; F136 &amp; " &amp; 4",IF(G136&gt;3,"Wins " &amp; G136 &amp; " &amp; 3",IF(H136&gt;2,"Wins " &amp; H136 &amp; " &amp; 2",IF(I136&gt;1,"Wins " &amp; I136 &amp; " &amp; 1",IF(J136&gt;J142,"Wins " &amp; J136 &amp; " Up",IF(J136&lt;J142,"Loss","Tie"))))))," ")</f>
        <v>Wins 2 Up</v>
      </c>
    </row>
    <row r="137" spans="1:11" ht="13.5" thickBot="1" x14ac:dyDescent="0.25">
      <c r="A137" s="32"/>
    </row>
    <row r="138" spans="1:11" x14ac:dyDescent="0.2">
      <c r="A138" s="29" t="str">
        <f t="shared" ref="A138:J138" si="79">A36</f>
        <v>Gerald C</v>
      </c>
      <c r="B138" s="17">
        <f t="shared" si="79"/>
        <v>6</v>
      </c>
      <c r="C138" s="3">
        <f t="shared" si="79"/>
        <v>6</v>
      </c>
      <c r="D138" s="3">
        <f t="shared" si="79"/>
        <v>8</v>
      </c>
      <c r="E138" s="3">
        <f t="shared" si="79"/>
        <v>5</v>
      </c>
      <c r="F138" s="3">
        <f t="shared" si="79"/>
        <v>4</v>
      </c>
      <c r="G138" s="3">
        <f t="shared" si="79"/>
        <v>6</v>
      </c>
      <c r="H138" s="3">
        <f t="shared" si="79"/>
        <v>7</v>
      </c>
      <c r="I138" s="3">
        <f t="shared" si="79"/>
        <v>10</v>
      </c>
      <c r="J138" s="4">
        <f t="shared" si="79"/>
        <v>5</v>
      </c>
      <c r="K138" s="12">
        <f>SUM(B138:J138)</f>
        <v>57</v>
      </c>
    </row>
    <row r="139" spans="1:11" x14ac:dyDescent="0.2">
      <c r="A139" s="30">
        <f>A37</f>
        <v>12</v>
      </c>
      <c r="B139" s="18">
        <f>IF(AND(ISNUMBER($A133),ISNUMBER($A139)),IF((RANK(B$4,$B$4:$J$4,1))&lt;=($A139-$A133),1,0),"")</f>
        <v>0</v>
      </c>
      <c r="C139" s="6">
        <f t="shared" ref="C139:J139" si="80">IF(AND(ISNUMBER($A133),ISNUMBER($A139)),IF((RANK(C$4,$B$4:$J$4,1))&lt;=($A139-$A133),1,0),"")</f>
        <v>0</v>
      </c>
      <c r="D139" s="6">
        <f t="shared" si="80"/>
        <v>0</v>
      </c>
      <c r="E139" s="6">
        <f t="shared" si="80"/>
        <v>0</v>
      </c>
      <c r="F139" s="6">
        <f t="shared" si="80"/>
        <v>0</v>
      </c>
      <c r="G139" s="6">
        <f t="shared" si="80"/>
        <v>0</v>
      </c>
      <c r="H139" s="6">
        <f t="shared" si="80"/>
        <v>0</v>
      </c>
      <c r="I139" s="6">
        <f t="shared" si="80"/>
        <v>0</v>
      </c>
      <c r="J139" s="7">
        <f t="shared" si="80"/>
        <v>0</v>
      </c>
      <c r="K139" s="13">
        <f>SUM(B139:J139)</f>
        <v>0</v>
      </c>
    </row>
    <row r="140" spans="1:11" x14ac:dyDescent="0.2">
      <c r="A140" s="30">
        <f>IF((A139-A133)&gt;9,(A139-A133-9),0)</f>
        <v>0</v>
      </c>
      <c r="B140" s="18">
        <f>IF(AND(ISNUMBER($A134),ISNUMBER($A140)),IF((RANK(B$4,$B$4:$J$4,1))&lt;=($A140-$A134),1,0),"")</f>
        <v>0</v>
      </c>
      <c r="C140" s="6">
        <f t="shared" ref="C140:J140" si="81">IF(AND(ISNUMBER($A134),ISNUMBER($A140)),IF((RANK(C$4,$B$4:$J$4,1))&lt;=($A140-$A134),1,0),"")</f>
        <v>0</v>
      </c>
      <c r="D140" s="6">
        <f t="shared" si="81"/>
        <v>0</v>
      </c>
      <c r="E140" s="6">
        <f t="shared" si="81"/>
        <v>0</v>
      </c>
      <c r="F140" s="6">
        <f t="shared" si="81"/>
        <v>0</v>
      </c>
      <c r="G140" s="6">
        <f t="shared" si="81"/>
        <v>0</v>
      </c>
      <c r="H140" s="6">
        <f t="shared" si="81"/>
        <v>0</v>
      </c>
      <c r="I140" s="6">
        <f t="shared" si="81"/>
        <v>0</v>
      </c>
      <c r="J140" s="7">
        <f t="shared" si="81"/>
        <v>0</v>
      </c>
      <c r="K140" s="13">
        <f>SUM(B140:J140)</f>
        <v>0</v>
      </c>
    </row>
    <row r="141" spans="1:11" x14ac:dyDescent="0.2">
      <c r="A141" s="30"/>
      <c r="B141" s="82">
        <f t="shared" ref="B141:J141" si="82">IF(AND(ISNUMBER(B138),ISNUMBER(B139)),B138-B139-B140," ")</f>
        <v>6</v>
      </c>
      <c r="C141" s="83">
        <f t="shared" si="82"/>
        <v>6</v>
      </c>
      <c r="D141" s="83">
        <f t="shared" si="82"/>
        <v>8</v>
      </c>
      <c r="E141" s="83">
        <f t="shared" si="82"/>
        <v>5</v>
      </c>
      <c r="F141" s="83">
        <f t="shared" si="82"/>
        <v>4</v>
      </c>
      <c r="G141" s="83">
        <f t="shared" si="82"/>
        <v>6</v>
      </c>
      <c r="H141" s="83">
        <f t="shared" si="82"/>
        <v>7</v>
      </c>
      <c r="I141" s="83">
        <f t="shared" si="82"/>
        <v>10</v>
      </c>
      <c r="J141" s="84">
        <f t="shared" si="82"/>
        <v>5</v>
      </c>
      <c r="K141" s="13">
        <f>IF(ISNUMBER(FIND("Wins",K142)), 2, IF(ISNUMBER(FIND("Tie",K142)), 1, 0))</f>
        <v>0</v>
      </c>
    </row>
    <row r="142" spans="1:11" ht="13.5" thickBot="1" x14ac:dyDescent="0.25">
      <c r="A142" s="31"/>
      <c r="B142" s="19">
        <f>IF(AND(ISNUMBER(B135),ISNUMBER(B141)),IF(B141&lt;B135, 0+1, (IF(B141&gt;B135, 0-1, 0)))," ")</f>
        <v>-1</v>
      </c>
      <c r="C142" s="9">
        <f t="shared" ref="C142:J142" si="83">IF(AND(ISNUMBER(C135),ISNUMBER(C141)),IF(C141&lt;C135, +B142+1, (IF(C141&gt;C135, +B142-1, +B142)))," ")</f>
        <v>-1</v>
      </c>
      <c r="D142" s="9">
        <f t="shared" si="83"/>
        <v>-2</v>
      </c>
      <c r="E142" s="9">
        <f t="shared" si="83"/>
        <v>-1</v>
      </c>
      <c r="F142" s="9">
        <f t="shared" si="83"/>
        <v>0</v>
      </c>
      <c r="G142" s="9">
        <f t="shared" si="83"/>
        <v>-1</v>
      </c>
      <c r="H142" s="9">
        <f t="shared" si="83"/>
        <v>0</v>
      </c>
      <c r="I142" s="9">
        <f t="shared" si="83"/>
        <v>-1</v>
      </c>
      <c r="J142" s="10">
        <f t="shared" si="83"/>
        <v>-2</v>
      </c>
      <c r="K142" s="14" t="str">
        <f>IF(ISNUMBER(J142),IF(F142&gt;4,"Wins " &amp; F142 &amp; " &amp; 4",IF(G142&gt;3,"Wins " &amp; G142 &amp; " &amp; 3",IF(H142&gt;2,"Wins " &amp; H142 &amp; " &amp; 2",IF(I142&gt;1,"Wins " &amp; I142 &amp; " &amp; 1",IF(J142&gt;J136,"Wins " &amp; J142 &amp; " Up",IF(J142&lt;J136,"Loss","Tie"))))))," ")</f>
        <v>Loss</v>
      </c>
    </row>
    <row r="143" spans="1:11" x14ac:dyDescent="0.2">
      <c r="A143" s="26"/>
      <c r="B143" s="85"/>
      <c r="C143" s="85"/>
      <c r="D143" s="85"/>
      <c r="E143" s="85"/>
      <c r="F143" s="85"/>
      <c r="G143" s="85"/>
      <c r="H143" s="85"/>
      <c r="I143" s="85"/>
      <c r="J143" s="85"/>
      <c r="K143" s="15"/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43"/>
  <sheetViews>
    <sheetView zoomScaleNormal="100" workbookViewId="0">
      <pane xSplit="1" ySplit="4" topLeftCell="B5" activePane="bottomRight" state="frozen"/>
      <selection activeCell="A144" sqref="A144:XFD169"/>
      <selection pane="topRight" activeCell="A144" sqref="A144:XFD169"/>
      <selection pane="bottomLeft" activeCell="A144" sqref="A144:XFD169"/>
      <selection pane="bottomRight" activeCell="K20" sqref="K20"/>
    </sheetView>
  </sheetViews>
  <sheetFormatPr defaultColWidth="9.140625" defaultRowHeight="12.75" x14ac:dyDescent="0.2"/>
  <cols>
    <col min="1" max="1" width="22.28515625" style="20" customWidth="1"/>
    <col min="2" max="10" width="9.140625" style="2"/>
    <col min="11" max="11" width="13.42578125" style="2" customWidth="1"/>
    <col min="12" max="12" width="9.140625" style="1"/>
    <col min="13" max="13" width="11.140625" style="1" customWidth="1"/>
    <col min="14" max="15" width="11.140625" style="2" customWidth="1"/>
    <col min="16" max="20" width="11.85546875" style="52" customWidth="1"/>
    <col min="21" max="22" width="9.140625" style="1"/>
    <col min="23" max="26" width="9.140625" style="2"/>
    <col min="27" max="27" width="9.85546875" style="2" customWidth="1"/>
    <col min="28" max="16384" width="9.140625" style="1"/>
  </cols>
  <sheetData>
    <row r="1" spans="1:27" ht="13.5" thickBot="1" x14ac:dyDescent="0.25"/>
    <row r="2" spans="1:27" x14ac:dyDescent="0.2">
      <c r="A2" s="21" t="s">
        <v>1</v>
      </c>
      <c r="B2" s="76">
        <f>Courses!C30</f>
        <v>10</v>
      </c>
      <c r="C2" s="34">
        <f>Courses!D30</f>
        <v>11</v>
      </c>
      <c r="D2" s="34">
        <f>Courses!E30</f>
        <v>12</v>
      </c>
      <c r="E2" s="34">
        <f>Courses!F30</f>
        <v>13</v>
      </c>
      <c r="F2" s="34">
        <f>Courses!G30</f>
        <v>14</v>
      </c>
      <c r="G2" s="34">
        <f>Courses!H30</f>
        <v>15</v>
      </c>
      <c r="H2" s="34">
        <f>Courses!I30</f>
        <v>16</v>
      </c>
      <c r="I2" s="34">
        <f>Courses!J30</f>
        <v>17</v>
      </c>
      <c r="J2" s="35">
        <f>Courses!K30</f>
        <v>18</v>
      </c>
      <c r="K2" s="73"/>
    </row>
    <row r="3" spans="1:27" x14ac:dyDescent="0.2">
      <c r="A3" s="22" t="s">
        <v>2</v>
      </c>
      <c r="B3" s="77">
        <f>Courses!C31</f>
        <v>4</v>
      </c>
      <c r="C3" s="39">
        <f>Courses!D31</f>
        <v>3</v>
      </c>
      <c r="D3" s="39">
        <f>Courses!E31</f>
        <v>4</v>
      </c>
      <c r="E3" s="39">
        <f>Courses!F31</f>
        <v>4</v>
      </c>
      <c r="F3" s="39">
        <f>Courses!G31</f>
        <v>5</v>
      </c>
      <c r="G3" s="39">
        <f>Courses!H31</f>
        <v>3</v>
      </c>
      <c r="H3" s="39">
        <f>Courses!I31</f>
        <v>4</v>
      </c>
      <c r="I3" s="39">
        <f>Courses!J31</f>
        <v>4</v>
      </c>
      <c r="J3" s="40">
        <f>Courses!K31</f>
        <v>4</v>
      </c>
      <c r="K3" s="74">
        <f>SUM(B3:J3)</f>
        <v>35</v>
      </c>
      <c r="P3" s="55" t="s">
        <v>32</v>
      </c>
    </row>
    <row r="4" spans="1:27" ht="13.5" thickBot="1" x14ac:dyDescent="0.25">
      <c r="A4" s="23" t="s">
        <v>3</v>
      </c>
      <c r="B4" s="78">
        <f>Courses!C32</f>
        <v>8</v>
      </c>
      <c r="C4" s="44">
        <f>Courses!D32</f>
        <v>14</v>
      </c>
      <c r="D4" s="44">
        <f>Courses!E32</f>
        <v>2</v>
      </c>
      <c r="E4" s="44">
        <f>Courses!F32</f>
        <v>6</v>
      </c>
      <c r="F4" s="44">
        <f>Courses!G32</f>
        <v>12</v>
      </c>
      <c r="G4" s="44">
        <f>Courses!H32</f>
        <v>18</v>
      </c>
      <c r="H4" s="44">
        <f>Courses!I32</f>
        <v>16</v>
      </c>
      <c r="I4" s="44">
        <f>Courses!J32</f>
        <v>4</v>
      </c>
      <c r="J4" s="45">
        <f>Courses!K32</f>
        <v>10</v>
      </c>
      <c r="K4" s="75"/>
      <c r="P4" s="52" t="s">
        <v>34</v>
      </c>
      <c r="Q4" s="52" t="s">
        <v>130</v>
      </c>
      <c r="R4" s="52" t="s">
        <v>33</v>
      </c>
      <c r="T4" s="52" t="s">
        <v>131</v>
      </c>
    </row>
    <row r="5" spans="1:27" ht="13.5" thickBot="1" x14ac:dyDescent="0.25">
      <c r="M5" s="230" t="s">
        <v>16</v>
      </c>
      <c r="N5" s="232" t="s">
        <v>17</v>
      </c>
      <c r="O5" s="232" t="s">
        <v>36</v>
      </c>
      <c r="P5" s="161" t="str">
        <f>Results!C40</f>
        <v>Long Drive</v>
      </c>
      <c r="Q5" s="50" t="str">
        <f>Results!D40</f>
        <v>Closest to Pin</v>
      </c>
      <c r="R5" s="50" t="str">
        <f>Results!E40</f>
        <v>Long Putt</v>
      </c>
      <c r="S5" s="50" t="str">
        <f>Results!F40</f>
        <v>Secret Snowman</v>
      </c>
      <c r="T5" s="51" t="str">
        <f>Results!G40</f>
        <v>Closest to Pin</v>
      </c>
      <c r="V5" s="2">
        <v>1</v>
      </c>
      <c r="W5" s="2">
        <v>2</v>
      </c>
      <c r="X5" s="2">
        <v>3</v>
      </c>
      <c r="Y5" s="2">
        <v>4</v>
      </c>
      <c r="Z5" s="2">
        <v>5</v>
      </c>
    </row>
    <row r="6" spans="1:27" x14ac:dyDescent="0.2">
      <c r="A6" s="21" t="str">
        <f>Matchups!E3</f>
        <v>John</v>
      </c>
      <c r="B6" s="115">
        <v>7</v>
      </c>
      <c r="C6" s="116">
        <v>5</v>
      </c>
      <c r="D6" s="116">
        <v>6</v>
      </c>
      <c r="E6" s="116">
        <v>6</v>
      </c>
      <c r="F6" s="116">
        <v>7</v>
      </c>
      <c r="G6" s="116">
        <v>5</v>
      </c>
      <c r="H6" s="116">
        <v>9</v>
      </c>
      <c r="I6" s="116">
        <v>4</v>
      </c>
      <c r="J6" s="117">
        <v>6</v>
      </c>
      <c r="K6" s="5">
        <f>SUM(B6:J6)</f>
        <v>55</v>
      </c>
      <c r="M6" s="90" t="str">
        <f>A30</f>
        <v>Mil</v>
      </c>
      <c r="N6" s="428">
        <f>K30</f>
        <v>50</v>
      </c>
      <c r="O6" s="5">
        <f>K122</f>
        <v>2</v>
      </c>
      <c r="P6" s="162"/>
      <c r="Q6" s="65"/>
      <c r="R6" s="65"/>
      <c r="S6" s="65"/>
      <c r="T6" s="153"/>
      <c r="V6" s="2" t="str">
        <f t="shared" ref="V6:V37" si="0">IF($S$39=V$5,S6*V$5,"")</f>
        <v/>
      </c>
      <c r="W6" s="2" t="str">
        <f t="shared" ref="W6:W37" si="1">IF($S$39=W$5,S6*W$5,"")</f>
        <v/>
      </c>
      <c r="X6" s="2" t="str">
        <f t="shared" ref="X6:X37" si="2">IF($S$39=X$5,S6*X$5,"")</f>
        <v/>
      </c>
      <c r="Y6" s="2" t="str">
        <f t="shared" ref="Y6:Y37" si="3">IF($S$39=Y$5,S6*Y$5,"")</f>
        <v/>
      </c>
      <c r="Z6" s="2" t="str">
        <f t="shared" ref="Z6:Z37" si="4">IF($S$39=Z$5,S6*Z$5,"")</f>
        <v/>
      </c>
      <c r="AA6" s="144">
        <f>IF(SUM(V6:Z6)=0,0,Setup!F$44/SUM(V6:Z6))</f>
        <v>0</v>
      </c>
    </row>
    <row r="7" spans="1:27" hidden="1" x14ac:dyDescent="0.2">
      <c r="A7" s="22">
        <f>Matchups!E4</f>
        <v>7</v>
      </c>
      <c r="B7" s="118"/>
      <c r="C7" s="119"/>
      <c r="D7" s="119"/>
      <c r="E7" s="119"/>
      <c r="F7" s="119"/>
      <c r="G7" s="119"/>
      <c r="H7" s="119"/>
      <c r="I7" s="119"/>
      <c r="J7" s="120"/>
      <c r="K7" s="8"/>
      <c r="M7" s="91"/>
      <c r="N7" s="426"/>
      <c r="O7" s="8"/>
      <c r="P7" s="164"/>
      <c r="Q7" s="66"/>
      <c r="R7" s="66"/>
      <c r="S7" s="66"/>
      <c r="T7" s="154"/>
      <c r="V7" s="2" t="str">
        <f t="shared" si="0"/>
        <v/>
      </c>
      <c r="W7" s="2" t="str">
        <f t="shared" si="1"/>
        <v/>
      </c>
      <c r="X7" s="2" t="str">
        <f t="shared" si="2"/>
        <v/>
      </c>
      <c r="Y7" s="2" t="str">
        <f t="shared" si="3"/>
        <v/>
      </c>
      <c r="Z7" s="2" t="str">
        <f t="shared" si="4"/>
        <v/>
      </c>
      <c r="AA7" s="144">
        <f>IF(SUM(V7:Z7)=0,0,Setup!F$44/SUM(V7:Z7))</f>
        <v>0</v>
      </c>
    </row>
    <row r="8" spans="1:27" x14ac:dyDescent="0.2">
      <c r="A8" s="22" t="str">
        <f>Matchups!E5</f>
        <v>Rick</v>
      </c>
      <c r="B8" s="118">
        <v>7</v>
      </c>
      <c r="C8" s="119">
        <v>3</v>
      </c>
      <c r="D8" s="119">
        <v>6</v>
      </c>
      <c r="E8" s="119">
        <v>6</v>
      </c>
      <c r="F8" s="119">
        <v>6</v>
      </c>
      <c r="G8" s="119">
        <v>3</v>
      </c>
      <c r="H8" s="119">
        <v>5</v>
      </c>
      <c r="I8" s="119">
        <v>5</v>
      </c>
      <c r="J8" s="120">
        <v>5</v>
      </c>
      <c r="K8" s="8">
        <f t="shared" ref="K8:K28" si="5">SUM(B8:J8)</f>
        <v>46</v>
      </c>
      <c r="M8" s="91" t="str">
        <f>A6</f>
        <v>John</v>
      </c>
      <c r="N8" s="426">
        <f>K6</f>
        <v>55</v>
      </c>
      <c r="O8" s="8">
        <f>K44</f>
        <v>0</v>
      </c>
      <c r="P8" s="164"/>
      <c r="Q8" s="66"/>
      <c r="R8" s="66"/>
      <c r="S8" s="66"/>
      <c r="T8" s="154"/>
      <c r="V8" s="2" t="str">
        <f t="shared" si="0"/>
        <v/>
      </c>
      <c r="W8" s="2" t="str">
        <f t="shared" si="1"/>
        <v/>
      </c>
      <c r="X8" s="2" t="str">
        <f t="shared" si="2"/>
        <v/>
      </c>
      <c r="Y8" s="2" t="str">
        <f t="shared" si="3"/>
        <v/>
      </c>
      <c r="Z8" s="2" t="str">
        <f t="shared" si="4"/>
        <v/>
      </c>
      <c r="AA8" s="144">
        <f>IF(SUM(V8:Z8)=0,0,Setup!F$44/SUM(V8:Z8))</f>
        <v>0</v>
      </c>
    </row>
    <row r="9" spans="1:27" hidden="1" x14ac:dyDescent="0.2">
      <c r="A9" s="22">
        <f>Matchups!E6</f>
        <v>7</v>
      </c>
      <c r="B9" s="118"/>
      <c r="C9" s="119"/>
      <c r="D9" s="119"/>
      <c r="E9" s="119"/>
      <c r="F9" s="119"/>
      <c r="G9" s="119"/>
      <c r="H9" s="119"/>
      <c r="I9" s="119"/>
      <c r="J9" s="120"/>
      <c r="K9" s="8"/>
      <c r="M9" s="91"/>
      <c r="N9" s="426"/>
      <c r="O9" s="8"/>
      <c r="P9" s="164"/>
      <c r="Q9" s="66"/>
      <c r="R9" s="66"/>
      <c r="S9" s="66"/>
      <c r="T9" s="154"/>
      <c r="V9" s="2" t="str">
        <f t="shared" si="0"/>
        <v/>
      </c>
      <c r="W9" s="2" t="str">
        <f t="shared" si="1"/>
        <v/>
      </c>
      <c r="X9" s="2" t="str">
        <f t="shared" si="2"/>
        <v/>
      </c>
      <c r="Y9" s="2" t="str">
        <f t="shared" si="3"/>
        <v/>
      </c>
      <c r="Z9" s="2" t="str">
        <f t="shared" si="4"/>
        <v/>
      </c>
      <c r="AA9" s="144">
        <f>IF(SUM(V9:Z9)=0,0,Setup!F$44/SUM(V9:Z9))</f>
        <v>0</v>
      </c>
    </row>
    <row r="10" spans="1:27" x14ac:dyDescent="0.2">
      <c r="A10" s="22" t="str">
        <f>Matchups!E7</f>
        <v>Hunter</v>
      </c>
      <c r="B10" s="118">
        <v>7</v>
      </c>
      <c r="C10" s="119">
        <v>3</v>
      </c>
      <c r="D10" s="119">
        <v>9</v>
      </c>
      <c r="E10" s="119">
        <v>3</v>
      </c>
      <c r="F10" s="119">
        <v>6</v>
      </c>
      <c r="G10" s="119">
        <v>4</v>
      </c>
      <c r="H10" s="119">
        <v>5</v>
      </c>
      <c r="I10" s="119">
        <v>4</v>
      </c>
      <c r="J10" s="120">
        <v>5</v>
      </c>
      <c r="K10" s="8">
        <f t="shared" si="5"/>
        <v>46</v>
      </c>
      <c r="M10" s="91" t="str">
        <f>A18</f>
        <v>Brian P</v>
      </c>
      <c r="N10" s="426">
        <f>K18</f>
        <v>47</v>
      </c>
      <c r="O10" s="8">
        <f>K76</f>
        <v>2</v>
      </c>
      <c r="P10" s="164"/>
      <c r="Q10" s="66"/>
      <c r="R10" s="66"/>
      <c r="S10" s="66"/>
      <c r="T10" s="154"/>
      <c r="V10" s="2" t="str">
        <f t="shared" si="0"/>
        <v/>
      </c>
      <c r="W10" s="2" t="str">
        <f t="shared" si="1"/>
        <v/>
      </c>
      <c r="X10" s="2" t="str">
        <f t="shared" si="2"/>
        <v/>
      </c>
      <c r="Y10" s="2" t="str">
        <f t="shared" si="3"/>
        <v/>
      </c>
      <c r="Z10" s="2" t="str">
        <f t="shared" si="4"/>
        <v/>
      </c>
      <c r="AA10" s="144">
        <f>IF(SUM(V10:Z10)=0,0,Setup!F$44/SUM(V10:Z10))</f>
        <v>0</v>
      </c>
    </row>
    <row r="11" spans="1:27" hidden="1" x14ac:dyDescent="0.2">
      <c r="A11" s="22">
        <f>Matchups!E8</f>
        <v>7</v>
      </c>
      <c r="B11" s="118"/>
      <c r="C11" s="119"/>
      <c r="D11" s="119"/>
      <c r="E11" s="119"/>
      <c r="F11" s="119"/>
      <c r="G11" s="119"/>
      <c r="H11" s="119"/>
      <c r="I11" s="119"/>
      <c r="J11" s="120"/>
      <c r="K11" s="8"/>
      <c r="M11" s="91"/>
      <c r="N11" s="426"/>
      <c r="O11" s="8"/>
      <c r="P11" s="164"/>
      <c r="Q11" s="66"/>
      <c r="R11" s="66"/>
      <c r="S11" s="66"/>
      <c r="T11" s="154"/>
      <c r="V11" s="2" t="str">
        <f t="shared" si="0"/>
        <v/>
      </c>
      <c r="W11" s="2" t="str">
        <f t="shared" si="1"/>
        <v/>
      </c>
      <c r="X11" s="2" t="str">
        <f t="shared" si="2"/>
        <v/>
      </c>
      <c r="Y11" s="2" t="str">
        <f t="shared" si="3"/>
        <v/>
      </c>
      <c r="Z11" s="2" t="str">
        <f t="shared" si="4"/>
        <v/>
      </c>
      <c r="AA11" s="144">
        <f>IF(SUM(V11:Z11)=0,0,Setup!F$44/SUM(V11:Z11))</f>
        <v>0</v>
      </c>
    </row>
    <row r="12" spans="1:27" ht="13.5" thickBot="1" x14ac:dyDescent="0.25">
      <c r="A12" s="23" t="str">
        <f>Matchups!E9</f>
        <v>Chris</v>
      </c>
      <c r="B12" s="121">
        <v>5</v>
      </c>
      <c r="C12" s="122">
        <v>4</v>
      </c>
      <c r="D12" s="122">
        <v>8</v>
      </c>
      <c r="E12" s="122">
        <v>6</v>
      </c>
      <c r="F12" s="122">
        <v>9</v>
      </c>
      <c r="G12" s="122">
        <v>5</v>
      </c>
      <c r="H12" s="122">
        <v>6</v>
      </c>
      <c r="I12" s="122">
        <v>8</v>
      </c>
      <c r="J12" s="123">
        <v>6</v>
      </c>
      <c r="K12" s="11">
        <f t="shared" si="5"/>
        <v>57</v>
      </c>
      <c r="M12" s="91" t="str">
        <f>A22</f>
        <v xml:space="preserve">Pat </v>
      </c>
      <c r="N12" s="426">
        <f>K22</f>
        <v>48</v>
      </c>
      <c r="O12" s="8">
        <f>K96</f>
        <v>0</v>
      </c>
      <c r="P12" s="164"/>
      <c r="Q12" s="66"/>
      <c r="R12" s="66"/>
      <c r="S12" s="66"/>
      <c r="T12" s="154"/>
      <c r="V12" s="2" t="str">
        <f t="shared" si="0"/>
        <v/>
      </c>
      <c r="W12" s="2" t="str">
        <f t="shared" si="1"/>
        <v/>
      </c>
      <c r="X12" s="2" t="str">
        <f t="shared" si="2"/>
        <v/>
      </c>
      <c r="Y12" s="2" t="str">
        <f t="shared" si="3"/>
        <v/>
      </c>
      <c r="Z12" s="2" t="str">
        <f t="shared" si="4"/>
        <v/>
      </c>
      <c r="AA12" s="144">
        <f>IF(SUM(V12:Z12)=0,0,Setup!F$44/SUM(V12:Z12))</f>
        <v>0</v>
      </c>
    </row>
    <row r="13" spans="1:27" ht="13.5" hidden="1" thickBot="1" x14ac:dyDescent="0.25">
      <c r="A13" s="686">
        <f>Matchups!E10</f>
        <v>15</v>
      </c>
      <c r="B13" s="124"/>
      <c r="C13" s="125"/>
      <c r="D13" s="125"/>
      <c r="E13" s="125"/>
      <c r="F13" s="125"/>
      <c r="G13" s="125"/>
      <c r="H13" s="125"/>
      <c r="I13" s="125"/>
      <c r="J13" s="126"/>
      <c r="K13" s="89"/>
      <c r="M13" s="133"/>
      <c r="N13" s="427"/>
      <c r="O13" s="70"/>
      <c r="P13" s="165"/>
      <c r="Q13" s="155"/>
      <c r="R13" s="155"/>
      <c r="S13" s="155"/>
      <c r="T13" s="156"/>
      <c r="V13" s="2" t="str">
        <f t="shared" si="0"/>
        <v/>
      </c>
      <c r="W13" s="2" t="str">
        <f t="shared" si="1"/>
        <v/>
      </c>
      <c r="X13" s="2" t="str">
        <f t="shared" si="2"/>
        <v/>
      </c>
      <c r="Y13" s="2" t="str">
        <f t="shared" si="3"/>
        <v/>
      </c>
      <c r="Z13" s="2" t="str">
        <f t="shared" si="4"/>
        <v/>
      </c>
      <c r="AA13" s="144">
        <f>IF(SUM(V13:Z13)=0,0,Setup!F$44/SUM(V13:Z13))</f>
        <v>0</v>
      </c>
    </row>
    <row r="14" spans="1:27" x14ac:dyDescent="0.2">
      <c r="A14" s="21" t="str">
        <f>Matchups!E11</f>
        <v>Bob</v>
      </c>
      <c r="B14" s="339">
        <v>4</v>
      </c>
      <c r="C14" s="116">
        <v>6</v>
      </c>
      <c r="D14" s="116">
        <v>7</v>
      </c>
      <c r="E14" s="116">
        <v>6</v>
      </c>
      <c r="F14" s="116">
        <v>6</v>
      </c>
      <c r="G14" s="116">
        <v>7</v>
      </c>
      <c r="H14" s="116">
        <v>5</v>
      </c>
      <c r="I14" s="116">
        <v>6</v>
      </c>
      <c r="J14" s="117">
        <v>4</v>
      </c>
      <c r="K14" s="12">
        <f t="shared" si="5"/>
        <v>51</v>
      </c>
      <c r="M14" s="226" t="str">
        <f>A8</f>
        <v>Rick</v>
      </c>
      <c r="N14" s="428">
        <f>K8</f>
        <v>46</v>
      </c>
      <c r="O14" s="12">
        <f>K57</f>
        <v>2</v>
      </c>
      <c r="P14" s="297"/>
      <c r="Q14" s="65"/>
      <c r="R14" s="65"/>
      <c r="S14" s="65"/>
      <c r="T14" s="153"/>
      <c r="V14" s="2" t="str">
        <f t="shared" si="0"/>
        <v/>
      </c>
      <c r="W14" s="2" t="str">
        <f t="shared" si="1"/>
        <v/>
      </c>
      <c r="X14" s="2" t="str">
        <f t="shared" si="2"/>
        <v/>
      </c>
      <c r="Y14" s="2" t="str">
        <f t="shared" si="3"/>
        <v/>
      </c>
      <c r="Z14" s="2" t="str">
        <f t="shared" si="4"/>
        <v/>
      </c>
      <c r="AA14" s="144">
        <f>IF(SUM(V14:Z14)=0,0,Setup!F$44/SUM(V14:Z14))</f>
        <v>0</v>
      </c>
    </row>
    <row r="15" spans="1:27" hidden="1" x14ac:dyDescent="0.2">
      <c r="A15" s="22">
        <f>Matchups!E12</f>
        <v>10</v>
      </c>
      <c r="B15" s="341"/>
      <c r="C15" s="119"/>
      <c r="D15" s="119"/>
      <c r="E15" s="119"/>
      <c r="F15" s="119"/>
      <c r="G15" s="119"/>
      <c r="H15" s="119"/>
      <c r="I15" s="119"/>
      <c r="J15" s="120"/>
      <c r="K15" s="13"/>
      <c r="M15" s="227"/>
      <c r="N15" s="426"/>
      <c r="O15" s="13"/>
      <c r="P15" s="191"/>
      <c r="Q15" s="66"/>
      <c r="R15" s="66"/>
      <c r="S15" s="66"/>
      <c r="T15" s="154"/>
      <c r="V15" s="2" t="str">
        <f t="shared" si="0"/>
        <v/>
      </c>
      <c r="W15" s="2" t="str">
        <f t="shared" si="1"/>
        <v/>
      </c>
      <c r="X15" s="2" t="str">
        <f t="shared" si="2"/>
        <v/>
      </c>
      <c r="Y15" s="2" t="str">
        <f t="shared" si="3"/>
        <v/>
      </c>
      <c r="Z15" s="2" t="str">
        <f t="shared" si="4"/>
        <v/>
      </c>
      <c r="AA15" s="144">
        <f>IF(SUM(V15:Z15)=0,0,Setup!F$44/SUM(V15:Z15))</f>
        <v>0</v>
      </c>
    </row>
    <row r="16" spans="1:27" x14ac:dyDescent="0.2">
      <c r="A16" s="22" t="str">
        <f>Matchups!E13</f>
        <v>Dave</v>
      </c>
      <c r="B16" s="341">
        <v>4</v>
      </c>
      <c r="C16" s="119">
        <v>4</v>
      </c>
      <c r="D16" s="119">
        <v>5</v>
      </c>
      <c r="E16" s="119">
        <v>5</v>
      </c>
      <c r="F16" s="119">
        <v>8</v>
      </c>
      <c r="G16" s="119">
        <v>4</v>
      </c>
      <c r="H16" s="119">
        <v>4</v>
      </c>
      <c r="I16" s="119">
        <v>6</v>
      </c>
      <c r="J16" s="120">
        <v>5</v>
      </c>
      <c r="K16" s="13">
        <f t="shared" si="5"/>
        <v>45</v>
      </c>
      <c r="M16" s="227" t="str">
        <f>A34</f>
        <v>Keith</v>
      </c>
      <c r="N16" s="426">
        <f>K34</f>
        <v>64</v>
      </c>
      <c r="O16" s="13">
        <f>K128</f>
        <v>0</v>
      </c>
      <c r="P16" s="191"/>
      <c r="Q16" s="66"/>
      <c r="R16" s="66"/>
      <c r="S16" s="66"/>
      <c r="T16" s="154"/>
      <c r="V16" s="2" t="str">
        <f t="shared" si="0"/>
        <v/>
      </c>
      <c r="W16" s="2" t="str">
        <f t="shared" si="1"/>
        <v/>
      </c>
      <c r="X16" s="2" t="str">
        <f t="shared" si="2"/>
        <v/>
      </c>
      <c r="Y16" s="2" t="str">
        <f t="shared" si="3"/>
        <v/>
      </c>
      <c r="Z16" s="2" t="str">
        <f t="shared" si="4"/>
        <v/>
      </c>
      <c r="AA16" s="144">
        <f>IF(SUM(V16:Z16)=0,0,Setup!F$44/SUM(V16:Z16))</f>
        <v>0</v>
      </c>
    </row>
    <row r="17" spans="1:27" hidden="1" x14ac:dyDescent="0.2">
      <c r="A17" s="22">
        <f>Matchups!E14</f>
        <v>5</v>
      </c>
      <c r="B17" s="341"/>
      <c r="C17" s="119"/>
      <c r="D17" s="119"/>
      <c r="E17" s="119"/>
      <c r="F17" s="119"/>
      <c r="G17" s="119"/>
      <c r="H17" s="119"/>
      <c r="I17" s="119"/>
      <c r="J17" s="120"/>
      <c r="K17" s="13"/>
      <c r="M17" s="227"/>
      <c r="N17" s="426"/>
      <c r="O17" s="13"/>
      <c r="P17" s="191"/>
      <c r="Q17" s="66"/>
      <c r="R17" s="66"/>
      <c r="S17" s="66"/>
      <c r="T17" s="154"/>
      <c r="V17" s="2" t="str">
        <f t="shared" si="0"/>
        <v/>
      </c>
      <c r="W17" s="2" t="str">
        <f t="shared" si="1"/>
        <v/>
      </c>
      <c r="X17" s="2" t="str">
        <f t="shared" si="2"/>
        <v/>
      </c>
      <c r="Y17" s="2" t="str">
        <f t="shared" si="3"/>
        <v/>
      </c>
      <c r="Z17" s="2" t="str">
        <f t="shared" si="4"/>
        <v/>
      </c>
      <c r="AA17" s="144">
        <f>IF(SUM(V17:Z17)=0,0,Setup!F$44/SUM(V17:Z17))</f>
        <v>0</v>
      </c>
    </row>
    <row r="18" spans="1:27" x14ac:dyDescent="0.2">
      <c r="A18" s="22" t="str">
        <f>Matchups!E15</f>
        <v>Brian P</v>
      </c>
      <c r="B18" s="341">
        <v>6</v>
      </c>
      <c r="C18" s="119">
        <v>5</v>
      </c>
      <c r="D18" s="119">
        <v>5</v>
      </c>
      <c r="E18" s="119">
        <v>4</v>
      </c>
      <c r="F18" s="119">
        <v>6</v>
      </c>
      <c r="G18" s="119">
        <v>6</v>
      </c>
      <c r="H18" s="119">
        <v>3</v>
      </c>
      <c r="I18" s="119">
        <v>5</v>
      </c>
      <c r="J18" s="120">
        <v>7</v>
      </c>
      <c r="K18" s="13">
        <f t="shared" si="5"/>
        <v>47</v>
      </c>
      <c r="M18" s="227" t="str">
        <f>A24</f>
        <v>Tony W</v>
      </c>
      <c r="N18" s="426">
        <f>K24</f>
        <v>57</v>
      </c>
      <c r="O18" s="13">
        <f>K109</f>
        <v>2</v>
      </c>
      <c r="P18" s="191"/>
      <c r="Q18" s="66"/>
      <c r="R18" s="66"/>
      <c r="S18" s="66"/>
      <c r="T18" s="154"/>
      <c r="V18" s="2" t="str">
        <f t="shared" si="0"/>
        <v/>
      </c>
      <c r="W18" s="2" t="str">
        <f t="shared" si="1"/>
        <v/>
      </c>
      <c r="X18" s="2" t="str">
        <f t="shared" si="2"/>
        <v/>
      </c>
      <c r="Y18" s="2" t="str">
        <f t="shared" si="3"/>
        <v/>
      </c>
      <c r="Z18" s="2" t="str">
        <f t="shared" si="4"/>
        <v/>
      </c>
      <c r="AA18" s="144">
        <f>IF(SUM(V18:Z18)=0,0,Setup!F$44/SUM(V18:Z18))</f>
        <v>0</v>
      </c>
    </row>
    <row r="19" spans="1:27" hidden="1" x14ac:dyDescent="0.2">
      <c r="A19" s="409">
        <f>Matchups!E16</f>
        <v>6</v>
      </c>
      <c r="B19" s="342"/>
      <c r="C19" s="337"/>
      <c r="D19" s="337"/>
      <c r="E19" s="337"/>
      <c r="F19" s="337"/>
      <c r="G19" s="337"/>
      <c r="H19" s="337"/>
      <c r="I19" s="337"/>
      <c r="J19" s="338"/>
      <c r="K19" s="229"/>
      <c r="M19" s="334"/>
      <c r="N19" s="427"/>
      <c r="O19" s="229"/>
      <c r="P19" s="404"/>
      <c r="Q19" s="155"/>
      <c r="R19" s="155"/>
      <c r="S19" s="155"/>
      <c r="T19" s="156"/>
      <c r="V19" s="2" t="str">
        <f t="shared" si="0"/>
        <v/>
      </c>
      <c r="W19" s="2" t="str">
        <f t="shared" si="1"/>
        <v/>
      </c>
      <c r="X19" s="2" t="str">
        <f t="shared" si="2"/>
        <v/>
      </c>
      <c r="Y19" s="2" t="str">
        <f t="shared" si="3"/>
        <v/>
      </c>
      <c r="Z19" s="2" t="str">
        <f t="shared" si="4"/>
        <v/>
      </c>
      <c r="AA19" s="144">
        <f>IF(SUM(V19:Z19)=0,0,Setup!F$44/SUM(V19:Z19))</f>
        <v>0</v>
      </c>
    </row>
    <row r="20" spans="1:27" ht="13.5" thickBot="1" x14ac:dyDescent="0.25">
      <c r="A20" s="22" t="str">
        <f>Matchups!E17</f>
        <v>Manny</v>
      </c>
      <c r="B20" s="341">
        <v>9</v>
      </c>
      <c r="C20" s="119">
        <v>8</v>
      </c>
      <c r="D20" s="119">
        <v>9</v>
      </c>
      <c r="E20" s="119">
        <v>7</v>
      </c>
      <c r="F20" s="119">
        <v>10</v>
      </c>
      <c r="G20" s="119">
        <v>4</v>
      </c>
      <c r="H20" s="119">
        <v>8</v>
      </c>
      <c r="I20" s="119">
        <v>8</v>
      </c>
      <c r="J20" s="120">
        <v>8</v>
      </c>
      <c r="K20" s="13">
        <f t="shared" si="5"/>
        <v>71</v>
      </c>
      <c r="M20" s="227" t="str">
        <f>A20</f>
        <v>Manny</v>
      </c>
      <c r="N20" s="426">
        <f>K20</f>
        <v>71</v>
      </c>
      <c r="O20" s="13">
        <f>K89</f>
        <v>0</v>
      </c>
      <c r="P20" s="191"/>
      <c r="Q20" s="66"/>
      <c r="R20" s="66"/>
      <c r="S20" s="66"/>
      <c r="T20" s="154"/>
      <c r="V20" s="2" t="str">
        <f t="shared" si="0"/>
        <v/>
      </c>
      <c r="W20" s="2" t="str">
        <f t="shared" si="1"/>
        <v/>
      </c>
      <c r="X20" s="2" t="str">
        <f t="shared" si="2"/>
        <v/>
      </c>
      <c r="Y20" s="2" t="str">
        <f t="shared" si="3"/>
        <v/>
      </c>
      <c r="Z20" s="2" t="str">
        <f t="shared" si="4"/>
        <v/>
      </c>
      <c r="AA20" s="144">
        <f>IF(SUM(V20:Z20)=0,0,Setup!F$44/SUM(V20:Z20))</f>
        <v>0</v>
      </c>
    </row>
    <row r="21" spans="1:27" ht="13.5" hidden="1" thickBot="1" x14ac:dyDescent="0.25">
      <c r="A21" s="409">
        <f>Matchups!E18</f>
        <v>14</v>
      </c>
      <c r="B21" s="342"/>
      <c r="C21" s="337"/>
      <c r="D21" s="337"/>
      <c r="E21" s="337"/>
      <c r="F21" s="337"/>
      <c r="G21" s="337"/>
      <c r="H21" s="337"/>
      <c r="I21" s="337"/>
      <c r="J21" s="338"/>
      <c r="K21" s="229"/>
      <c r="M21" s="334"/>
      <c r="N21" s="427"/>
      <c r="O21" s="229"/>
      <c r="P21" s="404"/>
      <c r="Q21" s="155"/>
      <c r="R21" s="155"/>
      <c r="S21" s="155"/>
      <c r="T21" s="156"/>
      <c r="V21" s="2" t="str">
        <f t="shared" si="0"/>
        <v/>
      </c>
      <c r="W21" s="2" t="str">
        <f t="shared" si="1"/>
        <v/>
      </c>
      <c r="X21" s="2" t="str">
        <f t="shared" si="2"/>
        <v/>
      </c>
      <c r="Y21" s="2" t="str">
        <f t="shared" si="3"/>
        <v/>
      </c>
      <c r="Z21" s="2" t="str">
        <f t="shared" si="4"/>
        <v/>
      </c>
      <c r="AA21" s="144">
        <f>IF(SUM(V21:Z21)=0,0,Setup!F$44/SUM(V21:Z21))</f>
        <v>0</v>
      </c>
    </row>
    <row r="22" spans="1:27" x14ac:dyDescent="0.2">
      <c r="A22" s="21" t="str">
        <f>Matchups!E19</f>
        <v xml:space="preserve">Pat </v>
      </c>
      <c r="B22" s="339">
        <v>6</v>
      </c>
      <c r="C22" s="116">
        <v>5</v>
      </c>
      <c r="D22" s="116">
        <v>7</v>
      </c>
      <c r="E22" s="116">
        <v>5</v>
      </c>
      <c r="F22" s="116">
        <v>6</v>
      </c>
      <c r="G22" s="116">
        <v>4</v>
      </c>
      <c r="H22" s="116">
        <v>5</v>
      </c>
      <c r="I22" s="116">
        <v>5</v>
      </c>
      <c r="J22" s="117">
        <v>5</v>
      </c>
      <c r="K22" s="12">
        <f t="shared" si="5"/>
        <v>48</v>
      </c>
      <c r="M22" s="226" t="str">
        <f>A26</f>
        <v>Tommy</v>
      </c>
      <c r="N22" s="428">
        <f>K26</f>
        <v>41</v>
      </c>
      <c r="O22" s="12">
        <f>K102</f>
        <v>2</v>
      </c>
      <c r="P22" s="297"/>
      <c r="Q22" s="65"/>
      <c r="R22" s="65"/>
      <c r="S22" s="65"/>
      <c r="T22" s="153"/>
      <c r="V22" s="2" t="str">
        <f t="shared" si="0"/>
        <v/>
      </c>
      <c r="W22" s="2" t="str">
        <f t="shared" si="1"/>
        <v/>
      </c>
      <c r="X22" s="2" t="str">
        <f t="shared" si="2"/>
        <v/>
      </c>
      <c r="Y22" s="2" t="str">
        <f t="shared" si="3"/>
        <v/>
      </c>
      <c r="Z22" s="2" t="str">
        <f t="shared" si="4"/>
        <v/>
      </c>
      <c r="AA22" s="144">
        <f>IF(SUM(V22:Z22)=0,0,Setup!F$44/SUM(V22:Z22))</f>
        <v>0</v>
      </c>
    </row>
    <row r="23" spans="1:27" hidden="1" x14ac:dyDescent="0.2">
      <c r="A23" s="22">
        <f>Matchups!E20</f>
        <v>6</v>
      </c>
      <c r="B23" s="341"/>
      <c r="C23" s="119"/>
      <c r="D23" s="119"/>
      <c r="E23" s="119"/>
      <c r="F23" s="119"/>
      <c r="G23" s="119"/>
      <c r="H23" s="119"/>
      <c r="I23" s="119"/>
      <c r="J23" s="120"/>
      <c r="K23" s="13"/>
      <c r="M23" s="227"/>
      <c r="N23" s="426"/>
      <c r="O23" s="13"/>
      <c r="P23" s="191"/>
      <c r="Q23" s="66"/>
      <c r="R23" s="66"/>
      <c r="S23" s="66"/>
      <c r="T23" s="154"/>
      <c r="V23" s="2" t="str">
        <f t="shared" si="0"/>
        <v/>
      </c>
      <c r="W23" s="2" t="str">
        <f t="shared" si="1"/>
        <v/>
      </c>
      <c r="X23" s="2" t="str">
        <f t="shared" si="2"/>
        <v/>
      </c>
      <c r="Y23" s="2" t="str">
        <f t="shared" si="3"/>
        <v/>
      </c>
      <c r="Z23" s="2" t="str">
        <f t="shared" si="4"/>
        <v/>
      </c>
      <c r="AA23" s="144">
        <f>IF(SUM(V23:Z23)=0,0,Setup!F$44/SUM(V23:Z23))</f>
        <v>0</v>
      </c>
    </row>
    <row r="24" spans="1:27" x14ac:dyDescent="0.2">
      <c r="A24" s="22" t="str">
        <f>Matchups!E21</f>
        <v>Tony W</v>
      </c>
      <c r="B24" s="341">
        <v>9</v>
      </c>
      <c r="C24" s="119">
        <v>4</v>
      </c>
      <c r="D24" s="119">
        <v>6</v>
      </c>
      <c r="E24" s="119">
        <v>5</v>
      </c>
      <c r="F24" s="119">
        <v>7</v>
      </c>
      <c r="G24" s="119">
        <v>5</v>
      </c>
      <c r="H24" s="119">
        <v>5</v>
      </c>
      <c r="I24" s="119">
        <v>8</v>
      </c>
      <c r="J24" s="120">
        <v>8</v>
      </c>
      <c r="K24" s="13">
        <f t="shared" si="5"/>
        <v>57</v>
      </c>
      <c r="M24" s="227" t="str">
        <f>A16</f>
        <v>Dave</v>
      </c>
      <c r="N24" s="426">
        <f>K16</f>
        <v>45</v>
      </c>
      <c r="O24" s="13">
        <f>K83</f>
        <v>2</v>
      </c>
      <c r="P24" s="191"/>
      <c r="Q24" s="66"/>
      <c r="R24" s="66"/>
      <c r="S24" s="66"/>
      <c r="T24" s="154"/>
      <c r="V24" s="2" t="str">
        <f t="shared" si="0"/>
        <v/>
      </c>
      <c r="W24" s="2" t="str">
        <f t="shared" si="1"/>
        <v/>
      </c>
      <c r="X24" s="2" t="str">
        <f t="shared" si="2"/>
        <v/>
      </c>
      <c r="Y24" s="2" t="str">
        <f t="shared" si="3"/>
        <v/>
      </c>
      <c r="Z24" s="2" t="str">
        <f t="shared" si="4"/>
        <v/>
      </c>
      <c r="AA24" s="144">
        <f>IF(SUM(V24:Z24)=0,0,Setup!F$44/SUM(V24:Z24))</f>
        <v>0</v>
      </c>
    </row>
    <row r="25" spans="1:27" hidden="1" x14ac:dyDescent="0.2">
      <c r="A25" s="22">
        <f>Matchups!E22</f>
        <v>10</v>
      </c>
      <c r="B25" s="341"/>
      <c r="C25" s="119"/>
      <c r="D25" s="119"/>
      <c r="E25" s="119"/>
      <c r="F25" s="119"/>
      <c r="G25" s="119"/>
      <c r="H25" s="119"/>
      <c r="I25" s="119"/>
      <c r="J25" s="120"/>
      <c r="K25" s="13"/>
      <c r="M25" s="227"/>
      <c r="N25" s="426"/>
      <c r="O25" s="13"/>
      <c r="P25" s="191"/>
      <c r="Q25" s="66"/>
      <c r="R25" s="66"/>
      <c r="S25" s="66"/>
      <c r="T25" s="154"/>
      <c r="V25" s="2" t="str">
        <f t="shared" si="0"/>
        <v/>
      </c>
      <c r="W25" s="2" t="str">
        <f t="shared" si="1"/>
        <v/>
      </c>
      <c r="X25" s="2" t="str">
        <f t="shared" si="2"/>
        <v/>
      </c>
      <c r="Y25" s="2" t="str">
        <f t="shared" si="3"/>
        <v/>
      </c>
      <c r="Z25" s="2" t="str">
        <f t="shared" si="4"/>
        <v/>
      </c>
      <c r="AA25" s="144">
        <f>IF(SUM(V25:Z25)=0,0,Setup!F$44/SUM(V25:Z25))</f>
        <v>0</v>
      </c>
    </row>
    <row r="26" spans="1:27" x14ac:dyDescent="0.2">
      <c r="A26" s="22" t="str">
        <f>Matchups!E23</f>
        <v>Tommy</v>
      </c>
      <c r="B26" s="341">
        <v>3</v>
      </c>
      <c r="C26" s="119">
        <v>4</v>
      </c>
      <c r="D26" s="119">
        <v>6</v>
      </c>
      <c r="E26" s="119">
        <v>5</v>
      </c>
      <c r="F26" s="119">
        <v>6</v>
      </c>
      <c r="G26" s="119">
        <v>4</v>
      </c>
      <c r="H26" s="119">
        <v>5</v>
      </c>
      <c r="I26" s="119">
        <v>4</v>
      </c>
      <c r="J26" s="120">
        <v>4</v>
      </c>
      <c r="K26" s="13">
        <f t="shared" si="5"/>
        <v>41</v>
      </c>
      <c r="M26" s="227" t="str">
        <f>A10</f>
        <v>Hunter</v>
      </c>
      <c r="N26" s="426">
        <f>K10</f>
        <v>46</v>
      </c>
      <c r="O26" s="13">
        <f>K50</f>
        <v>2</v>
      </c>
      <c r="P26" s="191"/>
      <c r="Q26" s="66"/>
      <c r="R26" s="66"/>
      <c r="S26" s="66"/>
      <c r="T26" s="154"/>
      <c r="V26" s="2" t="str">
        <f t="shared" si="0"/>
        <v/>
      </c>
      <c r="W26" s="2" t="str">
        <f t="shared" si="1"/>
        <v/>
      </c>
      <c r="X26" s="2" t="str">
        <f t="shared" si="2"/>
        <v/>
      </c>
      <c r="Y26" s="2" t="str">
        <f t="shared" si="3"/>
        <v/>
      </c>
      <c r="Z26" s="2" t="str">
        <f t="shared" si="4"/>
        <v/>
      </c>
      <c r="AA26" s="144">
        <f>IF(SUM(V26:Z26)=0,0,Setup!F$44/SUM(V26:Z26))</f>
        <v>0</v>
      </c>
    </row>
    <row r="27" spans="1:27" hidden="1" x14ac:dyDescent="0.2">
      <c r="A27" s="22">
        <f>Matchups!E24</f>
        <v>5</v>
      </c>
      <c r="B27" s="341"/>
      <c r="C27" s="119"/>
      <c r="D27" s="119"/>
      <c r="E27" s="119"/>
      <c r="F27" s="119"/>
      <c r="G27" s="119"/>
      <c r="H27" s="119"/>
      <c r="I27" s="119"/>
      <c r="J27" s="120"/>
      <c r="K27" s="13"/>
      <c r="M27" s="227"/>
      <c r="N27" s="426"/>
      <c r="O27" s="13"/>
      <c r="P27" s="191"/>
      <c r="Q27" s="66"/>
      <c r="R27" s="66"/>
      <c r="S27" s="66"/>
      <c r="T27" s="154"/>
      <c r="V27" s="2" t="str">
        <f t="shared" si="0"/>
        <v/>
      </c>
      <c r="W27" s="2" t="str">
        <f t="shared" si="1"/>
        <v/>
      </c>
      <c r="X27" s="2" t="str">
        <f t="shared" si="2"/>
        <v/>
      </c>
      <c r="Y27" s="2" t="str">
        <f t="shared" si="3"/>
        <v/>
      </c>
      <c r="Z27" s="2" t="str">
        <f t="shared" si="4"/>
        <v/>
      </c>
      <c r="AA27" s="144">
        <f>IF(SUM(V27:Z27)=0,0,Setup!F$44/SUM(V27:Z27))</f>
        <v>0</v>
      </c>
    </row>
    <row r="28" spans="1:27" ht="13.5" thickBot="1" x14ac:dyDescent="0.25">
      <c r="A28" s="23" t="str">
        <f>Matchups!E25</f>
        <v>Patrick</v>
      </c>
      <c r="B28" s="343">
        <v>5</v>
      </c>
      <c r="C28" s="122">
        <v>5</v>
      </c>
      <c r="D28" s="122">
        <v>6</v>
      </c>
      <c r="E28" s="122">
        <v>5</v>
      </c>
      <c r="F28" s="122">
        <v>8</v>
      </c>
      <c r="G28" s="122">
        <v>5</v>
      </c>
      <c r="H28" s="122">
        <v>7</v>
      </c>
      <c r="I28" s="122">
        <v>4</v>
      </c>
      <c r="J28" s="123">
        <v>6</v>
      </c>
      <c r="K28" s="14">
        <f t="shared" si="5"/>
        <v>51</v>
      </c>
      <c r="M28" s="227" t="str">
        <f>A36</f>
        <v>Gerald C</v>
      </c>
      <c r="N28" s="426">
        <f>K36</f>
        <v>57</v>
      </c>
      <c r="O28" s="13">
        <f>K141</f>
        <v>0</v>
      </c>
      <c r="P28" s="191"/>
      <c r="Q28" s="66"/>
      <c r="R28" s="66"/>
      <c r="S28" s="66"/>
      <c r="T28" s="154"/>
      <c r="V28" s="2" t="str">
        <f t="shared" si="0"/>
        <v/>
      </c>
      <c r="W28" s="2" t="str">
        <f t="shared" si="1"/>
        <v/>
      </c>
      <c r="X28" s="2" t="str">
        <f t="shared" si="2"/>
        <v/>
      </c>
      <c r="Y28" s="2" t="str">
        <f t="shared" si="3"/>
        <v/>
      </c>
      <c r="Z28" s="2" t="str">
        <f t="shared" si="4"/>
        <v/>
      </c>
      <c r="AA28" s="144">
        <f>IF(SUM(V28:Z28)=0,0,Setup!F$44/SUM(V28:Z28))</f>
        <v>0</v>
      </c>
    </row>
    <row r="29" spans="1:27" ht="13.5" hidden="1" thickBot="1" x14ac:dyDescent="0.25">
      <c r="A29" s="400">
        <f>Matchups!E26</f>
        <v>8</v>
      </c>
      <c r="B29" s="124"/>
      <c r="C29" s="125"/>
      <c r="D29" s="125"/>
      <c r="E29" s="125"/>
      <c r="F29" s="125"/>
      <c r="G29" s="125"/>
      <c r="H29" s="125"/>
      <c r="I29" s="125"/>
      <c r="J29" s="126"/>
      <c r="K29" s="250"/>
      <c r="M29" s="334"/>
      <c r="N29" s="427"/>
      <c r="O29" s="229"/>
      <c r="P29" s="404"/>
      <c r="Q29" s="155"/>
      <c r="R29" s="155"/>
      <c r="S29" s="155"/>
      <c r="T29" s="156"/>
      <c r="V29" s="2" t="str">
        <f t="shared" si="0"/>
        <v/>
      </c>
      <c r="W29" s="2" t="str">
        <f t="shared" si="1"/>
        <v/>
      </c>
      <c r="X29" s="2" t="str">
        <f t="shared" si="2"/>
        <v/>
      </c>
      <c r="Y29" s="2" t="str">
        <f t="shared" si="3"/>
        <v/>
      </c>
      <c r="Z29" s="2" t="str">
        <f t="shared" si="4"/>
        <v/>
      </c>
      <c r="AA29" s="144">
        <f>IF(SUM(V29:Z29)=0,0,Setup!F$44/SUM(V29:Z29))</f>
        <v>0</v>
      </c>
    </row>
    <row r="30" spans="1:27" x14ac:dyDescent="0.2">
      <c r="A30" s="21" t="str">
        <f>Matchups!E27</f>
        <v>Mil</v>
      </c>
      <c r="B30" s="339">
        <v>4</v>
      </c>
      <c r="C30" s="116">
        <v>4</v>
      </c>
      <c r="D30" s="116">
        <v>5</v>
      </c>
      <c r="E30" s="116">
        <v>5</v>
      </c>
      <c r="F30" s="116">
        <v>8</v>
      </c>
      <c r="G30" s="116">
        <v>5</v>
      </c>
      <c r="H30" s="116">
        <v>5</v>
      </c>
      <c r="I30" s="116">
        <v>7</v>
      </c>
      <c r="J30" s="401">
        <v>7</v>
      </c>
      <c r="K30" s="5">
        <f>SUM(B30:J30)</f>
        <v>50</v>
      </c>
      <c r="M30" s="226" t="str">
        <f>A14</f>
        <v>Bob</v>
      </c>
      <c r="N30" s="428">
        <f>K14</f>
        <v>51</v>
      </c>
      <c r="O30" s="12">
        <f>K70</f>
        <v>0</v>
      </c>
      <c r="P30" s="297"/>
      <c r="Q30" s="65"/>
      <c r="R30" s="65"/>
      <c r="S30" s="65"/>
      <c r="T30" s="153"/>
      <c r="V30" s="2" t="str">
        <f t="shared" si="0"/>
        <v/>
      </c>
      <c r="W30" s="2" t="str">
        <f t="shared" si="1"/>
        <v/>
      </c>
      <c r="X30" s="2" t="str">
        <f t="shared" si="2"/>
        <v/>
      </c>
      <c r="Y30" s="2" t="str">
        <f t="shared" si="3"/>
        <v/>
      </c>
      <c r="Z30" s="2" t="str">
        <f t="shared" si="4"/>
        <v/>
      </c>
      <c r="AA30" s="144">
        <f>IF(SUM(V30:Z30)=0,0,Setup!F$44/SUM(V30:Z30))</f>
        <v>0</v>
      </c>
    </row>
    <row r="31" spans="1:27" hidden="1" x14ac:dyDescent="0.2">
      <c r="A31" s="22">
        <f>Matchups!E28</f>
        <v>6</v>
      </c>
      <c r="B31" s="341"/>
      <c r="C31" s="119"/>
      <c r="D31" s="119"/>
      <c r="E31" s="119"/>
      <c r="F31" s="119"/>
      <c r="G31" s="119"/>
      <c r="H31" s="119"/>
      <c r="I31" s="119"/>
      <c r="J31" s="402"/>
      <c r="K31" s="8"/>
      <c r="M31" s="227"/>
      <c r="N31" s="426"/>
      <c r="O31" s="13"/>
      <c r="P31" s="191"/>
      <c r="Q31" s="66"/>
      <c r="R31" s="66"/>
      <c r="S31" s="66"/>
      <c r="T31" s="154"/>
      <c r="V31" s="2" t="str">
        <f t="shared" si="0"/>
        <v/>
      </c>
      <c r="W31" s="2" t="str">
        <f t="shared" si="1"/>
        <v/>
      </c>
      <c r="X31" s="2" t="str">
        <f t="shared" si="2"/>
        <v/>
      </c>
      <c r="Y31" s="2" t="str">
        <f t="shared" si="3"/>
        <v/>
      </c>
      <c r="Z31" s="2" t="str">
        <f t="shared" si="4"/>
        <v/>
      </c>
      <c r="AA31" s="144">
        <f>IF(SUM(V31:Z31)=0,0,Setup!F$44/SUM(V31:Z31))</f>
        <v>0</v>
      </c>
    </row>
    <row r="32" spans="1:27" x14ac:dyDescent="0.2">
      <c r="A32" s="22" t="str">
        <f>Matchups!E29</f>
        <v>Brian S</v>
      </c>
      <c r="B32" s="341">
        <v>6</v>
      </c>
      <c r="C32" s="119">
        <v>3</v>
      </c>
      <c r="D32" s="119">
        <v>7</v>
      </c>
      <c r="E32" s="119">
        <v>6</v>
      </c>
      <c r="F32" s="119">
        <v>6</v>
      </c>
      <c r="G32" s="119">
        <v>5</v>
      </c>
      <c r="H32" s="119">
        <v>6</v>
      </c>
      <c r="I32" s="119">
        <v>5</v>
      </c>
      <c r="J32" s="402">
        <v>7</v>
      </c>
      <c r="K32" s="8">
        <f>SUM(B32:J32)</f>
        <v>51</v>
      </c>
      <c r="M32" s="227" t="str">
        <f>A28</f>
        <v>Patrick</v>
      </c>
      <c r="N32" s="426">
        <f>K28</f>
        <v>51</v>
      </c>
      <c r="O32" s="13">
        <f>K115</f>
        <v>0</v>
      </c>
      <c r="P32" s="191"/>
      <c r="Q32" s="66"/>
      <c r="R32" s="66"/>
      <c r="S32" s="66"/>
      <c r="T32" s="154"/>
      <c r="V32" s="2" t="str">
        <f t="shared" si="0"/>
        <v/>
      </c>
      <c r="W32" s="2" t="str">
        <f t="shared" si="1"/>
        <v/>
      </c>
      <c r="X32" s="2" t="str">
        <f t="shared" si="2"/>
        <v/>
      </c>
      <c r="Y32" s="2" t="str">
        <f t="shared" si="3"/>
        <v/>
      </c>
      <c r="Z32" s="2" t="str">
        <f t="shared" si="4"/>
        <v/>
      </c>
      <c r="AA32" s="144">
        <f>IF(SUM(V32:Z32)=0,0,Setup!F$44/SUM(V32:Z32))</f>
        <v>0</v>
      </c>
    </row>
    <row r="33" spans="1:27" hidden="1" x14ac:dyDescent="0.2">
      <c r="A33" s="22">
        <f>Matchups!E30</f>
        <v>13</v>
      </c>
      <c r="B33" s="341"/>
      <c r="C33" s="119"/>
      <c r="D33" s="119"/>
      <c r="E33" s="119"/>
      <c r="F33" s="119"/>
      <c r="G33" s="119"/>
      <c r="H33" s="119"/>
      <c r="I33" s="119"/>
      <c r="J33" s="402"/>
      <c r="K33" s="8"/>
      <c r="M33" s="227"/>
      <c r="N33" s="8"/>
      <c r="O33" s="13"/>
      <c r="P33" s="191"/>
      <c r="Q33" s="66"/>
      <c r="R33" s="66"/>
      <c r="S33" s="66"/>
      <c r="T33" s="154"/>
      <c r="V33" s="2" t="str">
        <f t="shared" si="0"/>
        <v/>
      </c>
      <c r="W33" s="2" t="str">
        <f t="shared" si="1"/>
        <v/>
      </c>
      <c r="X33" s="2" t="str">
        <f t="shared" si="2"/>
        <v/>
      </c>
      <c r="Y33" s="2" t="str">
        <f t="shared" si="3"/>
        <v/>
      </c>
      <c r="Z33" s="2" t="str">
        <f t="shared" si="4"/>
        <v/>
      </c>
      <c r="AA33" s="144">
        <f>IF(SUM(V33:Z33)=0,0,Setup!F$44/SUM(V33:Z33))</f>
        <v>0</v>
      </c>
    </row>
    <row r="34" spans="1:27" s="425" customFormat="1" x14ac:dyDescent="0.2">
      <c r="A34" s="22" t="str">
        <f>Matchups!E31</f>
        <v>Keith</v>
      </c>
      <c r="B34" s="341">
        <v>7</v>
      </c>
      <c r="C34" s="119">
        <v>4</v>
      </c>
      <c r="D34" s="119">
        <v>8</v>
      </c>
      <c r="E34" s="119">
        <v>8</v>
      </c>
      <c r="F34" s="119">
        <v>9</v>
      </c>
      <c r="G34" s="119">
        <v>6</v>
      </c>
      <c r="H34" s="119">
        <v>6</v>
      </c>
      <c r="I34" s="119">
        <v>7</v>
      </c>
      <c r="J34" s="402">
        <v>9</v>
      </c>
      <c r="K34" s="8">
        <f>SUM(B34:J34)</f>
        <v>64</v>
      </c>
      <c r="M34" s="227" t="str">
        <f>A32</f>
        <v>Brian S</v>
      </c>
      <c r="N34" s="528">
        <f>K32</f>
        <v>51</v>
      </c>
      <c r="O34" s="535">
        <f>K135</f>
        <v>2</v>
      </c>
      <c r="P34" s="191"/>
      <c r="Q34" s="66"/>
      <c r="R34" s="66"/>
      <c r="S34" s="66"/>
      <c r="T34" s="154"/>
      <c r="V34" s="2" t="str">
        <f t="shared" si="0"/>
        <v/>
      </c>
      <c r="W34" s="2" t="str">
        <f t="shared" si="1"/>
        <v/>
      </c>
      <c r="X34" s="2" t="str">
        <f t="shared" si="2"/>
        <v/>
      </c>
      <c r="Y34" s="2" t="str">
        <f t="shared" si="3"/>
        <v/>
      </c>
      <c r="Z34" s="2" t="str">
        <f t="shared" si="4"/>
        <v/>
      </c>
      <c r="AA34" s="144">
        <f>IF(SUM(V34:Z34)=0,0,Setup!F$44/SUM(V34:Z34))</f>
        <v>0</v>
      </c>
    </row>
    <row r="35" spans="1:27" s="425" customFormat="1" hidden="1" x14ac:dyDescent="0.2">
      <c r="A35" s="22">
        <f>Matchups!E32</f>
        <v>16</v>
      </c>
      <c r="B35" s="341"/>
      <c r="C35" s="119"/>
      <c r="D35" s="119"/>
      <c r="E35" s="119"/>
      <c r="F35" s="119"/>
      <c r="G35" s="119"/>
      <c r="H35" s="119"/>
      <c r="I35" s="119"/>
      <c r="J35" s="402"/>
      <c r="K35" s="545"/>
      <c r="M35" s="227"/>
      <c r="N35" s="528"/>
      <c r="O35" s="535"/>
      <c r="P35" s="191"/>
      <c r="Q35" s="66"/>
      <c r="R35" s="66"/>
      <c r="S35" s="66"/>
      <c r="T35" s="154"/>
      <c r="V35" s="2" t="str">
        <f t="shared" si="0"/>
        <v/>
      </c>
      <c r="W35" s="2" t="str">
        <f t="shared" si="1"/>
        <v/>
      </c>
      <c r="X35" s="2" t="str">
        <f t="shared" si="2"/>
        <v/>
      </c>
      <c r="Y35" s="2" t="str">
        <f t="shared" si="3"/>
        <v/>
      </c>
      <c r="Z35" s="2" t="str">
        <f t="shared" si="4"/>
        <v/>
      </c>
      <c r="AA35" s="144">
        <f>IF(SUM(V35:Z35)=0,0,Setup!F$44/SUM(V35:Z35))</f>
        <v>0</v>
      </c>
    </row>
    <row r="36" spans="1:27" s="425" customFormat="1" ht="13.5" thickBot="1" x14ac:dyDescent="0.25">
      <c r="A36" s="23" t="str">
        <f>Matchups!E33</f>
        <v>Gerald C</v>
      </c>
      <c r="B36" s="343">
        <v>9</v>
      </c>
      <c r="C36" s="122">
        <v>5</v>
      </c>
      <c r="D36" s="122">
        <v>5</v>
      </c>
      <c r="E36" s="122">
        <v>7</v>
      </c>
      <c r="F36" s="122">
        <v>6</v>
      </c>
      <c r="G36" s="122">
        <v>7</v>
      </c>
      <c r="H36" s="122">
        <v>6</v>
      </c>
      <c r="I36" s="122">
        <v>6</v>
      </c>
      <c r="J36" s="403">
        <v>6</v>
      </c>
      <c r="K36" s="11">
        <f>SUM(B36:J36)</f>
        <v>57</v>
      </c>
      <c r="M36" s="228" t="str">
        <f>A12</f>
        <v>Chris</v>
      </c>
      <c r="N36" s="529">
        <f>K12</f>
        <v>57</v>
      </c>
      <c r="O36" s="536">
        <f>K63</f>
        <v>0</v>
      </c>
      <c r="P36" s="192"/>
      <c r="Q36" s="67"/>
      <c r="R36" s="67"/>
      <c r="S36" s="67"/>
      <c r="T36" s="157"/>
      <c r="V36" s="2" t="str">
        <f t="shared" si="0"/>
        <v/>
      </c>
      <c r="W36" s="2" t="str">
        <f t="shared" si="1"/>
        <v/>
      </c>
      <c r="X36" s="2" t="str">
        <f t="shared" si="2"/>
        <v/>
      </c>
      <c r="Y36" s="2" t="str">
        <f t="shared" si="3"/>
        <v/>
      </c>
      <c r="Z36" s="2" t="str">
        <f t="shared" si="4"/>
        <v/>
      </c>
      <c r="AA36" s="144">
        <f>IF(SUM(V36:Z36)=0,0,Setup!F$44/SUM(V36:Z36))</f>
        <v>0</v>
      </c>
    </row>
    <row r="37" spans="1:27" s="425" customFormat="1" ht="13.5" hidden="1" thickBot="1" x14ac:dyDescent="0.25">
      <c r="A37" s="679">
        <f>Matchups!E34</f>
        <v>12</v>
      </c>
      <c r="B37" s="683"/>
      <c r="C37" s="684"/>
      <c r="D37" s="684"/>
      <c r="E37" s="684"/>
      <c r="F37" s="684"/>
      <c r="G37" s="684"/>
      <c r="H37" s="684"/>
      <c r="I37" s="684"/>
      <c r="J37" s="685"/>
      <c r="K37" s="546"/>
      <c r="M37" s="262"/>
      <c r="N37" s="530"/>
      <c r="O37" s="538"/>
      <c r="P37" s="537"/>
      <c r="Q37" s="158"/>
      <c r="R37" s="158"/>
      <c r="S37" s="158"/>
      <c r="T37" s="159"/>
      <c r="V37" s="2" t="str">
        <f t="shared" si="0"/>
        <v/>
      </c>
      <c r="W37" s="2" t="str">
        <f t="shared" si="1"/>
        <v/>
      </c>
      <c r="X37" s="2" t="str">
        <f t="shared" si="2"/>
        <v/>
      </c>
      <c r="Y37" s="2" t="str">
        <f t="shared" si="3"/>
        <v/>
      </c>
      <c r="Z37" s="2" t="str">
        <f t="shared" si="4"/>
        <v/>
      </c>
      <c r="AA37" s="144">
        <f>IF(SUM(V37:Z37)=0,0,Setup!F$44/SUM(V37:Z37))</f>
        <v>0</v>
      </c>
    </row>
    <row r="38" spans="1:27" x14ac:dyDescent="0.2">
      <c r="A38" s="26"/>
      <c r="B38" s="15"/>
      <c r="C38" s="15"/>
      <c r="D38" s="15"/>
      <c r="E38" s="15"/>
      <c r="F38" s="15"/>
      <c r="G38" s="15"/>
      <c r="H38" s="15"/>
      <c r="I38" s="15"/>
      <c r="J38" s="15"/>
      <c r="K38" s="15"/>
      <c r="AA38" s="139"/>
    </row>
    <row r="39" spans="1:27" x14ac:dyDescent="0.2">
      <c r="A39" s="26"/>
      <c r="S39" s="52">
        <f>COUNTIF(S6:S37,1)</f>
        <v>0</v>
      </c>
    </row>
    <row r="40" spans="1:27" ht="13.5" thickBot="1" x14ac:dyDescent="0.25">
      <c r="A40" s="24" t="s">
        <v>8</v>
      </c>
    </row>
    <row r="41" spans="1:27" x14ac:dyDescent="0.2">
      <c r="A41" s="79" t="str">
        <f t="shared" ref="A41:J41" si="6">A6</f>
        <v>John</v>
      </c>
      <c r="B41" s="17">
        <f t="shared" si="6"/>
        <v>7</v>
      </c>
      <c r="C41" s="3">
        <f t="shared" si="6"/>
        <v>5</v>
      </c>
      <c r="D41" s="3">
        <f t="shared" si="6"/>
        <v>6</v>
      </c>
      <c r="E41" s="3">
        <f t="shared" si="6"/>
        <v>6</v>
      </c>
      <c r="F41" s="3">
        <f t="shared" si="6"/>
        <v>7</v>
      </c>
      <c r="G41" s="3">
        <f t="shared" si="6"/>
        <v>5</v>
      </c>
      <c r="H41" s="3">
        <f t="shared" si="6"/>
        <v>9</v>
      </c>
      <c r="I41" s="3">
        <f t="shared" si="6"/>
        <v>4</v>
      </c>
      <c r="J41" s="4">
        <f t="shared" si="6"/>
        <v>6</v>
      </c>
      <c r="K41" s="12">
        <f>SUM(B41:J41)</f>
        <v>55</v>
      </c>
    </row>
    <row r="42" spans="1:27" x14ac:dyDescent="0.2">
      <c r="A42" s="80">
        <f>A7</f>
        <v>7</v>
      </c>
      <c r="B42" s="18">
        <f>IF(AND(ISNUMBER($A42),ISNUMBER($A48)),IF((RANK(B$4,$B$4:$J$4,1))&lt;=($A42-$A48),1,0),"")</f>
        <v>0</v>
      </c>
      <c r="C42" s="6">
        <f t="shared" ref="C42:J43" si="7">IF(AND(ISNUMBER($A42),ISNUMBER($A48)),IF((RANK(C$4,$B$4:$J$4,1))&lt;=($A42-$A48),1,0),"")</f>
        <v>0</v>
      </c>
      <c r="D42" s="6">
        <f t="shared" si="7"/>
        <v>0</v>
      </c>
      <c r="E42" s="6">
        <f t="shared" si="7"/>
        <v>0</v>
      </c>
      <c r="F42" s="6">
        <f t="shared" si="7"/>
        <v>0</v>
      </c>
      <c r="G42" s="6">
        <f t="shared" si="7"/>
        <v>0</v>
      </c>
      <c r="H42" s="6">
        <f t="shared" si="7"/>
        <v>0</v>
      </c>
      <c r="I42" s="6">
        <f t="shared" si="7"/>
        <v>0</v>
      </c>
      <c r="J42" s="7">
        <f t="shared" si="7"/>
        <v>0</v>
      </c>
      <c r="K42" s="8">
        <f>SUM(B42:J42)</f>
        <v>0</v>
      </c>
    </row>
    <row r="43" spans="1:27" x14ac:dyDescent="0.2">
      <c r="A43" s="80">
        <f>IF((A42-A48)&gt;9,(A42-A48-9),0)</f>
        <v>0</v>
      </c>
      <c r="B43" s="18">
        <f>IF(AND(ISNUMBER($A43),ISNUMBER($A49)),IF((RANK(B$4,$B$4:$J$4,1))&lt;=($A43-$A49),1,0),"")</f>
        <v>0</v>
      </c>
      <c r="C43" s="6">
        <f t="shared" si="7"/>
        <v>0</v>
      </c>
      <c r="D43" s="6">
        <f t="shared" si="7"/>
        <v>0</v>
      </c>
      <c r="E43" s="6">
        <f t="shared" si="7"/>
        <v>0</v>
      </c>
      <c r="F43" s="6">
        <f t="shared" si="7"/>
        <v>0</v>
      </c>
      <c r="G43" s="6">
        <f t="shared" si="7"/>
        <v>0</v>
      </c>
      <c r="H43" s="6">
        <f t="shared" si="7"/>
        <v>0</v>
      </c>
      <c r="I43" s="6">
        <f t="shared" si="7"/>
        <v>0</v>
      </c>
      <c r="J43" s="7">
        <f t="shared" si="7"/>
        <v>0</v>
      </c>
      <c r="K43" s="8">
        <f>SUM(B43:J43)</f>
        <v>0</v>
      </c>
    </row>
    <row r="44" spans="1:27" x14ac:dyDescent="0.2">
      <c r="A44" s="80"/>
      <c r="B44" s="82">
        <f>IF(AND(ISNUMBER(B41),ISNUMBER(B42)),B41-B42-B43," ")</f>
        <v>7</v>
      </c>
      <c r="C44" s="86">
        <f t="shared" ref="C44:J44" si="8">IF(AND(ISNUMBER(C41),ISNUMBER(C42)),C41-C42-C43," ")</f>
        <v>5</v>
      </c>
      <c r="D44" s="86">
        <f t="shared" si="8"/>
        <v>6</v>
      </c>
      <c r="E44" s="86">
        <f t="shared" si="8"/>
        <v>6</v>
      </c>
      <c r="F44" s="86">
        <f t="shared" si="8"/>
        <v>7</v>
      </c>
      <c r="G44" s="86">
        <f t="shared" si="8"/>
        <v>5</v>
      </c>
      <c r="H44" s="86">
        <f t="shared" si="8"/>
        <v>9</v>
      </c>
      <c r="I44" s="86">
        <f t="shared" si="8"/>
        <v>4</v>
      </c>
      <c r="J44" s="87">
        <f t="shared" si="8"/>
        <v>6</v>
      </c>
      <c r="K44" s="8">
        <f>IF(ISNUMBER(FIND("Wins",K45)), 2, IF(ISNUMBER(FIND("Tie",K45)), 1, 0))</f>
        <v>0</v>
      </c>
    </row>
    <row r="45" spans="1:27" ht="13.5" thickBot="1" x14ac:dyDescent="0.25">
      <c r="A45" s="81"/>
      <c r="B45" s="19">
        <f>IF(AND(ISNUMBER(B44),ISNUMBER(B50)),IF(B44&lt;B50, 0+1, (IF(B44&gt;B50, 0-1, 0)))," ")</f>
        <v>0</v>
      </c>
      <c r="C45" s="9">
        <f t="shared" ref="C45:J45" si="9">IF(AND(ISNUMBER(C44),ISNUMBER(C50)),IF(C44&lt;C50, +B45+1, (IF(C44&gt;C50, +B45-1, +B45)))," ")</f>
        <v>-1</v>
      </c>
      <c r="D45" s="9">
        <f t="shared" si="9"/>
        <v>0</v>
      </c>
      <c r="E45" s="9">
        <f t="shared" si="9"/>
        <v>-1</v>
      </c>
      <c r="F45" s="9">
        <f t="shared" si="9"/>
        <v>-2</v>
      </c>
      <c r="G45" s="9">
        <f t="shared" si="9"/>
        <v>-3</v>
      </c>
      <c r="H45" s="9">
        <f t="shared" si="9"/>
        <v>-4</v>
      </c>
      <c r="I45" s="9">
        <f t="shared" si="9"/>
        <v>-4</v>
      </c>
      <c r="J45" s="10">
        <f t="shared" si="9"/>
        <v>-5</v>
      </c>
      <c r="K45" s="11" t="str">
        <f>IF(ISNUMBER(J45),IF(F45&gt;4,"Wins " &amp; F45 &amp; " &amp; 4",IF(G45&gt;3,"Wins " &amp; G45 &amp; " &amp; 3",IF(H45&gt;2,"Wins " &amp; H45 &amp; " &amp; 2",IF(I45&gt;1,"Wins " &amp; I45 &amp; " &amp; 1",IF(J45&gt;J51,"Wins " &amp; J45 &amp; " Up",IF(J45&lt;J51,"Loss","Tie"))))))," ")</f>
        <v>Loss</v>
      </c>
    </row>
    <row r="46" spans="1:27" ht="13.5" thickBot="1" x14ac:dyDescent="0.25">
      <c r="A46" s="32"/>
    </row>
    <row r="47" spans="1:27" x14ac:dyDescent="0.2">
      <c r="A47" s="29" t="str">
        <f t="shared" ref="A47:J47" si="10">A10</f>
        <v>Hunter</v>
      </c>
      <c r="B47" s="17">
        <f t="shared" si="10"/>
        <v>7</v>
      </c>
      <c r="C47" s="3">
        <f t="shared" si="10"/>
        <v>3</v>
      </c>
      <c r="D47" s="3">
        <f t="shared" si="10"/>
        <v>9</v>
      </c>
      <c r="E47" s="3">
        <f t="shared" si="10"/>
        <v>3</v>
      </c>
      <c r="F47" s="3">
        <f t="shared" si="10"/>
        <v>6</v>
      </c>
      <c r="G47" s="3">
        <f t="shared" si="10"/>
        <v>4</v>
      </c>
      <c r="H47" s="3">
        <f t="shared" si="10"/>
        <v>5</v>
      </c>
      <c r="I47" s="3">
        <f t="shared" si="10"/>
        <v>4</v>
      </c>
      <c r="J47" s="4">
        <f t="shared" si="10"/>
        <v>5</v>
      </c>
      <c r="K47" s="12">
        <f>SUM(B47:J47)</f>
        <v>46</v>
      </c>
    </row>
    <row r="48" spans="1:27" x14ac:dyDescent="0.2">
      <c r="A48" s="30">
        <f>A11</f>
        <v>7</v>
      </c>
      <c r="B48" s="18">
        <f>IF(AND(ISNUMBER($A42),ISNUMBER($A48)),IF((RANK(B$4,$B$4:$J$4,1))&lt;=($A48-$A42),1,0),"")</f>
        <v>0</v>
      </c>
      <c r="C48" s="6">
        <f t="shared" ref="C48:J49" si="11">IF(AND(ISNUMBER($A42),ISNUMBER($A48)),IF((RANK(C$4,$B$4:$J$4,1))&lt;=($A48-$A42),1,0),"")</f>
        <v>0</v>
      </c>
      <c r="D48" s="6">
        <f t="shared" si="11"/>
        <v>0</v>
      </c>
      <c r="E48" s="6">
        <f t="shared" si="11"/>
        <v>0</v>
      </c>
      <c r="F48" s="6">
        <f t="shared" si="11"/>
        <v>0</v>
      </c>
      <c r="G48" s="6">
        <f t="shared" si="11"/>
        <v>0</v>
      </c>
      <c r="H48" s="6">
        <f t="shared" si="11"/>
        <v>0</v>
      </c>
      <c r="I48" s="6">
        <f t="shared" si="11"/>
        <v>0</v>
      </c>
      <c r="J48" s="7">
        <f t="shared" si="11"/>
        <v>0</v>
      </c>
      <c r="K48" s="13">
        <f>SUM(B48:J48)</f>
        <v>0</v>
      </c>
    </row>
    <row r="49" spans="1:27" x14ac:dyDescent="0.2">
      <c r="A49" s="30">
        <f>IF((A48-A42)&gt;9,(A48-A42-9),0)</f>
        <v>0</v>
      </c>
      <c r="B49" s="18">
        <f>IF(AND(ISNUMBER($A43),ISNUMBER($A49)),IF((RANK(B$4,$B$4:$J$4,1))&lt;=($A49-$A43),1,0),"")</f>
        <v>0</v>
      </c>
      <c r="C49" s="6">
        <f t="shared" si="11"/>
        <v>0</v>
      </c>
      <c r="D49" s="6">
        <f t="shared" si="11"/>
        <v>0</v>
      </c>
      <c r="E49" s="6">
        <f t="shared" si="11"/>
        <v>0</v>
      </c>
      <c r="F49" s="6">
        <f t="shared" si="11"/>
        <v>0</v>
      </c>
      <c r="G49" s="6">
        <f t="shared" si="11"/>
        <v>0</v>
      </c>
      <c r="H49" s="6">
        <f t="shared" si="11"/>
        <v>0</v>
      </c>
      <c r="I49" s="6">
        <f t="shared" si="11"/>
        <v>0</v>
      </c>
      <c r="J49" s="7">
        <f t="shared" si="11"/>
        <v>0</v>
      </c>
      <c r="K49" s="13">
        <f>SUM(B49:J49)</f>
        <v>0</v>
      </c>
    </row>
    <row r="50" spans="1:27" x14ac:dyDescent="0.2">
      <c r="A50" s="30"/>
      <c r="B50" s="82">
        <f>IF(AND(ISNUMBER(B47),ISNUMBER(B48)),B47-B48-B49," ")</f>
        <v>7</v>
      </c>
      <c r="C50" s="83">
        <f t="shared" ref="C50:J50" si="12">IF(AND(ISNUMBER(C47),ISNUMBER(C48)),C47-C48-C49," ")</f>
        <v>3</v>
      </c>
      <c r="D50" s="83">
        <f t="shared" si="12"/>
        <v>9</v>
      </c>
      <c r="E50" s="83">
        <f t="shared" si="12"/>
        <v>3</v>
      </c>
      <c r="F50" s="83">
        <f t="shared" si="12"/>
        <v>6</v>
      </c>
      <c r="G50" s="83">
        <f t="shared" si="12"/>
        <v>4</v>
      </c>
      <c r="H50" s="83">
        <f t="shared" si="12"/>
        <v>5</v>
      </c>
      <c r="I50" s="83">
        <f t="shared" si="12"/>
        <v>4</v>
      </c>
      <c r="J50" s="84">
        <f t="shared" si="12"/>
        <v>5</v>
      </c>
      <c r="K50" s="13">
        <f>IF(ISNUMBER(FIND("Wins",K51)), 2, IF(ISNUMBER(FIND("Tie",K51)), 1, 0))</f>
        <v>2</v>
      </c>
    </row>
    <row r="51" spans="1:27" ht="13.5" thickBot="1" x14ac:dyDescent="0.25">
      <c r="A51" s="31"/>
      <c r="B51" s="19">
        <f>IF(AND(ISNUMBER(B44),ISNUMBER(B50)),IF(B50&lt;B44, 0+1, (IF(B50&gt;B44, 0-1, 0)))," ")</f>
        <v>0</v>
      </c>
      <c r="C51" s="9">
        <f t="shared" ref="C51:J51" si="13">IF(AND(ISNUMBER(C44),ISNUMBER(C50)),IF(C50&lt;C44, +B51+1, (IF(C50&gt;C44, +B51-1, +B51)))," ")</f>
        <v>1</v>
      </c>
      <c r="D51" s="9">
        <f t="shared" si="13"/>
        <v>0</v>
      </c>
      <c r="E51" s="9">
        <f t="shared" si="13"/>
        <v>1</v>
      </c>
      <c r="F51" s="9">
        <f t="shared" si="13"/>
        <v>2</v>
      </c>
      <c r="G51" s="9">
        <f t="shared" si="13"/>
        <v>3</v>
      </c>
      <c r="H51" s="9">
        <f t="shared" si="13"/>
        <v>4</v>
      </c>
      <c r="I51" s="9">
        <f t="shared" si="13"/>
        <v>4</v>
      </c>
      <c r="J51" s="10">
        <f t="shared" si="13"/>
        <v>5</v>
      </c>
      <c r="K51" s="14" t="str">
        <f>IF(ISNUMBER(J51),IF(F51&gt;4,"Wins " &amp; F51 &amp; " &amp; 4",IF(G51&gt;3,"Wins " &amp; G51 &amp; " &amp; 3",IF(H51&gt;2,"Wins " &amp; H51 &amp; " &amp; 2",IF(I51&gt;1,"Wins " &amp; I51 &amp; " &amp; 1",IF(J51&gt;J45,"Wins " &amp; J51 &amp; " Up",IF(J51&lt;J45,"Loss","Tie"))))))," ")</f>
        <v>Wins 4 &amp; 2</v>
      </c>
    </row>
    <row r="53" spans="1:27" s="16" customFormat="1" ht="13.5" thickBot="1" x14ac:dyDescent="0.25">
      <c r="A53" s="24" t="s">
        <v>9</v>
      </c>
      <c r="B53" s="2"/>
      <c r="C53" s="2"/>
      <c r="D53" s="2"/>
      <c r="E53" s="2"/>
      <c r="F53" s="2"/>
      <c r="G53" s="2"/>
      <c r="H53" s="2"/>
      <c r="I53" s="2"/>
      <c r="J53" s="2"/>
      <c r="K53" s="2"/>
      <c r="N53" s="15"/>
      <c r="O53" s="15"/>
      <c r="P53" s="59"/>
      <c r="Q53" s="59"/>
      <c r="R53" s="59"/>
      <c r="S53" s="59"/>
      <c r="T53" s="59"/>
      <c r="W53" s="15"/>
      <c r="X53" s="15"/>
      <c r="Y53" s="15"/>
      <c r="Z53" s="15"/>
      <c r="AA53" s="15"/>
    </row>
    <row r="54" spans="1:27" s="16" customFormat="1" x14ac:dyDescent="0.2">
      <c r="A54" s="29" t="str">
        <f t="shared" ref="A54:J54" si="14">A8</f>
        <v>Rick</v>
      </c>
      <c r="B54" s="17">
        <f t="shared" si="14"/>
        <v>7</v>
      </c>
      <c r="C54" s="3">
        <f t="shared" si="14"/>
        <v>3</v>
      </c>
      <c r="D54" s="3">
        <f t="shared" si="14"/>
        <v>6</v>
      </c>
      <c r="E54" s="3">
        <f t="shared" si="14"/>
        <v>6</v>
      </c>
      <c r="F54" s="3">
        <f t="shared" si="14"/>
        <v>6</v>
      </c>
      <c r="G54" s="3">
        <f t="shared" si="14"/>
        <v>3</v>
      </c>
      <c r="H54" s="3">
        <f t="shared" si="14"/>
        <v>5</v>
      </c>
      <c r="I54" s="3">
        <f t="shared" si="14"/>
        <v>5</v>
      </c>
      <c r="J54" s="4">
        <f t="shared" si="14"/>
        <v>5</v>
      </c>
      <c r="K54" s="12">
        <f>SUM(B54:J54)</f>
        <v>46</v>
      </c>
      <c r="N54" s="15"/>
      <c r="O54" s="15"/>
      <c r="P54" s="59"/>
      <c r="Q54" s="59"/>
      <c r="R54" s="59"/>
      <c r="S54" s="59"/>
      <c r="T54" s="59"/>
      <c r="W54" s="15"/>
      <c r="X54" s="15"/>
      <c r="Y54" s="15"/>
      <c r="Z54" s="15"/>
      <c r="AA54" s="15"/>
    </row>
    <row r="55" spans="1:27" s="16" customFormat="1" x14ac:dyDescent="0.2">
      <c r="A55" s="30">
        <f>A9</f>
        <v>7</v>
      </c>
      <c r="B55" s="18">
        <f>IF(AND(ISNUMBER($A55),ISNUMBER($A61)),IF((RANK(B$4,$B$4:$J$4,1))&lt;=($A55-$A61),1,0),"")</f>
        <v>0</v>
      </c>
      <c r="C55" s="6">
        <f t="shared" ref="C55:J56" si="15">IF(AND(ISNUMBER($A55),ISNUMBER($A61)),IF((RANK(C$4,$B$4:$J$4,1))&lt;=($A55-$A61),1,0),"")</f>
        <v>0</v>
      </c>
      <c r="D55" s="6">
        <f t="shared" si="15"/>
        <v>0</v>
      </c>
      <c r="E55" s="6">
        <f t="shared" si="15"/>
        <v>0</v>
      </c>
      <c r="F55" s="6">
        <f t="shared" si="15"/>
        <v>0</v>
      </c>
      <c r="G55" s="6">
        <f t="shared" si="15"/>
        <v>0</v>
      </c>
      <c r="H55" s="6">
        <f t="shared" si="15"/>
        <v>0</v>
      </c>
      <c r="I55" s="6">
        <f t="shared" si="15"/>
        <v>0</v>
      </c>
      <c r="J55" s="7">
        <f t="shared" si="15"/>
        <v>0</v>
      </c>
      <c r="K55" s="13">
        <f>SUM(B55:J55)</f>
        <v>0</v>
      </c>
      <c r="N55" s="15"/>
      <c r="O55" s="15"/>
      <c r="P55" s="59"/>
      <c r="Q55" s="59"/>
      <c r="R55" s="59"/>
      <c r="S55" s="59"/>
      <c r="T55" s="59"/>
      <c r="W55" s="15"/>
      <c r="X55" s="15"/>
      <c r="Y55" s="15"/>
      <c r="Z55" s="15"/>
      <c r="AA55" s="15"/>
    </row>
    <row r="56" spans="1:27" s="16" customFormat="1" x14ac:dyDescent="0.2">
      <c r="A56" s="30">
        <f>IF((A55-A61)&gt;9,(A55-A61-9),0)</f>
        <v>0</v>
      </c>
      <c r="B56" s="18">
        <f>IF(AND(ISNUMBER($A56),ISNUMBER($A62)),IF((RANK(B$4,$B$4:$J$4,1))&lt;=($A56-$A62),1,0),"")</f>
        <v>0</v>
      </c>
      <c r="C56" s="6">
        <f t="shared" si="15"/>
        <v>0</v>
      </c>
      <c r="D56" s="6">
        <f t="shared" si="15"/>
        <v>0</v>
      </c>
      <c r="E56" s="6">
        <f t="shared" si="15"/>
        <v>0</v>
      </c>
      <c r="F56" s="6">
        <f t="shared" si="15"/>
        <v>0</v>
      </c>
      <c r="G56" s="6">
        <f t="shared" si="15"/>
        <v>0</v>
      </c>
      <c r="H56" s="6">
        <f t="shared" si="15"/>
        <v>0</v>
      </c>
      <c r="I56" s="6">
        <f t="shared" si="15"/>
        <v>0</v>
      </c>
      <c r="J56" s="7">
        <f t="shared" si="15"/>
        <v>0</v>
      </c>
      <c r="K56" s="13">
        <f>SUM(B56:J56)</f>
        <v>0</v>
      </c>
      <c r="N56" s="15"/>
      <c r="O56" s="15"/>
      <c r="P56" s="59"/>
      <c r="Q56" s="59"/>
      <c r="R56" s="59"/>
      <c r="S56" s="59"/>
      <c r="T56" s="59"/>
      <c r="W56" s="15"/>
      <c r="X56" s="15"/>
      <c r="Y56" s="15"/>
      <c r="Z56" s="15"/>
      <c r="AA56" s="15"/>
    </row>
    <row r="57" spans="1:27" s="16" customFormat="1" x14ac:dyDescent="0.2">
      <c r="A57" s="30"/>
      <c r="B57" s="82">
        <f>IF(AND(ISNUMBER(B54),ISNUMBER(B55)),B54-B55-B56," ")</f>
        <v>7</v>
      </c>
      <c r="C57" s="83">
        <f t="shared" ref="C57:J57" si="16">IF(AND(ISNUMBER(C54),ISNUMBER(C55)),C54-C55-C56," ")</f>
        <v>3</v>
      </c>
      <c r="D57" s="83">
        <f t="shared" si="16"/>
        <v>6</v>
      </c>
      <c r="E57" s="83">
        <f t="shared" si="16"/>
        <v>6</v>
      </c>
      <c r="F57" s="83">
        <f t="shared" si="16"/>
        <v>6</v>
      </c>
      <c r="G57" s="83">
        <f t="shared" si="16"/>
        <v>3</v>
      </c>
      <c r="H57" s="83">
        <f t="shared" si="16"/>
        <v>5</v>
      </c>
      <c r="I57" s="83">
        <f t="shared" si="16"/>
        <v>5</v>
      </c>
      <c r="J57" s="84">
        <f t="shared" si="16"/>
        <v>5</v>
      </c>
      <c r="K57" s="13">
        <f>IF(ISNUMBER(FIND("Wins",K58)), 2, IF(ISNUMBER(FIND("Tie",K58)), 1, 0))</f>
        <v>2</v>
      </c>
      <c r="N57" s="15"/>
      <c r="O57" s="15"/>
      <c r="P57" s="59"/>
      <c r="Q57" s="59"/>
      <c r="R57" s="59"/>
      <c r="S57" s="59"/>
      <c r="T57" s="59"/>
      <c r="W57" s="15"/>
      <c r="X57" s="15"/>
      <c r="Y57" s="15"/>
      <c r="Z57" s="15"/>
      <c r="AA57" s="15"/>
    </row>
    <row r="58" spans="1:27" s="16" customFormat="1" ht="13.5" thickBot="1" x14ac:dyDescent="0.25">
      <c r="A58" s="31"/>
      <c r="B58" s="19">
        <f>IF(AND(ISNUMBER(B57),ISNUMBER(B63)),IF(B57&lt;B63, 0+1, (IF(B57&gt;B63, 0-1, 0)))," ")</f>
        <v>-1</v>
      </c>
      <c r="C58" s="9">
        <f t="shared" ref="C58:J58" si="17">IF(AND(ISNUMBER(C57),ISNUMBER(C63)),IF(C57&lt;C63, +B58+1, (IF(C57&gt;C63, +B58-1, +B58)))," ")</f>
        <v>-1</v>
      </c>
      <c r="D58" s="9">
        <f t="shared" si="17"/>
        <v>0</v>
      </c>
      <c r="E58" s="9">
        <f t="shared" si="17"/>
        <v>-1</v>
      </c>
      <c r="F58" s="9">
        <f t="shared" si="17"/>
        <v>0</v>
      </c>
      <c r="G58" s="9">
        <f t="shared" si="17"/>
        <v>1</v>
      </c>
      <c r="H58" s="9">
        <f t="shared" si="17"/>
        <v>1</v>
      </c>
      <c r="I58" s="9">
        <f t="shared" si="17"/>
        <v>2</v>
      </c>
      <c r="J58" s="10">
        <f t="shared" si="17"/>
        <v>2</v>
      </c>
      <c r="K58" s="14" t="str">
        <f>IF(ISNUMBER(J58),IF(F58&gt;4,"Wins " &amp; F58 &amp; " &amp; 4",IF(G58&gt;3,"Wins " &amp; G58 &amp; " &amp; 3",IF(H58&gt;2,"Wins " &amp; H58 &amp; " &amp; 2",IF(I58&gt;1,"Wins " &amp; I58 &amp; " &amp; 1",IF(J58&gt;J64,"Wins " &amp; J58 &amp; " Up",IF(J58&lt;J64,"Loss","Tie"))))))," ")</f>
        <v>Wins 2 &amp; 1</v>
      </c>
      <c r="N58" s="15"/>
      <c r="O58" s="15"/>
      <c r="P58" s="59"/>
      <c r="Q58" s="59"/>
      <c r="R58" s="59"/>
      <c r="S58" s="59"/>
      <c r="T58" s="59"/>
      <c r="W58" s="15"/>
      <c r="X58" s="15"/>
      <c r="Y58" s="15"/>
      <c r="Z58" s="15"/>
      <c r="AA58" s="15"/>
    </row>
    <row r="59" spans="1:27" s="16" customFormat="1" ht="13.5" thickBot="1" x14ac:dyDescent="0.25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N59" s="15"/>
      <c r="O59" s="15"/>
      <c r="P59" s="59"/>
      <c r="Q59" s="59"/>
      <c r="R59" s="59"/>
      <c r="S59" s="59"/>
      <c r="T59" s="59"/>
      <c r="W59" s="15"/>
      <c r="X59" s="15"/>
      <c r="Y59" s="15"/>
      <c r="Z59" s="15"/>
      <c r="AA59" s="15"/>
    </row>
    <row r="60" spans="1:27" s="16" customFormat="1" x14ac:dyDescent="0.2">
      <c r="A60" s="29" t="str">
        <f t="shared" ref="A60:J60" si="18">A12</f>
        <v>Chris</v>
      </c>
      <c r="B60" s="17">
        <f t="shared" si="18"/>
        <v>5</v>
      </c>
      <c r="C60" s="3">
        <f t="shared" si="18"/>
        <v>4</v>
      </c>
      <c r="D60" s="3">
        <f t="shared" si="18"/>
        <v>8</v>
      </c>
      <c r="E60" s="3">
        <f t="shared" si="18"/>
        <v>6</v>
      </c>
      <c r="F60" s="3">
        <f t="shared" si="18"/>
        <v>9</v>
      </c>
      <c r="G60" s="3">
        <f t="shared" si="18"/>
        <v>5</v>
      </c>
      <c r="H60" s="3">
        <f t="shared" si="18"/>
        <v>6</v>
      </c>
      <c r="I60" s="3">
        <f t="shared" si="18"/>
        <v>8</v>
      </c>
      <c r="J60" s="4">
        <f t="shared" si="18"/>
        <v>6</v>
      </c>
      <c r="K60" s="12">
        <f>SUM(B60:J60)</f>
        <v>57</v>
      </c>
      <c r="N60" s="15"/>
      <c r="O60" s="15"/>
      <c r="P60" s="59"/>
      <c r="Q60" s="59"/>
      <c r="R60" s="59"/>
      <c r="S60" s="59"/>
      <c r="T60" s="59"/>
      <c r="W60" s="15"/>
      <c r="X60" s="15"/>
      <c r="Y60" s="15"/>
      <c r="Z60" s="15"/>
      <c r="AA60" s="15"/>
    </row>
    <row r="61" spans="1:27" s="16" customFormat="1" x14ac:dyDescent="0.2">
      <c r="A61" s="30">
        <f>A13</f>
        <v>15</v>
      </c>
      <c r="B61" s="18">
        <f>IF(AND(ISNUMBER($A55),ISNUMBER($A61)),IF((RANK(B$4,$B$4:$J$4,1))&lt;=($A61-$A55),1,0),"")</f>
        <v>1</v>
      </c>
      <c r="C61" s="6">
        <f t="shared" ref="C61:J62" si="19">IF(AND(ISNUMBER($A55),ISNUMBER($A61)),IF((RANK(C$4,$B$4:$J$4,1))&lt;=($A61-$A55),1,0),"")</f>
        <v>1</v>
      </c>
      <c r="D61" s="6">
        <f t="shared" si="19"/>
        <v>1</v>
      </c>
      <c r="E61" s="6">
        <f t="shared" si="19"/>
        <v>1</v>
      </c>
      <c r="F61" s="6">
        <f t="shared" si="19"/>
        <v>1</v>
      </c>
      <c r="G61" s="6">
        <f t="shared" si="19"/>
        <v>0</v>
      </c>
      <c r="H61" s="6">
        <f t="shared" si="19"/>
        <v>1</v>
      </c>
      <c r="I61" s="6">
        <f t="shared" si="19"/>
        <v>1</v>
      </c>
      <c r="J61" s="7">
        <f t="shared" si="19"/>
        <v>1</v>
      </c>
      <c r="K61" s="13">
        <f>SUM(B61:J61)</f>
        <v>8</v>
      </c>
      <c r="N61" s="15"/>
      <c r="O61" s="15"/>
      <c r="P61" s="59"/>
      <c r="Q61" s="59"/>
      <c r="R61" s="59"/>
      <c r="S61" s="59"/>
      <c r="T61" s="59"/>
      <c r="W61" s="15"/>
      <c r="X61" s="15"/>
      <c r="Y61" s="15"/>
      <c r="Z61" s="15"/>
      <c r="AA61" s="15"/>
    </row>
    <row r="62" spans="1:27" s="16" customFormat="1" x14ac:dyDescent="0.2">
      <c r="A62" s="30">
        <f>IF((A61-A55)&gt;9,(A61-A55-9),0)</f>
        <v>0</v>
      </c>
      <c r="B62" s="18">
        <f>IF(AND(ISNUMBER($A56),ISNUMBER($A62)),IF((RANK(B$4,$B$4:$J$4,1))&lt;=($A62-$A56),1,0),"")</f>
        <v>0</v>
      </c>
      <c r="C62" s="6">
        <f t="shared" si="19"/>
        <v>0</v>
      </c>
      <c r="D62" s="6">
        <f t="shared" si="19"/>
        <v>0</v>
      </c>
      <c r="E62" s="6">
        <f t="shared" si="19"/>
        <v>0</v>
      </c>
      <c r="F62" s="6">
        <f t="shared" si="19"/>
        <v>0</v>
      </c>
      <c r="G62" s="6">
        <f t="shared" si="19"/>
        <v>0</v>
      </c>
      <c r="H62" s="6">
        <f t="shared" si="19"/>
        <v>0</v>
      </c>
      <c r="I62" s="6">
        <f t="shared" si="19"/>
        <v>0</v>
      </c>
      <c r="J62" s="7">
        <f t="shared" si="19"/>
        <v>0</v>
      </c>
      <c r="K62" s="13">
        <f>SUM(B62:J62)</f>
        <v>0</v>
      </c>
      <c r="N62" s="15"/>
      <c r="O62" s="15"/>
      <c r="P62" s="59"/>
      <c r="Q62" s="59"/>
      <c r="R62" s="59"/>
      <c r="S62" s="59"/>
      <c r="T62" s="59"/>
      <c r="W62" s="15"/>
      <c r="X62" s="15"/>
      <c r="Y62" s="15"/>
      <c r="Z62" s="15"/>
      <c r="AA62" s="15"/>
    </row>
    <row r="63" spans="1:27" s="16" customFormat="1" x14ac:dyDescent="0.2">
      <c r="A63" s="30"/>
      <c r="B63" s="82">
        <f>IF(AND(ISNUMBER(B60),ISNUMBER(B61)),B60-B61-B62," ")</f>
        <v>4</v>
      </c>
      <c r="C63" s="83">
        <f t="shared" ref="C63:J63" si="20">IF(AND(ISNUMBER(C60),ISNUMBER(C61)),C60-C61-C62," ")</f>
        <v>3</v>
      </c>
      <c r="D63" s="83">
        <f t="shared" si="20"/>
        <v>7</v>
      </c>
      <c r="E63" s="83">
        <f t="shared" si="20"/>
        <v>5</v>
      </c>
      <c r="F63" s="83">
        <f t="shared" si="20"/>
        <v>8</v>
      </c>
      <c r="G63" s="83">
        <f t="shared" si="20"/>
        <v>5</v>
      </c>
      <c r="H63" s="83">
        <f t="shared" si="20"/>
        <v>5</v>
      </c>
      <c r="I63" s="83">
        <f t="shared" si="20"/>
        <v>7</v>
      </c>
      <c r="J63" s="84">
        <f t="shared" si="20"/>
        <v>5</v>
      </c>
      <c r="K63" s="13">
        <f>IF(ISNUMBER(FIND("Wins",K64)), 2, IF(ISNUMBER(FIND("Tie",K64)), 1, 0))</f>
        <v>0</v>
      </c>
      <c r="N63" s="15"/>
      <c r="O63" s="15"/>
      <c r="P63" s="59"/>
      <c r="Q63" s="59"/>
      <c r="R63" s="59"/>
      <c r="S63" s="59"/>
      <c r="T63" s="59"/>
      <c r="W63" s="15"/>
      <c r="X63" s="15"/>
      <c r="Y63" s="15"/>
      <c r="Z63" s="15"/>
      <c r="AA63" s="15"/>
    </row>
    <row r="64" spans="1:27" s="16" customFormat="1" ht="13.5" thickBot="1" x14ac:dyDescent="0.25">
      <c r="A64" s="31"/>
      <c r="B64" s="19">
        <f>IF(AND(ISNUMBER(B57),ISNUMBER(B63)),IF(B63&lt;B57, 0+1, (IF(B63&gt;B57, 0-1, 0)))," ")</f>
        <v>1</v>
      </c>
      <c r="C64" s="9">
        <f t="shared" ref="C64:J64" si="21">IF(AND(ISNUMBER(C57),ISNUMBER(C63)),IF(C63&lt;C57, +B64+1, (IF(C63&gt;C57, +B64-1, +B64)))," ")</f>
        <v>1</v>
      </c>
      <c r="D64" s="9">
        <f t="shared" si="21"/>
        <v>0</v>
      </c>
      <c r="E64" s="9">
        <f t="shared" si="21"/>
        <v>1</v>
      </c>
      <c r="F64" s="9">
        <f t="shared" si="21"/>
        <v>0</v>
      </c>
      <c r="G64" s="9">
        <f t="shared" si="21"/>
        <v>-1</v>
      </c>
      <c r="H64" s="9">
        <f t="shared" si="21"/>
        <v>-1</v>
      </c>
      <c r="I64" s="9">
        <f t="shared" si="21"/>
        <v>-2</v>
      </c>
      <c r="J64" s="10">
        <f t="shared" si="21"/>
        <v>-2</v>
      </c>
      <c r="K64" s="14" t="str">
        <f>IF(ISNUMBER(J64),IF(F64&gt;4,"Wins " &amp; F64 &amp; " &amp; 4",IF(G64&gt;3,"Wins " &amp; G64 &amp; " &amp; 3",IF(H64&gt;2,"Wins " &amp; H64 &amp; " &amp; 2",IF(I64&gt;1,"Wins " &amp; I64 &amp; " &amp; 1",IF(J64&gt;J58,"Wins " &amp; J64 &amp; " Up",IF(J64&lt;J58,"Loss","Tie"))))))," ")</f>
        <v>Loss</v>
      </c>
      <c r="N64" s="15"/>
      <c r="O64" s="15"/>
      <c r="P64" s="59"/>
      <c r="Q64" s="59"/>
      <c r="R64" s="59"/>
      <c r="S64" s="59"/>
      <c r="T64" s="59"/>
      <c r="W64" s="15"/>
      <c r="X64" s="15"/>
      <c r="Y64" s="15"/>
      <c r="Z64" s="15"/>
      <c r="AA64" s="15"/>
    </row>
    <row r="65" spans="1:27" s="16" customFormat="1" x14ac:dyDescent="0.2">
      <c r="A65" s="25"/>
      <c r="B65" s="15"/>
      <c r="C65" s="15"/>
      <c r="D65" s="15"/>
      <c r="E65" s="15"/>
      <c r="F65" s="15"/>
      <c r="G65" s="15"/>
      <c r="H65" s="15"/>
      <c r="I65" s="15"/>
      <c r="J65" s="15"/>
      <c r="K65" s="15"/>
      <c r="N65" s="15"/>
      <c r="O65" s="15"/>
      <c r="P65" s="59"/>
      <c r="Q65" s="59"/>
      <c r="R65" s="59"/>
      <c r="S65" s="59"/>
      <c r="T65" s="59"/>
      <c r="W65" s="15"/>
      <c r="X65" s="15"/>
      <c r="Y65" s="15"/>
      <c r="Z65" s="15"/>
      <c r="AA65" s="15"/>
    </row>
    <row r="66" spans="1:27" s="16" customFormat="1" ht="13.5" thickBot="1" x14ac:dyDescent="0.25">
      <c r="A66" s="24" t="s">
        <v>10</v>
      </c>
      <c r="B66" s="2"/>
      <c r="C66" s="2"/>
      <c r="D66" s="2"/>
      <c r="E66" s="2"/>
      <c r="F66" s="2"/>
      <c r="G66" s="2"/>
      <c r="H66" s="2"/>
      <c r="I66" s="2"/>
      <c r="J66" s="2"/>
      <c r="K66" s="2"/>
      <c r="N66" s="15"/>
      <c r="O66" s="15"/>
      <c r="P66" s="59"/>
      <c r="Q66" s="59"/>
      <c r="R66" s="59"/>
      <c r="S66" s="59"/>
      <c r="T66" s="59"/>
      <c r="W66" s="15"/>
      <c r="X66" s="15"/>
      <c r="Y66" s="15"/>
      <c r="Z66" s="15"/>
      <c r="AA66" s="15"/>
    </row>
    <row r="67" spans="1:27" s="16" customFormat="1" x14ac:dyDescent="0.2">
      <c r="A67" s="79" t="str">
        <f t="shared" ref="A67:J67" si="22">A14</f>
        <v>Bob</v>
      </c>
      <c r="B67" s="17">
        <f t="shared" si="22"/>
        <v>4</v>
      </c>
      <c r="C67" s="3">
        <f t="shared" si="22"/>
        <v>6</v>
      </c>
      <c r="D67" s="3">
        <f t="shared" si="22"/>
        <v>7</v>
      </c>
      <c r="E67" s="3">
        <f t="shared" si="22"/>
        <v>6</v>
      </c>
      <c r="F67" s="3">
        <f t="shared" si="22"/>
        <v>6</v>
      </c>
      <c r="G67" s="3">
        <f t="shared" si="22"/>
        <v>7</v>
      </c>
      <c r="H67" s="3">
        <f t="shared" si="22"/>
        <v>5</v>
      </c>
      <c r="I67" s="3">
        <f t="shared" si="22"/>
        <v>6</v>
      </c>
      <c r="J67" s="4">
        <f t="shared" si="22"/>
        <v>4</v>
      </c>
      <c r="K67" s="12">
        <f>SUM(B67:J67)</f>
        <v>51</v>
      </c>
      <c r="N67" s="15"/>
      <c r="O67" s="15"/>
      <c r="P67" s="59"/>
      <c r="Q67" s="59"/>
      <c r="R67" s="59"/>
      <c r="S67" s="59"/>
      <c r="T67" s="59"/>
      <c r="W67" s="15"/>
      <c r="X67" s="15"/>
      <c r="Y67" s="15"/>
      <c r="Z67" s="15"/>
      <c r="AA67" s="15"/>
    </row>
    <row r="68" spans="1:27" s="16" customFormat="1" x14ac:dyDescent="0.2">
      <c r="A68" s="80">
        <f>A15</f>
        <v>10</v>
      </c>
      <c r="B68" s="18">
        <f>IF(AND(ISNUMBER($A68),ISNUMBER($A74)),IF((RANK(B$4,$B$4:$J$4,1))&lt;=($A68-$A74),1,0),"")</f>
        <v>1</v>
      </c>
      <c r="C68" s="6">
        <f t="shared" ref="C68:J69" si="23">IF(AND(ISNUMBER($A68),ISNUMBER($A74)),IF((RANK(C$4,$B$4:$J$4,1))&lt;=($A68-$A74),1,0),"")</f>
        <v>0</v>
      </c>
      <c r="D68" s="6">
        <f t="shared" si="23"/>
        <v>1</v>
      </c>
      <c r="E68" s="6">
        <f t="shared" si="23"/>
        <v>1</v>
      </c>
      <c r="F68" s="6">
        <f t="shared" si="23"/>
        <v>0</v>
      </c>
      <c r="G68" s="6">
        <f t="shared" si="23"/>
        <v>0</v>
      </c>
      <c r="H68" s="6">
        <f t="shared" si="23"/>
        <v>0</v>
      </c>
      <c r="I68" s="6">
        <f t="shared" si="23"/>
        <v>1</v>
      </c>
      <c r="J68" s="7">
        <f t="shared" si="23"/>
        <v>0</v>
      </c>
      <c r="K68" s="13">
        <f>SUM(B68:J68)</f>
        <v>4</v>
      </c>
      <c r="N68" s="15"/>
      <c r="O68" s="15"/>
      <c r="P68" s="59"/>
      <c r="Q68" s="59"/>
      <c r="R68" s="59"/>
      <c r="S68" s="59"/>
      <c r="T68" s="59"/>
      <c r="W68" s="15"/>
      <c r="X68" s="15"/>
      <c r="Y68" s="15"/>
      <c r="Z68" s="15"/>
      <c r="AA68" s="15"/>
    </row>
    <row r="69" spans="1:27" s="16" customFormat="1" x14ac:dyDescent="0.2">
      <c r="A69" s="80">
        <f>IF((A68-A74)&gt;9,(A68-A74-9),0)</f>
        <v>0</v>
      </c>
      <c r="B69" s="18">
        <f>IF(AND(ISNUMBER($A69),ISNUMBER($A75)),IF((RANK(B$4,$B$4:$J$4,1))&lt;=($A69-$A75),1,0),"")</f>
        <v>0</v>
      </c>
      <c r="C69" s="6">
        <f t="shared" si="23"/>
        <v>0</v>
      </c>
      <c r="D69" s="6">
        <f t="shared" si="23"/>
        <v>0</v>
      </c>
      <c r="E69" s="6">
        <f t="shared" si="23"/>
        <v>0</v>
      </c>
      <c r="F69" s="6">
        <f t="shared" si="23"/>
        <v>0</v>
      </c>
      <c r="G69" s="6">
        <f t="shared" si="23"/>
        <v>0</v>
      </c>
      <c r="H69" s="6">
        <f t="shared" si="23"/>
        <v>0</v>
      </c>
      <c r="I69" s="6">
        <f t="shared" si="23"/>
        <v>0</v>
      </c>
      <c r="J69" s="7">
        <f t="shared" si="23"/>
        <v>0</v>
      </c>
      <c r="K69" s="13">
        <f>SUM(B69:J69)</f>
        <v>0</v>
      </c>
      <c r="N69" s="15"/>
      <c r="O69" s="15"/>
      <c r="P69" s="59"/>
      <c r="Q69" s="59"/>
      <c r="R69" s="59"/>
      <c r="S69" s="59"/>
      <c r="T69" s="59"/>
      <c r="W69" s="15"/>
      <c r="X69" s="15"/>
      <c r="Y69" s="15"/>
      <c r="Z69" s="15"/>
      <c r="AA69" s="15"/>
    </row>
    <row r="70" spans="1:27" s="16" customFormat="1" x14ac:dyDescent="0.2">
      <c r="A70" s="80"/>
      <c r="B70" s="82">
        <f>IF(AND(ISNUMBER(B67),ISNUMBER(B68)),B67-B68-B69," ")</f>
        <v>3</v>
      </c>
      <c r="C70" s="83">
        <f t="shared" ref="C70:J70" si="24">IF(AND(ISNUMBER(C67),ISNUMBER(C68)),C67-C68-C69," ")</f>
        <v>6</v>
      </c>
      <c r="D70" s="83">
        <f t="shared" si="24"/>
        <v>6</v>
      </c>
      <c r="E70" s="83">
        <f t="shared" si="24"/>
        <v>5</v>
      </c>
      <c r="F70" s="83">
        <f t="shared" si="24"/>
        <v>6</v>
      </c>
      <c r="G70" s="83">
        <f t="shared" si="24"/>
        <v>7</v>
      </c>
      <c r="H70" s="83">
        <f t="shared" si="24"/>
        <v>5</v>
      </c>
      <c r="I70" s="83">
        <f t="shared" si="24"/>
        <v>5</v>
      </c>
      <c r="J70" s="84">
        <f t="shared" si="24"/>
        <v>4</v>
      </c>
      <c r="K70" s="13">
        <f>IF(ISNUMBER(FIND("Wins",K71)), 2, IF(ISNUMBER(FIND("Tie",K71)), 1, 0))</f>
        <v>0</v>
      </c>
      <c r="N70" s="15"/>
      <c r="O70" s="15"/>
      <c r="P70" s="59"/>
      <c r="Q70" s="59"/>
      <c r="R70" s="59"/>
      <c r="S70" s="59"/>
      <c r="T70" s="59"/>
      <c r="W70" s="15"/>
      <c r="X70" s="15"/>
      <c r="Y70" s="15"/>
      <c r="Z70" s="15"/>
      <c r="AA70" s="15"/>
    </row>
    <row r="71" spans="1:27" s="16" customFormat="1" ht="13.5" thickBot="1" x14ac:dyDescent="0.25">
      <c r="A71" s="81"/>
      <c r="B71" s="19">
        <f>IF(AND(ISNUMBER(B70),ISNUMBER(B76)),IF(B70&lt;B76, 0+1, (IF(B70&gt;B76, 0-1, 0)))," ")</f>
        <v>1</v>
      </c>
      <c r="C71" s="9">
        <f t="shared" ref="C71:J71" si="25">IF(AND(ISNUMBER(C70),ISNUMBER(C76)),IF(C70&lt;C76, +B71+1, (IF(C70&gt;C76, +B71-1, +B71)))," ")</f>
        <v>0</v>
      </c>
      <c r="D71" s="9">
        <f t="shared" si="25"/>
        <v>-1</v>
      </c>
      <c r="E71" s="9">
        <f t="shared" si="25"/>
        <v>-2</v>
      </c>
      <c r="F71" s="9">
        <f t="shared" si="25"/>
        <v>-2</v>
      </c>
      <c r="G71" s="9">
        <f t="shared" si="25"/>
        <v>-3</v>
      </c>
      <c r="H71" s="9">
        <f t="shared" si="25"/>
        <v>-4</v>
      </c>
      <c r="I71" s="9">
        <f t="shared" si="25"/>
        <v>-4</v>
      </c>
      <c r="J71" s="10">
        <f t="shared" si="25"/>
        <v>-3</v>
      </c>
      <c r="K71" s="14" t="str">
        <f>IF(ISNUMBER(J71),IF(F71&gt;4,"Wins " &amp; F71 &amp; " &amp; 4",IF(G71&gt;3,"Wins " &amp; G71 &amp; " &amp; 3",IF(H71&gt;2,"Wins " &amp; H71 &amp; " &amp; 2",IF(I71&gt;1,"Wins " &amp; I71 &amp; " &amp; 1",IF(J71&gt;J77,"Wins " &amp; J71 &amp; " Up",IF(J71&lt;J77,"Loss","Tie"))))))," ")</f>
        <v>Loss</v>
      </c>
      <c r="N71" s="15"/>
      <c r="O71" s="15"/>
      <c r="P71" s="59"/>
      <c r="Q71" s="59"/>
      <c r="R71" s="59"/>
      <c r="S71" s="59"/>
      <c r="T71" s="59"/>
      <c r="W71" s="15"/>
      <c r="X71" s="15"/>
      <c r="Y71" s="15"/>
      <c r="Z71" s="15"/>
      <c r="AA71" s="15"/>
    </row>
    <row r="72" spans="1:27" s="16" customFormat="1" ht="13.5" thickBot="1" x14ac:dyDescent="0.25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N72" s="15"/>
      <c r="O72" s="15"/>
      <c r="P72" s="59"/>
      <c r="Q72" s="59"/>
      <c r="R72" s="59"/>
      <c r="S72" s="59"/>
      <c r="T72" s="59"/>
      <c r="W72" s="15"/>
      <c r="X72" s="15"/>
      <c r="Y72" s="15"/>
      <c r="Z72" s="15"/>
      <c r="AA72" s="15"/>
    </row>
    <row r="73" spans="1:27" s="16" customFormat="1" x14ac:dyDescent="0.2">
      <c r="A73" s="29" t="str">
        <f t="shared" ref="A73:J73" si="26">A18</f>
        <v>Brian P</v>
      </c>
      <c r="B73" s="17">
        <f t="shared" si="26"/>
        <v>6</v>
      </c>
      <c r="C73" s="3">
        <f t="shared" si="26"/>
        <v>5</v>
      </c>
      <c r="D73" s="3">
        <f t="shared" si="26"/>
        <v>5</v>
      </c>
      <c r="E73" s="3">
        <f t="shared" si="26"/>
        <v>4</v>
      </c>
      <c r="F73" s="3">
        <f t="shared" si="26"/>
        <v>6</v>
      </c>
      <c r="G73" s="3">
        <f t="shared" si="26"/>
        <v>6</v>
      </c>
      <c r="H73" s="3">
        <f t="shared" si="26"/>
        <v>3</v>
      </c>
      <c r="I73" s="3">
        <f t="shared" si="26"/>
        <v>5</v>
      </c>
      <c r="J73" s="4">
        <f t="shared" si="26"/>
        <v>7</v>
      </c>
      <c r="K73" s="12">
        <f>SUM(B73:J73)</f>
        <v>47</v>
      </c>
      <c r="N73" s="15"/>
      <c r="O73" s="15"/>
      <c r="P73" s="59"/>
      <c r="Q73" s="59"/>
      <c r="R73" s="59"/>
      <c r="S73" s="59"/>
      <c r="T73" s="59"/>
      <c r="W73" s="15"/>
      <c r="X73" s="15"/>
      <c r="Y73" s="15"/>
      <c r="Z73" s="15"/>
      <c r="AA73" s="15"/>
    </row>
    <row r="74" spans="1:27" s="16" customFormat="1" x14ac:dyDescent="0.2">
      <c r="A74" s="30">
        <f>A19</f>
        <v>6</v>
      </c>
      <c r="B74" s="18">
        <f>IF(AND(ISNUMBER($A68),ISNUMBER($A74)),IF((RANK(B$4,$B$4:$J$4,1))&lt;=($A74-$A68),1,0),"")</f>
        <v>0</v>
      </c>
      <c r="C74" s="6">
        <f t="shared" ref="C74:J75" si="27">IF(AND(ISNUMBER($A68),ISNUMBER($A74)),IF((RANK(C$4,$B$4:$J$4,1))&lt;=($A74-$A68),1,0),"")</f>
        <v>0</v>
      </c>
      <c r="D74" s="6">
        <f t="shared" si="27"/>
        <v>0</v>
      </c>
      <c r="E74" s="6">
        <f t="shared" si="27"/>
        <v>0</v>
      </c>
      <c r="F74" s="6">
        <f t="shared" si="27"/>
        <v>0</v>
      </c>
      <c r="G74" s="6">
        <f t="shared" si="27"/>
        <v>0</v>
      </c>
      <c r="H74" s="6">
        <f t="shared" si="27"/>
        <v>0</v>
      </c>
      <c r="I74" s="6">
        <f t="shared" si="27"/>
        <v>0</v>
      </c>
      <c r="J74" s="7">
        <f t="shared" si="27"/>
        <v>0</v>
      </c>
      <c r="K74" s="13">
        <f>SUM(B74:J74)</f>
        <v>0</v>
      </c>
      <c r="N74" s="15"/>
      <c r="O74" s="15"/>
      <c r="P74" s="59"/>
      <c r="Q74" s="59"/>
      <c r="R74" s="59"/>
      <c r="S74" s="59"/>
      <c r="T74" s="59"/>
      <c r="W74" s="15"/>
      <c r="X74" s="15"/>
      <c r="Y74" s="15"/>
      <c r="Z74" s="15"/>
      <c r="AA74" s="15"/>
    </row>
    <row r="75" spans="1:27" s="16" customFormat="1" x14ac:dyDescent="0.2">
      <c r="A75" s="30">
        <f>IF((A74-A68)&gt;9,(A74-A68-9),0)</f>
        <v>0</v>
      </c>
      <c r="B75" s="18">
        <f>IF(AND(ISNUMBER($A69),ISNUMBER($A75)),IF((RANK(B$4,$B$4:$J$4,1))&lt;=($A75-$A69),1,0),"")</f>
        <v>0</v>
      </c>
      <c r="C75" s="6">
        <f t="shared" si="27"/>
        <v>0</v>
      </c>
      <c r="D75" s="6">
        <f t="shared" si="27"/>
        <v>0</v>
      </c>
      <c r="E75" s="6">
        <f t="shared" si="27"/>
        <v>0</v>
      </c>
      <c r="F75" s="6">
        <f t="shared" si="27"/>
        <v>0</v>
      </c>
      <c r="G75" s="6">
        <f t="shared" si="27"/>
        <v>0</v>
      </c>
      <c r="H75" s="6">
        <f t="shared" si="27"/>
        <v>0</v>
      </c>
      <c r="I75" s="6">
        <f t="shared" si="27"/>
        <v>0</v>
      </c>
      <c r="J75" s="7">
        <f t="shared" si="27"/>
        <v>0</v>
      </c>
      <c r="K75" s="13">
        <f>SUM(B75:J75)</f>
        <v>0</v>
      </c>
      <c r="N75" s="15"/>
      <c r="O75" s="15"/>
      <c r="P75" s="59"/>
      <c r="Q75" s="59"/>
      <c r="R75" s="59"/>
      <c r="S75" s="59"/>
      <c r="T75" s="59"/>
      <c r="W75" s="15"/>
      <c r="X75" s="15"/>
      <c r="Y75" s="15"/>
      <c r="Z75" s="15"/>
      <c r="AA75" s="15"/>
    </row>
    <row r="76" spans="1:27" s="16" customFormat="1" x14ac:dyDescent="0.2">
      <c r="A76" s="30"/>
      <c r="B76" s="82">
        <f>IF(AND(ISNUMBER(B73),ISNUMBER(B74)),B73-B74-B75," ")</f>
        <v>6</v>
      </c>
      <c r="C76" s="83">
        <f t="shared" ref="C76:J76" si="28">IF(AND(ISNUMBER(C73),ISNUMBER(C74)),C73-C74-C75," ")</f>
        <v>5</v>
      </c>
      <c r="D76" s="83">
        <f t="shared" si="28"/>
        <v>5</v>
      </c>
      <c r="E76" s="83">
        <f t="shared" si="28"/>
        <v>4</v>
      </c>
      <c r="F76" s="83">
        <f t="shared" si="28"/>
        <v>6</v>
      </c>
      <c r="G76" s="83">
        <f t="shared" si="28"/>
        <v>6</v>
      </c>
      <c r="H76" s="83">
        <f t="shared" si="28"/>
        <v>3</v>
      </c>
      <c r="I76" s="83">
        <f t="shared" si="28"/>
        <v>5</v>
      </c>
      <c r="J76" s="84">
        <f t="shared" si="28"/>
        <v>7</v>
      </c>
      <c r="K76" s="13">
        <f>IF(ISNUMBER(FIND("Wins",K77)), 2, IF(ISNUMBER(FIND("Tie",K77)), 1, 0))</f>
        <v>2</v>
      </c>
      <c r="N76" s="15"/>
      <c r="O76" s="15"/>
      <c r="P76" s="59"/>
      <c r="Q76" s="59"/>
      <c r="R76" s="59"/>
      <c r="S76" s="59"/>
      <c r="T76" s="59"/>
      <c r="W76" s="15"/>
      <c r="X76" s="15"/>
      <c r="Y76" s="15"/>
      <c r="Z76" s="15"/>
      <c r="AA76" s="15"/>
    </row>
    <row r="77" spans="1:27" s="16" customFormat="1" ht="13.5" thickBot="1" x14ac:dyDescent="0.25">
      <c r="A77" s="31"/>
      <c r="B77" s="19">
        <f>IF(AND(ISNUMBER(B70),ISNUMBER(B76)),IF(B76&lt;B70, 0+1, (IF(B76&gt;B70, 0-1, 0)))," ")</f>
        <v>-1</v>
      </c>
      <c r="C77" s="9">
        <f t="shared" ref="C77:J77" si="29">IF(AND(ISNUMBER(C70),ISNUMBER(C76)),IF(C76&lt;C70, +B77+1, (IF(C76&gt;C70, +B77-1, +B77)))," ")</f>
        <v>0</v>
      </c>
      <c r="D77" s="9">
        <f t="shared" si="29"/>
        <v>1</v>
      </c>
      <c r="E77" s="9">
        <f t="shared" si="29"/>
        <v>2</v>
      </c>
      <c r="F77" s="9">
        <f t="shared" si="29"/>
        <v>2</v>
      </c>
      <c r="G77" s="9">
        <f t="shared" si="29"/>
        <v>3</v>
      </c>
      <c r="H77" s="9">
        <f t="shared" si="29"/>
        <v>4</v>
      </c>
      <c r="I77" s="9">
        <f t="shared" si="29"/>
        <v>4</v>
      </c>
      <c r="J77" s="10">
        <f t="shared" si="29"/>
        <v>3</v>
      </c>
      <c r="K77" s="14" t="str">
        <f>IF(ISNUMBER(J77),IF(F77&gt;4,"Wins " &amp; F77 &amp; " &amp; 4",IF(G77&gt;3,"Wins " &amp; G77 &amp; " &amp; 3",IF(H77&gt;2,"Wins " &amp; H77 &amp; " &amp; 2",IF(I77&gt;1,"Wins " &amp; I77 &amp; " &amp; 1",IF(J77&gt;J71,"Wins " &amp; J77 &amp; " Up",IF(J77&lt;J71,"Loss","Tie"))))))," ")</f>
        <v>Wins 4 &amp; 2</v>
      </c>
      <c r="N77" s="15"/>
      <c r="O77" s="15"/>
      <c r="P77" s="59"/>
      <c r="Q77" s="59"/>
      <c r="R77" s="59"/>
      <c r="S77" s="59"/>
      <c r="T77" s="59"/>
      <c r="W77" s="15"/>
      <c r="X77" s="15"/>
      <c r="Y77" s="15"/>
      <c r="Z77" s="15"/>
      <c r="AA77" s="15"/>
    </row>
    <row r="78" spans="1:27" s="16" customFormat="1" x14ac:dyDescent="0.2">
      <c r="A78" s="26"/>
      <c r="B78" s="15"/>
      <c r="C78" s="15"/>
      <c r="D78" s="15"/>
      <c r="E78" s="15"/>
      <c r="F78" s="15"/>
      <c r="G78" s="15"/>
      <c r="H78" s="15"/>
      <c r="I78" s="15"/>
      <c r="J78" s="15"/>
      <c r="K78" s="15"/>
      <c r="N78" s="15"/>
      <c r="O78" s="15"/>
      <c r="P78" s="59"/>
      <c r="Q78" s="59"/>
      <c r="R78" s="59"/>
      <c r="S78" s="59"/>
      <c r="T78" s="59"/>
      <c r="W78" s="15"/>
      <c r="X78" s="15"/>
      <c r="Y78" s="15"/>
      <c r="Z78" s="15"/>
      <c r="AA78" s="15"/>
    </row>
    <row r="79" spans="1:27" s="16" customFormat="1" ht="13.5" thickBot="1" x14ac:dyDescent="0.25">
      <c r="A79" s="24" t="s">
        <v>11</v>
      </c>
      <c r="B79" s="2"/>
      <c r="C79" s="2"/>
      <c r="D79" s="2"/>
      <c r="E79" s="2"/>
      <c r="F79" s="2"/>
      <c r="G79" s="2"/>
      <c r="H79" s="2"/>
      <c r="I79" s="2"/>
      <c r="J79" s="2"/>
      <c r="K79" s="2"/>
      <c r="N79" s="15"/>
      <c r="O79" s="15"/>
      <c r="P79" s="59"/>
      <c r="Q79" s="59"/>
      <c r="R79" s="59"/>
      <c r="S79" s="59"/>
      <c r="T79" s="59"/>
      <c r="W79" s="15"/>
      <c r="X79" s="15"/>
      <c r="Y79" s="15"/>
      <c r="Z79" s="15"/>
      <c r="AA79" s="15"/>
    </row>
    <row r="80" spans="1:27" s="16" customFormat="1" x14ac:dyDescent="0.2">
      <c r="A80" s="29" t="str">
        <f t="shared" ref="A80:J80" si="30">A16</f>
        <v>Dave</v>
      </c>
      <c r="B80" s="17">
        <f t="shared" si="30"/>
        <v>4</v>
      </c>
      <c r="C80" s="3">
        <f t="shared" si="30"/>
        <v>4</v>
      </c>
      <c r="D80" s="3">
        <f t="shared" si="30"/>
        <v>5</v>
      </c>
      <c r="E80" s="3">
        <f t="shared" si="30"/>
        <v>5</v>
      </c>
      <c r="F80" s="3">
        <f t="shared" si="30"/>
        <v>8</v>
      </c>
      <c r="G80" s="3">
        <f t="shared" si="30"/>
        <v>4</v>
      </c>
      <c r="H80" s="3">
        <f t="shared" si="30"/>
        <v>4</v>
      </c>
      <c r="I80" s="3">
        <f t="shared" si="30"/>
        <v>6</v>
      </c>
      <c r="J80" s="4">
        <f t="shared" si="30"/>
        <v>5</v>
      </c>
      <c r="K80" s="12">
        <f>SUM(B80:J80)</f>
        <v>45</v>
      </c>
      <c r="N80" s="15"/>
      <c r="O80" s="15"/>
      <c r="P80" s="59"/>
      <c r="Q80" s="59"/>
      <c r="R80" s="59"/>
      <c r="S80" s="59"/>
      <c r="T80" s="59"/>
      <c r="W80" s="15"/>
      <c r="X80" s="15"/>
      <c r="Y80" s="15"/>
      <c r="Z80" s="15"/>
      <c r="AA80" s="15"/>
    </row>
    <row r="81" spans="1:27" s="16" customFormat="1" x14ac:dyDescent="0.2">
      <c r="A81" s="30">
        <f>A17</f>
        <v>5</v>
      </c>
      <c r="B81" s="18">
        <f>IF(AND(ISNUMBER($A81),ISNUMBER($A87)),IF((RANK(B$4,$B$4:$J$4,1))&lt;=($A81-$A87),1,0),"")</f>
        <v>0</v>
      </c>
      <c r="C81" s="6">
        <f t="shared" ref="C81:J82" si="31">IF(AND(ISNUMBER($A81),ISNUMBER($A87)),IF((RANK(C$4,$B$4:$J$4,1))&lt;=($A81-$A87),1,0),"")</f>
        <v>0</v>
      </c>
      <c r="D81" s="6">
        <f t="shared" si="31"/>
        <v>0</v>
      </c>
      <c r="E81" s="6">
        <f t="shared" si="31"/>
        <v>0</v>
      </c>
      <c r="F81" s="6">
        <f t="shared" si="31"/>
        <v>0</v>
      </c>
      <c r="G81" s="6">
        <f t="shared" si="31"/>
        <v>0</v>
      </c>
      <c r="H81" s="6">
        <f t="shared" si="31"/>
        <v>0</v>
      </c>
      <c r="I81" s="6">
        <f t="shared" si="31"/>
        <v>0</v>
      </c>
      <c r="J81" s="7">
        <f t="shared" si="31"/>
        <v>0</v>
      </c>
      <c r="K81" s="13">
        <f>SUM(B81:J81)</f>
        <v>0</v>
      </c>
      <c r="N81" s="15"/>
      <c r="O81" s="15"/>
      <c r="P81" s="59"/>
      <c r="Q81" s="59"/>
      <c r="R81" s="59"/>
      <c r="S81" s="59"/>
      <c r="T81" s="59"/>
      <c r="W81" s="15"/>
      <c r="X81" s="15"/>
      <c r="Y81" s="15"/>
      <c r="Z81" s="15"/>
      <c r="AA81" s="15"/>
    </row>
    <row r="82" spans="1:27" s="16" customFormat="1" x14ac:dyDescent="0.2">
      <c r="A82" s="30">
        <f>IF((A81-A87)&gt;9,(A81-A87-9),0)</f>
        <v>0</v>
      </c>
      <c r="B82" s="18">
        <f>IF(AND(ISNUMBER($A82),ISNUMBER($A88)),IF((RANK(B$4,$B$4:$J$4,1))&lt;=($A82-$A88),1,0),"")</f>
        <v>0</v>
      </c>
      <c r="C82" s="6">
        <f t="shared" si="31"/>
        <v>0</v>
      </c>
      <c r="D82" s="6">
        <f t="shared" si="31"/>
        <v>0</v>
      </c>
      <c r="E82" s="6">
        <f t="shared" si="31"/>
        <v>0</v>
      </c>
      <c r="F82" s="6">
        <f t="shared" si="31"/>
        <v>0</v>
      </c>
      <c r="G82" s="6">
        <f t="shared" si="31"/>
        <v>0</v>
      </c>
      <c r="H82" s="6">
        <f t="shared" si="31"/>
        <v>0</v>
      </c>
      <c r="I82" s="6">
        <f t="shared" si="31"/>
        <v>0</v>
      </c>
      <c r="J82" s="7">
        <f t="shared" si="31"/>
        <v>0</v>
      </c>
      <c r="K82" s="13">
        <f>SUM(B82:J82)</f>
        <v>0</v>
      </c>
      <c r="N82" s="15"/>
      <c r="O82" s="15"/>
      <c r="P82" s="59"/>
      <c r="Q82" s="59"/>
      <c r="R82" s="59"/>
      <c r="S82" s="59"/>
      <c r="T82" s="59"/>
      <c r="W82" s="15"/>
      <c r="X82" s="15"/>
      <c r="Y82" s="15"/>
      <c r="Z82" s="15"/>
      <c r="AA82" s="15"/>
    </row>
    <row r="83" spans="1:27" s="16" customFormat="1" x14ac:dyDescent="0.2">
      <c r="A83" s="30"/>
      <c r="B83" s="82">
        <f>IF(AND(ISNUMBER(B80),ISNUMBER(B81)),B80-B81-B82," ")</f>
        <v>4</v>
      </c>
      <c r="C83" s="83">
        <f t="shared" ref="C83:J83" si="32">IF(AND(ISNUMBER(C80),ISNUMBER(C81)),C80-C81-C82," ")</f>
        <v>4</v>
      </c>
      <c r="D83" s="83">
        <f t="shared" si="32"/>
        <v>5</v>
      </c>
      <c r="E83" s="83">
        <f t="shared" si="32"/>
        <v>5</v>
      </c>
      <c r="F83" s="83">
        <f t="shared" si="32"/>
        <v>8</v>
      </c>
      <c r="G83" s="83">
        <f t="shared" si="32"/>
        <v>4</v>
      </c>
      <c r="H83" s="83">
        <f t="shared" si="32"/>
        <v>4</v>
      </c>
      <c r="I83" s="83">
        <f t="shared" si="32"/>
        <v>6</v>
      </c>
      <c r="J83" s="84">
        <f t="shared" si="32"/>
        <v>5</v>
      </c>
      <c r="K83" s="13">
        <f>IF(ISNUMBER(FIND("Wins",K84)), 2, IF(ISNUMBER(FIND("Tie",K84)), 1, 0))</f>
        <v>2</v>
      </c>
      <c r="N83" s="15"/>
      <c r="O83" s="15"/>
      <c r="P83" s="59"/>
      <c r="Q83" s="59"/>
      <c r="R83" s="59"/>
      <c r="S83" s="59"/>
      <c r="T83" s="59"/>
      <c r="W83" s="15"/>
      <c r="X83" s="15"/>
      <c r="Y83" s="15"/>
      <c r="Z83" s="15"/>
      <c r="AA83" s="15"/>
    </row>
    <row r="84" spans="1:27" s="16" customFormat="1" ht="13.5" thickBot="1" x14ac:dyDescent="0.25">
      <c r="A84" s="31"/>
      <c r="B84" s="19">
        <f>IF(AND(ISNUMBER(B83),ISNUMBER(B89)),IF(B83&lt;B89, 0+1, (IF(B83&gt;B89, 0-1, 0)))," ")</f>
        <v>1</v>
      </c>
      <c r="C84" s="9">
        <f t="shared" ref="C84:J84" si="33">IF(AND(ISNUMBER(C83),ISNUMBER(C89)),IF(C83&lt;C89, +B84+1, (IF(C83&gt;C89, +B84-1, +B84)))," ")</f>
        <v>2</v>
      </c>
      <c r="D84" s="9">
        <f t="shared" si="33"/>
        <v>3</v>
      </c>
      <c r="E84" s="9">
        <f t="shared" si="33"/>
        <v>4</v>
      </c>
      <c r="F84" s="9">
        <f t="shared" si="33"/>
        <v>5</v>
      </c>
      <c r="G84" s="9">
        <f t="shared" si="33"/>
        <v>4</v>
      </c>
      <c r="H84" s="9">
        <f t="shared" si="33"/>
        <v>5</v>
      </c>
      <c r="I84" s="9">
        <f t="shared" si="33"/>
        <v>6</v>
      </c>
      <c r="J84" s="10">
        <f t="shared" si="33"/>
        <v>7</v>
      </c>
      <c r="K84" s="14" t="str">
        <f>IF(ISNUMBER(J84),IF(F84&gt;4,"Wins " &amp; F84 &amp; " &amp; 4",IF(G84&gt;3,"Wins " &amp; G84 &amp; " &amp; 3",IF(H84&gt;2,"Wins " &amp; H84 &amp; " &amp; 2",IF(I84&gt;1,"Wins " &amp; I84 &amp; " &amp; 1",IF(J84&gt;J90,"Wins " &amp; J84 &amp; " Up",IF(J84&lt;J90,"Loss","Tie"))))))," ")</f>
        <v>Wins 5 &amp; 4</v>
      </c>
      <c r="N84" s="15"/>
      <c r="O84" s="15"/>
      <c r="P84" s="59"/>
      <c r="Q84" s="59"/>
      <c r="R84" s="59"/>
      <c r="S84" s="59"/>
      <c r="T84" s="59"/>
      <c r="W84" s="15"/>
      <c r="X84" s="15"/>
      <c r="Y84" s="15"/>
      <c r="Z84" s="15"/>
      <c r="AA84" s="15"/>
    </row>
    <row r="85" spans="1:27" s="16" customFormat="1" ht="13.5" thickBot="1" x14ac:dyDescent="0.2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N85" s="15"/>
      <c r="O85" s="15"/>
      <c r="P85" s="59"/>
      <c r="Q85" s="59"/>
      <c r="R85" s="59"/>
      <c r="S85" s="59"/>
      <c r="T85" s="59"/>
      <c r="W85" s="15"/>
      <c r="X85" s="15"/>
      <c r="Y85" s="15"/>
      <c r="Z85" s="15"/>
      <c r="AA85" s="15"/>
    </row>
    <row r="86" spans="1:27" s="16" customFormat="1" x14ac:dyDescent="0.2">
      <c r="A86" s="29" t="str">
        <f t="shared" ref="A86:J86" si="34">A20</f>
        <v>Manny</v>
      </c>
      <c r="B86" s="17">
        <f t="shared" si="34"/>
        <v>9</v>
      </c>
      <c r="C86" s="3">
        <f t="shared" si="34"/>
        <v>8</v>
      </c>
      <c r="D86" s="3">
        <f t="shared" si="34"/>
        <v>9</v>
      </c>
      <c r="E86" s="3">
        <f t="shared" si="34"/>
        <v>7</v>
      </c>
      <c r="F86" s="3">
        <f t="shared" si="34"/>
        <v>10</v>
      </c>
      <c r="G86" s="3">
        <f t="shared" si="34"/>
        <v>4</v>
      </c>
      <c r="H86" s="3">
        <f t="shared" si="34"/>
        <v>8</v>
      </c>
      <c r="I86" s="3">
        <f t="shared" si="34"/>
        <v>8</v>
      </c>
      <c r="J86" s="4">
        <f t="shared" si="34"/>
        <v>8</v>
      </c>
      <c r="K86" s="12">
        <f>SUM(B86:J86)</f>
        <v>71</v>
      </c>
      <c r="N86" s="15"/>
      <c r="O86" s="15"/>
      <c r="P86" s="59"/>
      <c r="Q86" s="59"/>
      <c r="R86" s="59"/>
      <c r="S86" s="59"/>
      <c r="T86" s="59"/>
      <c r="W86" s="15"/>
      <c r="X86" s="15"/>
      <c r="Y86" s="15"/>
      <c r="Z86" s="15"/>
      <c r="AA86" s="15"/>
    </row>
    <row r="87" spans="1:27" s="16" customFormat="1" x14ac:dyDescent="0.2">
      <c r="A87" s="30">
        <f>A21</f>
        <v>14</v>
      </c>
      <c r="B87" s="18">
        <f>IF(AND(ISNUMBER($A81),ISNUMBER($A87)),IF((RANK(B$4,$B$4:$J$4,1))&lt;=($A87-$A81),1,0),"")</f>
        <v>1</v>
      </c>
      <c r="C87" s="6">
        <f t="shared" ref="C87:J88" si="35">IF(AND(ISNUMBER($A81),ISNUMBER($A87)),IF((RANK(C$4,$B$4:$J$4,1))&lt;=($A87-$A81),1,0),"")</f>
        <v>1</v>
      </c>
      <c r="D87" s="6">
        <f t="shared" si="35"/>
        <v>1</v>
      </c>
      <c r="E87" s="6">
        <f t="shared" si="35"/>
        <v>1</v>
      </c>
      <c r="F87" s="6">
        <f t="shared" si="35"/>
        <v>1</v>
      </c>
      <c r="G87" s="6">
        <f t="shared" si="35"/>
        <v>1</v>
      </c>
      <c r="H87" s="6">
        <f t="shared" si="35"/>
        <v>1</v>
      </c>
      <c r="I87" s="6">
        <f t="shared" si="35"/>
        <v>1</v>
      </c>
      <c r="J87" s="7">
        <f t="shared" si="35"/>
        <v>1</v>
      </c>
      <c r="K87" s="13">
        <f>SUM(B87:J87)</f>
        <v>9</v>
      </c>
      <c r="N87" s="15"/>
      <c r="O87" s="15"/>
      <c r="P87" s="59"/>
      <c r="Q87" s="59"/>
      <c r="R87" s="59"/>
      <c r="S87" s="59"/>
      <c r="T87" s="59"/>
      <c r="W87" s="15"/>
      <c r="X87" s="15"/>
      <c r="Y87" s="15"/>
      <c r="Z87" s="15"/>
      <c r="AA87" s="15"/>
    </row>
    <row r="88" spans="1:27" s="16" customFormat="1" x14ac:dyDescent="0.2">
      <c r="A88" s="30">
        <f>IF((A87-A81)&gt;9,(A87-A81-9),0)</f>
        <v>0</v>
      </c>
      <c r="B88" s="18">
        <f>IF(AND(ISNUMBER($A82),ISNUMBER($A88)),IF((RANK(B$4,$B$4:$J$4,1))&lt;=($A88-$A82),1,0),"")</f>
        <v>0</v>
      </c>
      <c r="C88" s="6">
        <f t="shared" si="35"/>
        <v>0</v>
      </c>
      <c r="D88" s="6">
        <f t="shared" si="35"/>
        <v>0</v>
      </c>
      <c r="E88" s="6">
        <f t="shared" si="35"/>
        <v>0</v>
      </c>
      <c r="F88" s="6">
        <f t="shared" si="35"/>
        <v>0</v>
      </c>
      <c r="G88" s="6">
        <f t="shared" si="35"/>
        <v>0</v>
      </c>
      <c r="H88" s="6">
        <f t="shared" si="35"/>
        <v>0</v>
      </c>
      <c r="I88" s="6">
        <f t="shared" si="35"/>
        <v>0</v>
      </c>
      <c r="J88" s="7">
        <f t="shared" si="35"/>
        <v>0</v>
      </c>
      <c r="K88" s="13">
        <f>SUM(B88:J88)</f>
        <v>0</v>
      </c>
      <c r="N88" s="15"/>
      <c r="O88" s="15"/>
      <c r="P88" s="59"/>
      <c r="Q88" s="59"/>
      <c r="R88" s="59"/>
      <c r="S88" s="59"/>
      <c r="T88" s="59"/>
      <c r="W88" s="15"/>
      <c r="X88" s="15"/>
      <c r="Y88" s="15"/>
      <c r="Z88" s="15"/>
      <c r="AA88" s="15"/>
    </row>
    <row r="89" spans="1:27" s="16" customFormat="1" x14ac:dyDescent="0.2">
      <c r="A89" s="30"/>
      <c r="B89" s="82">
        <f>IF(AND(ISNUMBER(B86),ISNUMBER(B87)),B86-B87-B88," ")</f>
        <v>8</v>
      </c>
      <c r="C89" s="83">
        <f t="shared" ref="C89:J89" si="36">IF(AND(ISNUMBER(C86),ISNUMBER(C87)),C86-C87-C88," ")</f>
        <v>7</v>
      </c>
      <c r="D89" s="83">
        <f t="shared" si="36"/>
        <v>8</v>
      </c>
      <c r="E89" s="83">
        <f t="shared" si="36"/>
        <v>6</v>
      </c>
      <c r="F89" s="83">
        <f t="shared" si="36"/>
        <v>9</v>
      </c>
      <c r="G89" s="83">
        <f t="shared" si="36"/>
        <v>3</v>
      </c>
      <c r="H89" s="83">
        <f t="shared" si="36"/>
        <v>7</v>
      </c>
      <c r="I89" s="83">
        <f t="shared" si="36"/>
        <v>7</v>
      </c>
      <c r="J89" s="84">
        <f t="shared" si="36"/>
        <v>7</v>
      </c>
      <c r="K89" s="13">
        <f>IF(ISNUMBER(FIND("Wins",K90)), 2, IF(ISNUMBER(FIND("Tie",K90)), 1, 0))</f>
        <v>0</v>
      </c>
      <c r="N89" s="15"/>
      <c r="O89" s="15"/>
      <c r="P89" s="59"/>
      <c r="Q89" s="59"/>
      <c r="R89" s="59"/>
      <c r="S89" s="59"/>
      <c r="T89" s="59"/>
      <c r="W89" s="15"/>
      <c r="X89" s="15"/>
      <c r="Y89" s="15"/>
      <c r="Z89" s="15"/>
      <c r="AA89" s="15"/>
    </row>
    <row r="90" spans="1:27" s="16" customFormat="1" ht="13.5" thickBot="1" x14ac:dyDescent="0.25">
      <c r="A90" s="31"/>
      <c r="B90" s="19">
        <f>IF(AND(ISNUMBER(B83),ISNUMBER(B89)),IF(B89&lt;B83, 0+1, (IF(B89&gt;B83, 0-1, 0)))," ")</f>
        <v>-1</v>
      </c>
      <c r="C90" s="9">
        <f t="shared" ref="C90:J90" si="37">IF(AND(ISNUMBER(C83),ISNUMBER(C89)),IF(C89&lt;C83, +B90+1, (IF(C89&gt;C83, +B90-1, +B90)))," ")</f>
        <v>-2</v>
      </c>
      <c r="D90" s="9">
        <f t="shared" si="37"/>
        <v>-3</v>
      </c>
      <c r="E90" s="9">
        <f t="shared" si="37"/>
        <v>-4</v>
      </c>
      <c r="F90" s="9">
        <f t="shared" si="37"/>
        <v>-5</v>
      </c>
      <c r="G90" s="9">
        <f t="shared" si="37"/>
        <v>-4</v>
      </c>
      <c r="H90" s="9">
        <f t="shared" si="37"/>
        <v>-5</v>
      </c>
      <c r="I90" s="9">
        <f t="shared" si="37"/>
        <v>-6</v>
      </c>
      <c r="J90" s="10">
        <f t="shared" si="37"/>
        <v>-7</v>
      </c>
      <c r="K90" s="14" t="str">
        <f>IF(ISNUMBER(J90),IF(F90&gt;4,"Wins " &amp; F90 &amp; " &amp; 4",IF(G90&gt;3,"Wins " &amp; G90 &amp; " &amp; 3",IF(H90&gt;2,"Wins " &amp; H90 &amp; " &amp; 2",IF(I90&gt;1,"Wins " &amp; I90 &amp; " &amp; 1",IF(J90&gt;J84,"Wins " &amp; J90 &amp; " Up",IF(J90&lt;J84,"Loss","Tie"))))))," ")</f>
        <v>Loss</v>
      </c>
      <c r="N90" s="15"/>
      <c r="O90" s="15"/>
      <c r="P90" s="59"/>
      <c r="Q90" s="59"/>
      <c r="R90" s="59"/>
      <c r="S90" s="59"/>
      <c r="T90" s="59"/>
      <c r="W90" s="15"/>
      <c r="X90" s="15"/>
      <c r="Y90" s="15"/>
      <c r="Z90" s="15"/>
      <c r="AA90" s="15"/>
    </row>
    <row r="91" spans="1:27" s="16" customFormat="1" x14ac:dyDescent="0.2">
      <c r="A91" s="26"/>
      <c r="B91" s="15"/>
      <c r="C91" s="15"/>
      <c r="D91" s="15"/>
      <c r="E91" s="15"/>
      <c r="F91" s="15"/>
      <c r="G91" s="15"/>
      <c r="H91" s="15"/>
      <c r="I91" s="15"/>
      <c r="J91" s="15"/>
      <c r="K91" s="15"/>
      <c r="N91" s="15"/>
      <c r="O91" s="15"/>
      <c r="P91" s="59"/>
      <c r="Q91" s="59"/>
      <c r="R91" s="59"/>
      <c r="S91" s="59"/>
      <c r="T91" s="59"/>
      <c r="W91" s="15"/>
      <c r="X91" s="15"/>
      <c r="Y91" s="15"/>
      <c r="Z91" s="15"/>
      <c r="AA91" s="15"/>
    </row>
    <row r="92" spans="1:27" s="16" customFormat="1" ht="13.5" thickBot="1" x14ac:dyDescent="0.25">
      <c r="A92" s="24" t="s">
        <v>12</v>
      </c>
      <c r="B92" s="2"/>
      <c r="C92" s="2"/>
      <c r="D92" s="2"/>
      <c r="E92" s="2"/>
      <c r="F92" s="2"/>
      <c r="G92" s="2"/>
      <c r="H92" s="2"/>
      <c r="I92" s="2"/>
      <c r="J92" s="2"/>
      <c r="K92" s="2"/>
      <c r="N92" s="15"/>
      <c r="O92" s="15"/>
      <c r="P92" s="59"/>
      <c r="Q92" s="59"/>
      <c r="R92" s="59"/>
      <c r="S92" s="59"/>
      <c r="T92" s="59"/>
      <c r="W92" s="15"/>
      <c r="X92" s="15"/>
      <c r="Y92" s="15"/>
      <c r="Z92" s="15"/>
      <c r="AA92" s="15"/>
    </row>
    <row r="93" spans="1:27" s="16" customFormat="1" x14ac:dyDescent="0.2">
      <c r="A93" s="29" t="str">
        <f t="shared" ref="A93:J93" si="38">A22</f>
        <v xml:space="preserve">Pat </v>
      </c>
      <c r="B93" s="17">
        <f t="shared" si="38"/>
        <v>6</v>
      </c>
      <c r="C93" s="3">
        <f t="shared" si="38"/>
        <v>5</v>
      </c>
      <c r="D93" s="3">
        <f t="shared" si="38"/>
        <v>7</v>
      </c>
      <c r="E93" s="3">
        <f t="shared" si="38"/>
        <v>5</v>
      </c>
      <c r="F93" s="3">
        <f t="shared" si="38"/>
        <v>6</v>
      </c>
      <c r="G93" s="3">
        <f t="shared" si="38"/>
        <v>4</v>
      </c>
      <c r="H93" s="3">
        <f t="shared" si="38"/>
        <v>5</v>
      </c>
      <c r="I93" s="3">
        <f t="shared" si="38"/>
        <v>5</v>
      </c>
      <c r="J93" s="4">
        <f t="shared" si="38"/>
        <v>5</v>
      </c>
      <c r="K93" s="12">
        <f>SUM(B93:J93)</f>
        <v>48</v>
      </c>
      <c r="N93" s="15"/>
      <c r="O93" s="15"/>
      <c r="P93" s="59"/>
      <c r="Q93" s="59"/>
      <c r="R93" s="59"/>
      <c r="S93" s="59"/>
      <c r="T93" s="59"/>
      <c r="W93" s="15"/>
      <c r="X93" s="15"/>
      <c r="Y93" s="15"/>
      <c r="Z93" s="15"/>
      <c r="AA93" s="15"/>
    </row>
    <row r="94" spans="1:27" s="16" customFormat="1" x14ac:dyDescent="0.2">
      <c r="A94" s="30">
        <f>A23</f>
        <v>6</v>
      </c>
      <c r="B94" s="18">
        <f>IF(AND(ISNUMBER($A94),ISNUMBER($A100)),IF((RANK(B$4,$B$4:$J$4,1))&lt;=($A94-$A100),1,0),"")</f>
        <v>0</v>
      </c>
      <c r="C94" s="6">
        <f t="shared" ref="C94:J95" si="39">IF(AND(ISNUMBER($A94),ISNUMBER($A100)),IF((RANK(C$4,$B$4:$J$4,1))&lt;=($A94-$A100),1,0),"")</f>
        <v>0</v>
      </c>
      <c r="D94" s="6">
        <f t="shared" si="39"/>
        <v>1</v>
      </c>
      <c r="E94" s="6">
        <f t="shared" si="39"/>
        <v>0</v>
      </c>
      <c r="F94" s="6">
        <f t="shared" si="39"/>
        <v>0</v>
      </c>
      <c r="G94" s="6">
        <f t="shared" si="39"/>
        <v>0</v>
      </c>
      <c r="H94" s="6">
        <f t="shared" si="39"/>
        <v>0</v>
      </c>
      <c r="I94" s="6">
        <f t="shared" si="39"/>
        <v>0</v>
      </c>
      <c r="J94" s="7">
        <f t="shared" si="39"/>
        <v>0</v>
      </c>
      <c r="K94" s="13">
        <f>SUM(B94:J94)</f>
        <v>1</v>
      </c>
      <c r="N94" s="15"/>
      <c r="O94" s="15"/>
      <c r="P94" s="59"/>
      <c r="Q94" s="59"/>
      <c r="R94" s="59"/>
      <c r="S94" s="59"/>
      <c r="T94" s="59"/>
      <c r="W94" s="15"/>
      <c r="X94" s="15"/>
      <c r="Y94" s="15"/>
      <c r="Z94" s="15"/>
      <c r="AA94" s="15"/>
    </row>
    <row r="95" spans="1:27" s="16" customFormat="1" x14ac:dyDescent="0.2">
      <c r="A95" s="30">
        <f>IF((A94-A100)&gt;9,(A94-A100-9),0)</f>
        <v>0</v>
      </c>
      <c r="B95" s="18">
        <f>IF(AND(ISNUMBER($A95),ISNUMBER($A101)),IF((RANK(B$4,$B$4:$J$4,1))&lt;=($A95-$A101),1,0),"")</f>
        <v>0</v>
      </c>
      <c r="C95" s="6">
        <f t="shared" si="39"/>
        <v>0</v>
      </c>
      <c r="D95" s="6">
        <f t="shared" si="39"/>
        <v>0</v>
      </c>
      <c r="E95" s="6">
        <f t="shared" si="39"/>
        <v>0</v>
      </c>
      <c r="F95" s="6">
        <f t="shared" si="39"/>
        <v>0</v>
      </c>
      <c r="G95" s="6">
        <f t="shared" si="39"/>
        <v>0</v>
      </c>
      <c r="H95" s="6">
        <f t="shared" si="39"/>
        <v>0</v>
      </c>
      <c r="I95" s="6">
        <f t="shared" si="39"/>
        <v>0</v>
      </c>
      <c r="J95" s="7">
        <f t="shared" si="39"/>
        <v>0</v>
      </c>
      <c r="K95" s="13">
        <f>SUM(B95:J95)</f>
        <v>0</v>
      </c>
      <c r="N95" s="15"/>
      <c r="O95" s="15"/>
      <c r="P95" s="59"/>
      <c r="Q95" s="59"/>
      <c r="R95" s="59"/>
      <c r="S95" s="59"/>
      <c r="T95" s="59"/>
      <c r="W95" s="15"/>
      <c r="X95" s="15"/>
      <c r="Y95" s="15"/>
      <c r="Z95" s="15"/>
      <c r="AA95" s="15"/>
    </row>
    <row r="96" spans="1:27" s="16" customFormat="1" x14ac:dyDescent="0.2">
      <c r="A96" s="30"/>
      <c r="B96" s="82">
        <f>IF(AND(ISNUMBER(B93),ISNUMBER(B94)),B93-B94-B95," ")</f>
        <v>6</v>
      </c>
      <c r="C96" s="83">
        <f t="shared" ref="C96:J96" si="40">IF(AND(ISNUMBER(C93),ISNUMBER(C94)),C93-C94-C95," ")</f>
        <v>5</v>
      </c>
      <c r="D96" s="83">
        <f t="shared" si="40"/>
        <v>6</v>
      </c>
      <c r="E96" s="83">
        <f t="shared" si="40"/>
        <v>5</v>
      </c>
      <c r="F96" s="83">
        <f t="shared" si="40"/>
        <v>6</v>
      </c>
      <c r="G96" s="83">
        <f t="shared" si="40"/>
        <v>4</v>
      </c>
      <c r="H96" s="83">
        <f t="shared" si="40"/>
        <v>5</v>
      </c>
      <c r="I96" s="83">
        <f t="shared" si="40"/>
        <v>5</v>
      </c>
      <c r="J96" s="84">
        <f t="shared" si="40"/>
        <v>5</v>
      </c>
      <c r="K96" s="13">
        <f>IF(ISNUMBER(FIND("Wins",K97)), 2, IF(ISNUMBER(FIND("Tie",K97)), 1, 0))</f>
        <v>0</v>
      </c>
      <c r="N96" s="15"/>
      <c r="O96" s="15"/>
      <c r="P96" s="59"/>
      <c r="Q96" s="59"/>
      <c r="R96" s="59"/>
      <c r="S96" s="59"/>
      <c r="T96" s="59"/>
      <c r="W96" s="15"/>
      <c r="X96" s="15"/>
      <c r="Y96" s="15"/>
      <c r="Z96" s="15"/>
      <c r="AA96" s="15"/>
    </row>
    <row r="97" spans="1:27" s="16" customFormat="1" ht="13.5" thickBot="1" x14ac:dyDescent="0.25">
      <c r="A97" s="31"/>
      <c r="B97" s="19">
        <f>IF(AND(ISNUMBER(B96),ISNUMBER(B102)),IF(B96&lt;B102, 0+1, (IF(B96&gt;B102, 0-1, 0)))," ")</f>
        <v>-1</v>
      </c>
      <c r="C97" s="9">
        <f t="shared" ref="C97:J97" si="41">IF(AND(ISNUMBER(C96),ISNUMBER(C102)),IF(C96&lt;C102, +B97+1, (IF(C96&gt;C102, +B97-1, +B97)))," ")</f>
        <v>-2</v>
      </c>
      <c r="D97" s="9">
        <f t="shared" si="41"/>
        <v>-2</v>
      </c>
      <c r="E97" s="9">
        <f t="shared" si="41"/>
        <v>-2</v>
      </c>
      <c r="F97" s="9">
        <f t="shared" si="41"/>
        <v>-2</v>
      </c>
      <c r="G97" s="9">
        <f t="shared" si="41"/>
        <v>-2</v>
      </c>
      <c r="H97" s="9">
        <f t="shared" si="41"/>
        <v>-2</v>
      </c>
      <c r="I97" s="9">
        <f t="shared" si="41"/>
        <v>-3</v>
      </c>
      <c r="J97" s="10">
        <f t="shared" si="41"/>
        <v>-4</v>
      </c>
      <c r="K97" s="14" t="str">
        <f>IF(ISNUMBER(J97),IF(F97&gt;4,"Wins " &amp; F97 &amp; " &amp; 4",IF(G97&gt;3,"Wins " &amp; G97 &amp; " &amp; 3",IF(H97&gt;2,"Wins " &amp; H97 &amp; " &amp; 2",IF(I97&gt;1,"Wins " &amp; I97 &amp; " &amp; 1",IF(J97&gt;J103,"Wins " &amp; J97 &amp; " Up",IF(J97&lt;J103,"Loss","Tie"))))))," ")</f>
        <v>Loss</v>
      </c>
      <c r="N97" s="15"/>
      <c r="O97" s="15"/>
      <c r="P97" s="59"/>
      <c r="Q97" s="59"/>
      <c r="R97" s="59"/>
      <c r="S97" s="59"/>
      <c r="T97" s="59"/>
      <c r="W97" s="15"/>
      <c r="X97" s="15"/>
      <c r="Y97" s="15"/>
      <c r="Z97" s="15"/>
      <c r="AA97" s="15"/>
    </row>
    <row r="98" spans="1:27" s="16" customFormat="1" ht="13.5" thickBot="1" x14ac:dyDescent="0.25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N98" s="15"/>
      <c r="O98" s="15"/>
      <c r="P98" s="59"/>
      <c r="Q98" s="59"/>
      <c r="R98" s="59"/>
      <c r="S98" s="59"/>
      <c r="T98" s="59"/>
      <c r="W98" s="15"/>
      <c r="X98" s="15"/>
      <c r="Y98" s="15"/>
      <c r="Z98" s="15"/>
      <c r="AA98" s="15"/>
    </row>
    <row r="99" spans="1:27" s="16" customFormat="1" x14ac:dyDescent="0.2">
      <c r="A99" s="79" t="str">
        <f t="shared" ref="A99:J99" si="42">A26</f>
        <v>Tommy</v>
      </c>
      <c r="B99" s="17">
        <f t="shared" si="42"/>
        <v>3</v>
      </c>
      <c r="C99" s="3">
        <f t="shared" si="42"/>
        <v>4</v>
      </c>
      <c r="D99" s="3">
        <f t="shared" si="42"/>
        <v>6</v>
      </c>
      <c r="E99" s="3">
        <f t="shared" si="42"/>
        <v>5</v>
      </c>
      <c r="F99" s="3">
        <f t="shared" si="42"/>
        <v>6</v>
      </c>
      <c r="G99" s="3">
        <f t="shared" si="42"/>
        <v>4</v>
      </c>
      <c r="H99" s="3">
        <f t="shared" si="42"/>
        <v>5</v>
      </c>
      <c r="I99" s="3">
        <f t="shared" si="42"/>
        <v>4</v>
      </c>
      <c r="J99" s="4">
        <f t="shared" si="42"/>
        <v>4</v>
      </c>
      <c r="K99" s="12">
        <f>SUM(B99:J99)</f>
        <v>41</v>
      </c>
      <c r="N99" s="15"/>
      <c r="O99" s="15"/>
      <c r="P99" s="59"/>
      <c r="Q99" s="59"/>
      <c r="R99" s="59"/>
      <c r="S99" s="59"/>
      <c r="T99" s="59"/>
      <c r="W99" s="15"/>
      <c r="X99" s="15"/>
      <c r="Y99" s="15"/>
      <c r="Z99" s="15"/>
      <c r="AA99" s="15"/>
    </row>
    <row r="100" spans="1:27" s="16" customFormat="1" x14ac:dyDescent="0.2">
      <c r="A100" s="80">
        <f>A27</f>
        <v>5</v>
      </c>
      <c r="B100" s="18">
        <f>IF(AND(ISNUMBER($A94),ISNUMBER($A100)),IF((RANK(B$4,$B$4:$J$4,1))&lt;=($A100-$A94),1,0),"")</f>
        <v>0</v>
      </c>
      <c r="C100" s="6">
        <f t="shared" ref="C100:J101" si="43">IF(AND(ISNUMBER($A94),ISNUMBER($A100)),IF((RANK(C$4,$B$4:$J$4,1))&lt;=($A100-$A94),1,0),"")</f>
        <v>0</v>
      </c>
      <c r="D100" s="6">
        <f t="shared" si="43"/>
        <v>0</v>
      </c>
      <c r="E100" s="6">
        <f t="shared" si="43"/>
        <v>0</v>
      </c>
      <c r="F100" s="6">
        <f t="shared" si="43"/>
        <v>0</v>
      </c>
      <c r="G100" s="6">
        <f t="shared" si="43"/>
        <v>0</v>
      </c>
      <c r="H100" s="6">
        <f t="shared" si="43"/>
        <v>0</v>
      </c>
      <c r="I100" s="6">
        <f t="shared" si="43"/>
        <v>0</v>
      </c>
      <c r="J100" s="7">
        <f t="shared" si="43"/>
        <v>0</v>
      </c>
      <c r="K100" s="13">
        <f>SUM(B100:J100)</f>
        <v>0</v>
      </c>
      <c r="N100" s="15"/>
      <c r="O100" s="15"/>
      <c r="P100" s="59"/>
      <c r="Q100" s="59"/>
      <c r="R100" s="59"/>
      <c r="S100" s="59"/>
      <c r="T100" s="59"/>
      <c r="W100" s="15"/>
      <c r="X100" s="15"/>
      <c r="Y100" s="15"/>
      <c r="Z100" s="15"/>
      <c r="AA100" s="15"/>
    </row>
    <row r="101" spans="1:27" s="16" customFormat="1" x14ac:dyDescent="0.2">
      <c r="A101" s="80">
        <f>IF((A100-A94)&gt;9,(A100-A94-9),0)</f>
        <v>0</v>
      </c>
      <c r="B101" s="18">
        <f>IF(AND(ISNUMBER($A95),ISNUMBER($A101)),IF((RANK(B$4,$B$4:$J$4,1))&lt;=($A101-$A95),1,0),"")</f>
        <v>0</v>
      </c>
      <c r="C101" s="6">
        <f t="shared" si="43"/>
        <v>0</v>
      </c>
      <c r="D101" s="6">
        <f t="shared" si="43"/>
        <v>0</v>
      </c>
      <c r="E101" s="6">
        <f t="shared" si="43"/>
        <v>0</v>
      </c>
      <c r="F101" s="6">
        <f t="shared" si="43"/>
        <v>0</v>
      </c>
      <c r="G101" s="6">
        <f t="shared" si="43"/>
        <v>0</v>
      </c>
      <c r="H101" s="6">
        <f t="shared" si="43"/>
        <v>0</v>
      </c>
      <c r="I101" s="6">
        <f t="shared" si="43"/>
        <v>0</v>
      </c>
      <c r="J101" s="7">
        <f t="shared" si="43"/>
        <v>0</v>
      </c>
      <c r="K101" s="13">
        <f>SUM(B101:J101)</f>
        <v>0</v>
      </c>
      <c r="N101" s="15"/>
      <c r="O101" s="15"/>
      <c r="P101" s="59"/>
      <c r="Q101" s="59"/>
      <c r="R101" s="59"/>
      <c r="S101" s="59"/>
      <c r="T101" s="59"/>
      <c r="W101" s="15"/>
      <c r="X101" s="15"/>
      <c r="Y101" s="15"/>
      <c r="Z101" s="15"/>
      <c r="AA101" s="15"/>
    </row>
    <row r="102" spans="1:27" s="16" customFormat="1" x14ac:dyDescent="0.2">
      <c r="A102" s="80"/>
      <c r="B102" s="82">
        <f>IF(AND(ISNUMBER(B99),ISNUMBER(B100)),B99-B100-B101," ")</f>
        <v>3</v>
      </c>
      <c r="C102" s="83">
        <f t="shared" ref="C102:J102" si="44">IF(AND(ISNUMBER(C99),ISNUMBER(C100)),C99-C100-C101," ")</f>
        <v>4</v>
      </c>
      <c r="D102" s="83">
        <f t="shared" si="44"/>
        <v>6</v>
      </c>
      <c r="E102" s="83">
        <f t="shared" si="44"/>
        <v>5</v>
      </c>
      <c r="F102" s="83">
        <f t="shared" si="44"/>
        <v>6</v>
      </c>
      <c r="G102" s="83">
        <f t="shared" si="44"/>
        <v>4</v>
      </c>
      <c r="H102" s="83">
        <f t="shared" si="44"/>
        <v>5</v>
      </c>
      <c r="I102" s="83">
        <f t="shared" si="44"/>
        <v>4</v>
      </c>
      <c r="J102" s="84">
        <f t="shared" si="44"/>
        <v>4</v>
      </c>
      <c r="K102" s="13">
        <f>IF(ISNUMBER(FIND("Wins",K103)), 2, IF(ISNUMBER(FIND("Tie",K103)), 1, 0))</f>
        <v>2</v>
      </c>
      <c r="N102" s="15"/>
      <c r="O102" s="15"/>
      <c r="P102" s="59"/>
      <c r="Q102" s="59"/>
      <c r="R102" s="59"/>
      <c r="S102" s="59"/>
      <c r="T102" s="59"/>
      <c r="W102" s="15"/>
      <c r="X102" s="15"/>
      <c r="Y102" s="15"/>
      <c r="Z102" s="15"/>
      <c r="AA102" s="15"/>
    </row>
    <row r="103" spans="1:27" s="16" customFormat="1" ht="13.5" thickBot="1" x14ac:dyDescent="0.25">
      <c r="A103" s="81"/>
      <c r="B103" s="19">
        <f>IF(AND(ISNUMBER(B96),ISNUMBER(B102)),IF(B102&lt;B96, 0+1, (IF(B102&gt;B96, 0-1, 0)))," ")</f>
        <v>1</v>
      </c>
      <c r="C103" s="9">
        <f t="shared" ref="C103:J103" si="45">IF(AND(ISNUMBER(C96),ISNUMBER(C102)),IF(C102&lt;C96, +B103+1, (IF(C102&gt;C96, +B103-1, +B103)))," ")</f>
        <v>2</v>
      </c>
      <c r="D103" s="9">
        <f t="shared" si="45"/>
        <v>2</v>
      </c>
      <c r="E103" s="9">
        <f t="shared" si="45"/>
        <v>2</v>
      </c>
      <c r="F103" s="9">
        <f t="shared" si="45"/>
        <v>2</v>
      </c>
      <c r="G103" s="9">
        <f t="shared" si="45"/>
        <v>2</v>
      </c>
      <c r="H103" s="9">
        <f t="shared" si="45"/>
        <v>2</v>
      </c>
      <c r="I103" s="9">
        <f t="shared" si="45"/>
        <v>3</v>
      </c>
      <c r="J103" s="10">
        <f t="shared" si="45"/>
        <v>4</v>
      </c>
      <c r="K103" s="14" t="str">
        <f>IF(ISNUMBER(J103),IF(F103&gt;4,"Wins " &amp; F103 &amp; " &amp; 4",IF(G103&gt;3,"Wins " &amp; G103 &amp; " &amp; 3",IF(H103&gt;2,"Wins " &amp; H103 &amp; " &amp; 2",IF(I103&gt;1,"Wins " &amp; I103 &amp; " &amp; 1",IF(J103&gt;J97,"Wins " &amp; J103 &amp; " Up",IF(J103&lt;J97,"Loss","Tie"))))))," ")</f>
        <v>Wins 3 &amp; 1</v>
      </c>
      <c r="N103" s="15"/>
      <c r="O103" s="15"/>
      <c r="P103" s="59"/>
      <c r="Q103" s="59"/>
      <c r="R103" s="59"/>
      <c r="S103" s="59"/>
      <c r="T103" s="59"/>
      <c r="W103" s="15"/>
      <c r="X103" s="15"/>
      <c r="Y103" s="15"/>
      <c r="Z103" s="15"/>
      <c r="AA103" s="15"/>
    </row>
    <row r="104" spans="1:27" s="16" customFormat="1" x14ac:dyDescent="0.2">
      <c r="A104" s="2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N104" s="15"/>
      <c r="O104" s="15"/>
      <c r="P104" s="59"/>
      <c r="Q104" s="59"/>
      <c r="R104" s="59"/>
      <c r="S104" s="59"/>
      <c r="T104" s="59"/>
      <c r="W104" s="15"/>
      <c r="X104" s="15"/>
      <c r="Y104" s="15"/>
      <c r="Z104" s="15"/>
      <c r="AA104" s="15"/>
    </row>
    <row r="105" spans="1:27" s="16" customFormat="1" ht="13.5" thickBot="1" x14ac:dyDescent="0.25">
      <c r="A105" s="24" t="s">
        <v>13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N105" s="15"/>
      <c r="O105" s="15"/>
      <c r="P105" s="59"/>
      <c r="Q105" s="59"/>
      <c r="R105" s="59"/>
      <c r="S105" s="59"/>
      <c r="T105" s="59"/>
      <c r="W105" s="15"/>
      <c r="X105" s="15"/>
      <c r="Y105" s="15"/>
      <c r="Z105" s="15"/>
      <c r="AA105" s="15"/>
    </row>
    <row r="106" spans="1:27" s="16" customFormat="1" x14ac:dyDescent="0.2">
      <c r="A106" s="29" t="str">
        <f t="shared" ref="A106:J106" si="46">A24</f>
        <v>Tony W</v>
      </c>
      <c r="B106" s="17">
        <f t="shared" si="46"/>
        <v>9</v>
      </c>
      <c r="C106" s="3">
        <f t="shared" si="46"/>
        <v>4</v>
      </c>
      <c r="D106" s="3">
        <f t="shared" si="46"/>
        <v>6</v>
      </c>
      <c r="E106" s="3">
        <f t="shared" si="46"/>
        <v>5</v>
      </c>
      <c r="F106" s="3">
        <f t="shared" si="46"/>
        <v>7</v>
      </c>
      <c r="G106" s="3">
        <f t="shared" si="46"/>
        <v>5</v>
      </c>
      <c r="H106" s="3">
        <f t="shared" si="46"/>
        <v>5</v>
      </c>
      <c r="I106" s="3">
        <f t="shared" si="46"/>
        <v>8</v>
      </c>
      <c r="J106" s="4">
        <f t="shared" si="46"/>
        <v>8</v>
      </c>
      <c r="K106" s="12">
        <f>SUM(B106:J106)</f>
        <v>57</v>
      </c>
      <c r="N106" s="15"/>
      <c r="O106" s="15"/>
      <c r="P106" s="59"/>
      <c r="Q106" s="59"/>
      <c r="R106" s="59"/>
      <c r="S106" s="59"/>
      <c r="T106" s="59"/>
      <c r="W106" s="15"/>
      <c r="X106" s="15"/>
      <c r="Y106" s="15"/>
      <c r="Z106" s="15"/>
      <c r="AA106" s="15"/>
    </row>
    <row r="107" spans="1:27" s="16" customFormat="1" x14ac:dyDescent="0.2">
      <c r="A107" s="30">
        <f>A25</f>
        <v>10</v>
      </c>
      <c r="B107" s="18">
        <f>IF(AND(ISNUMBER($A107),ISNUMBER($A113)),IF((RANK(B$4,$B$4:$J$4,1))&lt;=($A107-$A113),1,0),"")</f>
        <v>0</v>
      </c>
      <c r="C107" s="6">
        <f t="shared" ref="C107:J108" si="47">IF(AND(ISNUMBER($A107),ISNUMBER($A113)),IF((RANK(C$4,$B$4:$J$4,1))&lt;=($A107-$A113),1,0),"")</f>
        <v>0</v>
      </c>
      <c r="D107" s="6">
        <f t="shared" si="47"/>
        <v>1</v>
      </c>
      <c r="E107" s="6">
        <f t="shared" si="47"/>
        <v>0</v>
      </c>
      <c r="F107" s="6">
        <f t="shared" si="47"/>
        <v>0</v>
      </c>
      <c r="G107" s="6">
        <f t="shared" si="47"/>
        <v>0</v>
      </c>
      <c r="H107" s="6">
        <f t="shared" si="47"/>
        <v>0</v>
      </c>
      <c r="I107" s="6">
        <f t="shared" si="47"/>
        <v>1</v>
      </c>
      <c r="J107" s="7">
        <f t="shared" si="47"/>
        <v>0</v>
      </c>
      <c r="K107" s="13">
        <f>SUM(B107:J107)</f>
        <v>2</v>
      </c>
      <c r="N107" s="15"/>
      <c r="O107" s="15"/>
      <c r="P107" s="59"/>
      <c r="Q107" s="59"/>
      <c r="R107" s="59"/>
      <c r="S107" s="59"/>
      <c r="T107" s="59"/>
      <c r="W107" s="15"/>
      <c r="X107" s="15"/>
      <c r="Y107" s="15"/>
      <c r="Z107" s="15"/>
      <c r="AA107" s="15"/>
    </row>
    <row r="108" spans="1:27" s="16" customFormat="1" x14ac:dyDescent="0.2">
      <c r="A108" s="30">
        <f>IF((A107-A113)&gt;9,(A107-A113-9),0)</f>
        <v>0</v>
      </c>
      <c r="B108" s="18">
        <f>IF(AND(ISNUMBER($A108),ISNUMBER($A114)),IF((RANK(B$4,$B$4:$J$4,1))&lt;=($A108-$A114),1,0),"")</f>
        <v>0</v>
      </c>
      <c r="C108" s="6">
        <f t="shared" si="47"/>
        <v>0</v>
      </c>
      <c r="D108" s="6">
        <f t="shared" si="47"/>
        <v>0</v>
      </c>
      <c r="E108" s="6">
        <f t="shared" si="47"/>
        <v>0</v>
      </c>
      <c r="F108" s="6">
        <f t="shared" si="47"/>
        <v>0</v>
      </c>
      <c r="G108" s="6">
        <f t="shared" si="47"/>
        <v>0</v>
      </c>
      <c r="H108" s="6">
        <f t="shared" si="47"/>
        <v>0</v>
      </c>
      <c r="I108" s="6">
        <f t="shared" si="47"/>
        <v>0</v>
      </c>
      <c r="J108" s="7">
        <f t="shared" si="47"/>
        <v>0</v>
      </c>
      <c r="K108" s="13">
        <f>SUM(B108:J108)</f>
        <v>0</v>
      </c>
      <c r="N108" s="15"/>
      <c r="O108" s="15"/>
      <c r="P108" s="59"/>
      <c r="Q108" s="59"/>
      <c r="R108" s="59"/>
      <c r="S108" s="59"/>
      <c r="T108" s="59"/>
      <c r="W108" s="15"/>
      <c r="X108" s="15"/>
      <c r="Y108" s="15"/>
      <c r="Z108" s="15"/>
      <c r="AA108" s="15"/>
    </row>
    <row r="109" spans="1:27" s="16" customFormat="1" x14ac:dyDescent="0.2">
      <c r="A109" s="30"/>
      <c r="B109" s="82">
        <f>IF(AND(ISNUMBER(B106),ISNUMBER(B107)),B106-B107-B108," ")</f>
        <v>9</v>
      </c>
      <c r="C109" s="83">
        <f t="shared" ref="C109:J109" si="48">IF(AND(ISNUMBER(C106),ISNUMBER(C107)),C106-C107-C108," ")</f>
        <v>4</v>
      </c>
      <c r="D109" s="83">
        <f t="shared" si="48"/>
        <v>5</v>
      </c>
      <c r="E109" s="83">
        <f t="shared" si="48"/>
        <v>5</v>
      </c>
      <c r="F109" s="83">
        <f t="shared" si="48"/>
        <v>7</v>
      </c>
      <c r="G109" s="83">
        <f t="shared" si="48"/>
        <v>5</v>
      </c>
      <c r="H109" s="83">
        <f t="shared" si="48"/>
        <v>5</v>
      </c>
      <c r="I109" s="83">
        <f t="shared" si="48"/>
        <v>7</v>
      </c>
      <c r="J109" s="84">
        <f t="shared" si="48"/>
        <v>8</v>
      </c>
      <c r="K109" s="13">
        <f>IF(ISNUMBER(FIND("Wins",K110)), 2, IF(ISNUMBER(FIND("Tie",K110)), 1, 0))</f>
        <v>2</v>
      </c>
      <c r="N109" s="15"/>
      <c r="O109" s="15"/>
      <c r="P109" s="59"/>
      <c r="Q109" s="59"/>
      <c r="R109" s="59"/>
      <c r="S109" s="59"/>
      <c r="T109" s="59"/>
      <c r="W109" s="15"/>
      <c r="X109" s="15"/>
      <c r="Y109" s="15"/>
      <c r="Z109" s="15"/>
      <c r="AA109" s="15"/>
    </row>
    <row r="110" spans="1:27" s="16" customFormat="1" ht="13.5" thickBot="1" x14ac:dyDescent="0.25">
      <c r="A110" s="31"/>
      <c r="B110" s="19">
        <f>IF(AND(ISNUMBER(B109),ISNUMBER(B115)),IF(B109&lt;B115, 0+1, (IF(B109&gt;B115, 0-1, 0)))," ")</f>
        <v>-1</v>
      </c>
      <c r="C110" s="9">
        <f t="shared" ref="C110:J110" si="49">IF(AND(ISNUMBER(C109),ISNUMBER(C115)),IF(C109&lt;C115, +B110+1, (IF(C109&gt;C115, +B110-1, +B110)))," ")</f>
        <v>0</v>
      </c>
      <c r="D110" s="9">
        <f t="shared" si="49"/>
        <v>1</v>
      </c>
      <c r="E110" s="9">
        <f t="shared" si="49"/>
        <v>1</v>
      </c>
      <c r="F110" s="9">
        <f t="shared" si="49"/>
        <v>2</v>
      </c>
      <c r="G110" s="9">
        <f t="shared" si="49"/>
        <v>2</v>
      </c>
      <c r="H110" s="9">
        <f t="shared" si="49"/>
        <v>3</v>
      </c>
      <c r="I110" s="9">
        <f t="shared" si="49"/>
        <v>2</v>
      </c>
      <c r="J110" s="10">
        <f t="shared" si="49"/>
        <v>1</v>
      </c>
      <c r="K110" s="14" t="str">
        <f>IF(ISNUMBER(J110),IF(F110&gt;4,"Wins " &amp; F110 &amp; " &amp; 4",IF(G110&gt;3,"Wins " &amp; G110 &amp; " &amp; 3",IF(H110&gt;2,"Wins " &amp; H110 &amp; " &amp; 2",IF(I110&gt;1,"Wins " &amp; I110 &amp; " &amp; 1",IF(J110&gt;J116,"Wins " &amp; J110 &amp; " Up",IF(J110&lt;J116,"Loss","Tie"))))))," ")</f>
        <v>Wins 3 &amp; 2</v>
      </c>
      <c r="N110" s="15"/>
      <c r="O110" s="15"/>
      <c r="P110" s="59"/>
      <c r="Q110" s="59"/>
      <c r="R110" s="59"/>
      <c r="S110" s="59"/>
      <c r="T110" s="59"/>
      <c r="W110" s="15"/>
      <c r="X110" s="15"/>
      <c r="Y110" s="15"/>
      <c r="Z110" s="15"/>
      <c r="AA110" s="15"/>
    </row>
    <row r="111" spans="1:27" s="16" customFormat="1" ht="13.5" thickBot="1" x14ac:dyDescent="0.25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N111" s="15"/>
      <c r="O111" s="15"/>
      <c r="P111" s="59"/>
      <c r="Q111" s="59"/>
      <c r="R111" s="59"/>
      <c r="S111" s="59"/>
      <c r="T111" s="59"/>
      <c r="W111" s="15"/>
      <c r="X111" s="15"/>
      <c r="Y111" s="15"/>
      <c r="Z111" s="15"/>
      <c r="AA111" s="15"/>
    </row>
    <row r="112" spans="1:27" s="16" customFormat="1" x14ac:dyDescent="0.2">
      <c r="A112" s="29" t="str">
        <f t="shared" ref="A112:J112" si="50">A28</f>
        <v>Patrick</v>
      </c>
      <c r="B112" s="17">
        <f t="shared" si="50"/>
        <v>5</v>
      </c>
      <c r="C112" s="3">
        <f t="shared" si="50"/>
        <v>5</v>
      </c>
      <c r="D112" s="3">
        <f t="shared" si="50"/>
        <v>6</v>
      </c>
      <c r="E112" s="3">
        <f t="shared" si="50"/>
        <v>5</v>
      </c>
      <c r="F112" s="3">
        <f t="shared" si="50"/>
        <v>8</v>
      </c>
      <c r="G112" s="3">
        <f t="shared" si="50"/>
        <v>5</v>
      </c>
      <c r="H112" s="3">
        <f t="shared" si="50"/>
        <v>7</v>
      </c>
      <c r="I112" s="3">
        <f t="shared" si="50"/>
        <v>4</v>
      </c>
      <c r="J112" s="4">
        <f t="shared" si="50"/>
        <v>6</v>
      </c>
      <c r="K112" s="12">
        <f>SUM(B112:J112)</f>
        <v>51</v>
      </c>
      <c r="N112" s="15"/>
      <c r="O112" s="15"/>
      <c r="P112" s="59"/>
      <c r="Q112" s="59"/>
      <c r="R112" s="59"/>
      <c r="S112" s="59"/>
      <c r="T112" s="59"/>
      <c r="W112" s="15"/>
      <c r="X112" s="15"/>
      <c r="Y112" s="15"/>
      <c r="Z112" s="15"/>
      <c r="AA112" s="15"/>
    </row>
    <row r="113" spans="1:27" s="16" customFormat="1" x14ac:dyDescent="0.2">
      <c r="A113" s="30">
        <f>A29</f>
        <v>8</v>
      </c>
      <c r="B113" s="18">
        <f>IF(AND(ISNUMBER($A107),ISNUMBER($A113)),IF((RANK(B$4,$B$4:$J$4,1))&lt;=($A113-$A107),1,0),"")</f>
        <v>0</v>
      </c>
      <c r="C113" s="6">
        <f t="shared" ref="C113:J114" si="51">IF(AND(ISNUMBER($A107),ISNUMBER($A113)),IF((RANK(C$4,$B$4:$J$4,1))&lt;=($A113-$A107),1,0),"")</f>
        <v>0</v>
      </c>
      <c r="D113" s="6">
        <f t="shared" si="51"/>
        <v>0</v>
      </c>
      <c r="E113" s="6">
        <f t="shared" si="51"/>
        <v>0</v>
      </c>
      <c r="F113" s="6">
        <f t="shared" si="51"/>
        <v>0</v>
      </c>
      <c r="G113" s="6">
        <f t="shared" si="51"/>
        <v>0</v>
      </c>
      <c r="H113" s="6">
        <f t="shared" si="51"/>
        <v>0</v>
      </c>
      <c r="I113" s="6">
        <f t="shared" si="51"/>
        <v>0</v>
      </c>
      <c r="J113" s="7">
        <f t="shared" si="51"/>
        <v>0</v>
      </c>
      <c r="K113" s="13">
        <f>SUM(B113:J113)</f>
        <v>0</v>
      </c>
      <c r="N113" s="15"/>
      <c r="O113" s="15"/>
      <c r="P113" s="59"/>
      <c r="Q113" s="59"/>
      <c r="R113" s="59"/>
      <c r="S113" s="59"/>
      <c r="T113" s="59"/>
      <c r="W113" s="15"/>
      <c r="X113" s="15"/>
      <c r="Y113" s="15"/>
      <c r="Z113" s="15"/>
      <c r="AA113" s="15"/>
    </row>
    <row r="114" spans="1:27" s="16" customFormat="1" x14ac:dyDescent="0.2">
      <c r="A114" s="30">
        <f>IF((A113-A107)&gt;9,(A113-A107-9),0)</f>
        <v>0</v>
      </c>
      <c r="B114" s="18">
        <f>IF(AND(ISNUMBER($A108),ISNUMBER($A114)),IF((RANK(B$4,$B$4:$J$4,1))&lt;=($A114-$A108),1,0),"")</f>
        <v>0</v>
      </c>
      <c r="C114" s="6">
        <f t="shared" si="51"/>
        <v>0</v>
      </c>
      <c r="D114" s="6">
        <f t="shared" si="51"/>
        <v>0</v>
      </c>
      <c r="E114" s="6">
        <f t="shared" si="51"/>
        <v>0</v>
      </c>
      <c r="F114" s="6">
        <f t="shared" si="51"/>
        <v>0</v>
      </c>
      <c r="G114" s="6">
        <f t="shared" si="51"/>
        <v>0</v>
      </c>
      <c r="H114" s="6">
        <f t="shared" si="51"/>
        <v>0</v>
      </c>
      <c r="I114" s="6">
        <f t="shared" si="51"/>
        <v>0</v>
      </c>
      <c r="J114" s="7">
        <f t="shared" si="51"/>
        <v>0</v>
      </c>
      <c r="K114" s="13">
        <f>SUM(B114:J114)</f>
        <v>0</v>
      </c>
      <c r="N114" s="15"/>
      <c r="O114" s="15"/>
      <c r="P114" s="59"/>
      <c r="Q114" s="59"/>
      <c r="R114" s="59"/>
      <c r="S114" s="59"/>
      <c r="T114" s="59"/>
      <c r="W114" s="15"/>
      <c r="X114" s="15"/>
      <c r="Y114" s="15"/>
      <c r="Z114" s="15"/>
      <c r="AA114" s="15"/>
    </row>
    <row r="115" spans="1:27" s="16" customFormat="1" x14ac:dyDescent="0.2">
      <c r="A115" s="30"/>
      <c r="B115" s="82">
        <f>IF(AND(ISNUMBER(B112),ISNUMBER(B113)),B112-B113-B114," ")</f>
        <v>5</v>
      </c>
      <c r="C115" s="83">
        <f t="shared" ref="C115:J115" si="52">IF(AND(ISNUMBER(C112),ISNUMBER(C113)),C112-C113-C114," ")</f>
        <v>5</v>
      </c>
      <c r="D115" s="83">
        <f t="shared" si="52"/>
        <v>6</v>
      </c>
      <c r="E115" s="83">
        <f t="shared" si="52"/>
        <v>5</v>
      </c>
      <c r="F115" s="83">
        <f t="shared" si="52"/>
        <v>8</v>
      </c>
      <c r="G115" s="83">
        <f t="shared" si="52"/>
        <v>5</v>
      </c>
      <c r="H115" s="83">
        <f t="shared" si="52"/>
        <v>7</v>
      </c>
      <c r="I115" s="83">
        <f t="shared" si="52"/>
        <v>4</v>
      </c>
      <c r="J115" s="84">
        <f t="shared" si="52"/>
        <v>6</v>
      </c>
      <c r="K115" s="13">
        <f>IF(ISNUMBER(FIND("Wins",K116)), 2, IF(ISNUMBER(FIND("Tie",K116)), 1, 0))</f>
        <v>0</v>
      </c>
      <c r="N115" s="15"/>
      <c r="O115" s="15"/>
      <c r="P115" s="59"/>
      <c r="Q115" s="59"/>
      <c r="R115" s="59"/>
      <c r="S115" s="59"/>
      <c r="T115" s="59"/>
      <c r="W115" s="15"/>
      <c r="X115" s="15"/>
      <c r="Y115" s="15"/>
      <c r="Z115" s="15"/>
      <c r="AA115" s="15"/>
    </row>
    <row r="116" spans="1:27" s="16" customFormat="1" ht="13.5" thickBot="1" x14ac:dyDescent="0.25">
      <c r="A116" s="31"/>
      <c r="B116" s="19">
        <f>IF(AND(ISNUMBER(B109),ISNUMBER(B115)),IF(B115&lt;B109, 0+1, (IF(B115&gt;B109, 0-1, 0)))," ")</f>
        <v>1</v>
      </c>
      <c r="C116" s="9">
        <f t="shared" ref="C116:J116" si="53">IF(AND(ISNUMBER(C109),ISNUMBER(C115)),IF(C115&lt;C109, +B116+1, (IF(C115&gt;C109, +B116-1, +B116)))," ")</f>
        <v>0</v>
      </c>
      <c r="D116" s="9">
        <f t="shared" si="53"/>
        <v>-1</v>
      </c>
      <c r="E116" s="9">
        <f t="shared" si="53"/>
        <v>-1</v>
      </c>
      <c r="F116" s="9">
        <f t="shared" si="53"/>
        <v>-2</v>
      </c>
      <c r="G116" s="9">
        <f t="shared" si="53"/>
        <v>-2</v>
      </c>
      <c r="H116" s="9">
        <f t="shared" si="53"/>
        <v>-3</v>
      </c>
      <c r="I116" s="9">
        <f t="shared" si="53"/>
        <v>-2</v>
      </c>
      <c r="J116" s="10">
        <f t="shared" si="53"/>
        <v>-1</v>
      </c>
      <c r="K116" s="14" t="str">
        <f>IF(ISNUMBER(J116),IF(F116&gt;4,"Wins " &amp; F116 &amp; " &amp; 4",IF(G116&gt;3,"Wins " &amp; G116 &amp; " &amp; 3",IF(H116&gt;2,"Wins " &amp; H116 &amp; " &amp; 2",IF(I116&gt;1,"Wins " &amp; I116 &amp; " &amp; 1",IF(J116&gt;J110,"Wins " &amp; J116 &amp; " Up",IF(J116&lt;J110,"Loss","Tie"))))))," ")</f>
        <v>Loss</v>
      </c>
      <c r="N116" s="15"/>
      <c r="O116" s="15"/>
      <c r="P116" s="59"/>
      <c r="Q116" s="59"/>
      <c r="R116" s="59"/>
      <c r="S116" s="59"/>
      <c r="T116" s="59"/>
      <c r="W116" s="15"/>
      <c r="X116" s="15"/>
      <c r="Y116" s="15"/>
      <c r="Z116" s="15"/>
      <c r="AA116" s="15"/>
    </row>
    <row r="117" spans="1:27" s="16" customFormat="1" x14ac:dyDescent="0.2">
      <c r="A117" s="26"/>
      <c r="B117" s="85"/>
      <c r="C117" s="85"/>
      <c r="D117" s="85"/>
      <c r="E117" s="85"/>
      <c r="F117" s="85"/>
      <c r="G117" s="85"/>
      <c r="H117" s="85"/>
      <c r="I117" s="85"/>
      <c r="J117" s="85"/>
      <c r="K117" s="15"/>
      <c r="N117" s="15"/>
      <c r="O117" s="15"/>
      <c r="P117" s="59"/>
      <c r="Q117" s="59"/>
      <c r="R117" s="59"/>
      <c r="S117" s="59"/>
      <c r="T117" s="59"/>
      <c r="W117" s="15"/>
      <c r="X117" s="15"/>
      <c r="Y117" s="15"/>
      <c r="Z117" s="15"/>
      <c r="AA117" s="15"/>
    </row>
    <row r="118" spans="1:27" ht="13.5" thickBot="1" x14ac:dyDescent="0.25">
      <c r="A118" s="24" t="s">
        <v>82</v>
      </c>
    </row>
    <row r="119" spans="1:27" x14ac:dyDescent="0.2">
      <c r="A119" s="79" t="str">
        <f t="shared" ref="A119:J119" si="54">A30</f>
        <v>Mil</v>
      </c>
      <c r="B119" s="17">
        <f t="shared" si="54"/>
        <v>4</v>
      </c>
      <c r="C119" s="3">
        <f t="shared" si="54"/>
        <v>4</v>
      </c>
      <c r="D119" s="3">
        <f t="shared" si="54"/>
        <v>5</v>
      </c>
      <c r="E119" s="3">
        <f t="shared" si="54"/>
        <v>5</v>
      </c>
      <c r="F119" s="3">
        <f t="shared" si="54"/>
        <v>8</v>
      </c>
      <c r="G119" s="3">
        <f t="shared" si="54"/>
        <v>5</v>
      </c>
      <c r="H119" s="3">
        <f t="shared" si="54"/>
        <v>5</v>
      </c>
      <c r="I119" s="3">
        <f t="shared" si="54"/>
        <v>7</v>
      </c>
      <c r="J119" s="4">
        <f t="shared" si="54"/>
        <v>7</v>
      </c>
      <c r="K119" s="12">
        <f>SUM(B119:J119)</f>
        <v>50</v>
      </c>
    </row>
    <row r="120" spans="1:27" x14ac:dyDescent="0.2">
      <c r="A120" s="80">
        <f>A31</f>
        <v>6</v>
      </c>
      <c r="B120" s="18">
        <f>IF(AND(ISNUMBER($A120),ISNUMBER($A126)),IF((RANK(B$4,$B$4:$J$4,1))&lt;=($A120-$A126),1,0),"")</f>
        <v>0</v>
      </c>
      <c r="C120" s="6">
        <f t="shared" ref="C120:J120" si="55">IF(AND(ISNUMBER($A120),ISNUMBER($A126)),IF((RANK(C$4,$B$4:$J$4,1))&lt;=($A120-$A126),1,0),"")</f>
        <v>0</v>
      </c>
      <c r="D120" s="6">
        <f t="shared" si="55"/>
        <v>0</v>
      </c>
      <c r="E120" s="6">
        <f t="shared" si="55"/>
        <v>0</v>
      </c>
      <c r="F120" s="6">
        <f t="shared" si="55"/>
        <v>0</v>
      </c>
      <c r="G120" s="6">
        <f t="shared" si="55"/>
        <v>0</v>
      </c>
      <c r="H120" s="6">
        <f t="shared" si="55"/>
        <v>0</v>
      </c>
      <c r="I120" s="6">
        <f t="shared" si="55"/>
        <v>0</v>
      </c>
      <c r="J120" s="7">
        <f t="shared" si="55"/>
        <v>0</v>
      </c>
      <c r="K120" s="13">
        <f>SUM(B120:J120)</f>
        <v>0</v>
      </c>
    </row>
    <row r="121" spans="1:27" x14ac:dyDescent="0.2">
      <c r="A121" s="80">
        <f>IF((A120-A126)&gt;9,(A120-A126-9),0)</f>
        <v>0</v>
      </c>
      <c r="B121" s="18">
        <f>IF(AND(ISNUMBER($A121),ISNUMBER($A127)),IF((RANK(B$4,$B$4:$J$4,1))&lt;=($A121-$A127),1,0),"")</f>
        <v>0</v>
      </c>
      <c r="C121" s="6">
        <f t="shared" ref="C121:J121" si="56">IF(AND(ISNUMBER($A121),ISNUMBER($A127)),IF((RANK(C$4,$B$4:$J$4,1))&lt;=($A121-$A127),1,0),"")</f>
        <v>0</v>
      </c>
      <c r="D121" s="6">
        <f t="shared" si="56"/>
        <v>0</v>
      </c>
      <c r="E121" s="6">
        <f t="shared" si="56"/>
        <v>0</v>
      </c>
      <c r="F121" s="6">
        <f t="shared" si="56"/>
        <v>0</v>
      </c>
      <c r="G121" s="6">
        <f t="shared" si="56"/>
        <v>0</v>
      </c>
      <c r="H121" s="6">
        <f t="shared" si="56"/>
        <v>0</v>
      </c>
      <c r="I121" s="6">
        <f t="shared" si="56"/>
        <v>0</v>
      </c>
      <c r="J121" s="7">
        <f t="shared" si="56"/>
        <v>0</v>
      </c>
      <c r="K121" s="13">
        <f>SUM(B121:J121)</f>
        <v>0</v>
      </c>
    </row>
    <row r="122" spans="1:27" x14ac:dyDescent="0.2">
      <c r="A122" s="80"/>
      <c r="B122" s="82">
        <f>IF(AND(ISNUMBER(B119),ISNUMBER(B120)),B119-B120-B121," ")</f>
        <v>4</v>
      </c>
      <c r="C122" s="83">
        <f t="shared" ref="C122:J122" si="57">IF(AND(ISNUMBER(C119),ISNUMBER(C120)),C119-C120-C121," ")</f>
        <v>4</v>
      </c>
      <c r="D122" s="83">
        <f t="shared" si="57"/>
        <v>5</v>
      </c>
      <c r="E122" s="83">
        <f t="shared" si="57"/>
        <v>5</v>
      </c>
      <c r="F122" s="83">
        <f t="shared" si="57"/>
        <v>8</v>
      </c>
      <c r="G122" s="83">
        <f t="shared" si="57"/>
        <v>5</v>
      </c>
      <c r="H122" s="83">
        <f t="shared" si="57"/>
        <v>5</v>
      </c>
      <c r="I122" s="83">
        <f t="shared" si="57"/>
        <v>7</v>
      </c>
      <c r="J122" s="84">
        <f t="shared" si="57"/>
        <v>7</v>
      </c>
      <c r="K122" s="13">
        <f>IF(ISNUMBER(FIND("Wins",K123)), 2, IF(ISNUMBER(FIND("Tie",K123)), 1, 0))</f>
        <v>2</v>
      </c>
    </row>
    <row r="123" spans="1:27" ht="13.5" thickBot="1" x14ac:dyDescent="0.25">
      <c r="A123" s="81"/>
      <c r="B123" s="19">
        <f>IF(AND(ISNUMBER(B122),ISNUMBER(B128)),IF(B122&lt;B128, 0+1, (IF(B122&gt;B128, 0-1, 0)))," ")</f>
        <v>1</v>
      </c>
      <c r="C123" s="9">
        <f t="shared" ref="C123:J123" si="58">IF(AND(ISNUMBER(C122),ISNUMBER(C128)),IF(C122&lt;C128, +B123+1, (IF(C122&gt;C128, +B123-1, +B123)))," ")</f>
        <v>0</v>
      </c>
      <c r="D123" s="9">
        <f t="shared" si="58"/>
        <v>1</v>
      </c>
      <c r="E123" s="9">
        <f t="shared" si="58"/>
        <v>2</v>
      </c>
      <c r="F123" s="9">
        <f t="shared" si="58"/>
        <v>2</v>
      </c>
      <c r="G123" s="9">
        <f t="shared" si="58"/>
        <v>2</v>
      </c>
      <c r="H123" s="9">
        <f t="shared" si="58"/>
        <v>2</v>
      </c>
      <c r="I123" s="9">
        <f t="shared" si="58"/>
        <v>1</v>
      </c>
      <c r="J123" s="10">
        <f t="shared" si="58"/>
        <v>2</v>
      </c>
      <c r="K123" s="14" t="str">
        <f>IF(ISNUMBER(J123),IF(F123&gt;4,"Wins " &amp; F123 &amp; " &amp; 4",IF(G123&gt;3,"Wins " &amp; G123 &amp; " &amp; 3",IF(H123&gt;2,"Wins " &amp; H123 &amp; " &amp; 2",IF(I123&gt;1,"Wins " &amp; I123 &amp; " &amp; 1",IF(J123&gt;J129,"Wins " &amp; J123 &amp; " Up",IF(J123&lt;J129,"Loss","Tie"))))))," ")</f>
        <v>Wins 2 Up</v>
      </c>
    </row>
    <row r="124" spans="1:27" ht="13.5" thickBot="1" x14ac:dyDescent="0.25">
      <c r="A124" s="32"/>
    </row>
    <row r="125" spans="1:27" x14ac:dyDescent="0.2">
      <c r="A125" s="79" t="str">
        <f t="shared" ref="A125:J125" si="59">A34</f>
        <v>Keith</v>
      </c>
      <c r="B125" s="17">
        <f t="shared" si="59"/>
        <v>7</v>
      </c>
      <c r="C125" s="3">
        <f t="shared" si="59"/>
        <v>4</v>
      </c>
      <c r="D125" s="3">
        <f t="shared" si="59"/>
        <v>8</v>
      </c>
      <c r="E125" s="3">
        <f t="shared" si="59"/>
        <v>8</v>
      </c>
      <c r="F125" s="3">
        <f t="shared" si="59"/>
        <v>9</v>
      </c>
      <c r="G125" s="3">
        <f t="shared" si="59"/>
        <v>6</v>
      </c>
      <c r="H125" s="3">
        <f t="shared" si="59"/>
        <v>6</v>
      </c>
      <c r="I125" s="3">
        <f t="shared" si="59"/>
        <v>7</v>
      </c>
      <c r="J125" s="4">
        <f t="shared" si="59"/>
        <v>9</v>
      </c>
      <c r="K125" s="12">
        <f>SUM(B125:J125)</f>
        <v>64</v>
      </c>
    </row>
    <row r="126" spans="1:27" x14ac:dyDescent="0.2">
      <c r="A126" s="80">
        <f>A35</f>
        <v>16</v>
      </c>
      <c r="B126" s="18">
        <f>IF(AND(ISNUMBER($A120),ISNUMBER($A126)),IF((RANK(B$4,$B$4:$J$4,1))&lt;=($A126-$A120),1,0),"")</f>
        <v>1</v>
      </c>
      <c r="C126" s="6">
        <f t="shared" ref="C126:J126" si="60">IF(AND(ISNUMBER($A120),ISNUMBER($A126)),IF((RANK(C$4,$B$4:$J$4,1))&lt;=($A126-$A120),1,0),"")</f>
        <v>1</v>
      </c>
      <c r="D126" s="6">
        <f t="shared" si="60"/>
        <v>1</v>
      </c>
      <c r="E126" s="6">
        <f t="shared" si="60"/>
        <v>1</v>
      </c>
      <c r="F126" s="6">
        <f t="shared" si="60"/>
        <v>1</v>
      </c>
      <c r="G126" s="6">
        <f t="shared" si="60"/>
        <v>1</v>
      </c>
      <c r="H126" s="6">
        <f t="shared" si="60"/>
        <v>1</v>
      </c>
      <c r="I126" s="6">
        <f t="shared" si="60"/>
        <v>1</v>
      </c>
      <c r="J126" s="7">
        <f t="shared" si="60"/>
        <v>1</v>
      </c>
      <c r="K126" s="13">
        <f>SUM(B126:J126)</f>
        <v>9</v>
      </c>
    </row>
    <row r="127" spans="1:27" x14ac:dyDescent="0.2">
      <c r="A127" s="80">
        <f>IF((A126-A120)&gt;9,(A126-A120-9),0)</f>
        <v>1</v>
      </c>
      <c r="B127" s="18">
        <f>IF(AND(ISNUMBER($A121),ISNUMBER($A127)),IF((RANK(B$4,$B$4:$J$4,1))&lt;=($A127-$A121),1,0),"")</f>
        <v>0</v>
      </c>
      <c r="C127" s="6">
        <f t="shared" ref="C127:J127" si="61">IF(AND(ISNUMBER($A121),ISNUMBER($A127)),IF((RANK(C$4,$B$4:$J$4,1))&lt;=($A127-$A121),1,0),"")</f>
        <v>0</v>
      </c>
      <c r="D127" s="6">
        <f t="shared" si="61"/>
        <v>1</v>
      </c>
      <c r="E127" s="6">
        <f t="shared" si="61"/>
        <v>0</v>
      </c>
      <c r="F127" s="6">
        <f t="shared" si="61"/>
        <v>0</v>
      </c>
      <c r="G127" s="6">
        <f t="shared" si="61"/>
        <v>0</v>
      </c>
      <c r="H127" s="6">
        <f t="shared" si="61"/>
        <v>0</v>
      </c>
      <c r="I127" s="6">
        <f t="shared" si="61"/>
        <v>0</v>
      </c>
      <c r="J127" s="7">
        <f t="shared" si="61"/>
        <v>0</v>
      </c>
      <c r="K127" s="13">
        <f>SUM(B127:J127)</f>
        <v>1</v>
      </c>
    </row>
    <row r="128" spans="1:27" x14ac:dyDescent="0.2">
      <c r="A128" s="80"/>
      <c r="B128" s="82">
        <f>IF(AND(ISNUMBER(B125),ISNUMBER(B126)),B125-B126-B127," ")</f>
        <v>6</v>
      </c>
      <c r="C128" s="83">
        <f t="shared" ref="C128:J128" si="62">IF(AND(ISNUMBER(C125),ISNUMBER(C126)),C125-C126-C127," ")</f>
        <v>3</v>
      </c>
      <c r="D128" s="83">
        <f t="shared" si="62"/>
        <v>6</v>
      </c>
      <c r="E128" s="83">
        <f t="shared" si="62"/>
        <v>7</v>
      </c>
      <c r="F128" s="83">
        <f t="shared" si="62"/>
        <v>8</v>
      </c>
      <c r="G128" s="83">
        <f t="shared" si="62"/>
        <v>5</v>
      </c>
      <c r="H128" s="83">
        <f t="shared" si="62"/>
        <v>5</v>
      </c>
      <c r="I128" s="83">
        <f t="shared" si="62"/>
        <v>6</v>
      </c>
      <c r="J128" s="84">
        <f t="shared" si="62"/>
        <v>8</v>
      </c>
      <c r="K128" s="13">
        <f>IF(ISNUMBER(FIND("Wins",K129)), 2, IF(ISNUMBER(FIND("Tie",K129)), 1, 0))</f>
        <v>0</v>
      </c>
    </row>
    <row r="129" spans="1:11" ht="13.5" thickBot="1" x14ac:dyDescent="0.25">
      <c r="A129" s="81"/>
      <c r="B129" s="19">
        <f>IF(AND(ISNUMBER(B122),ISNUMBER(B128)),IF(B128&lt;B122, 0+1, (IF(B128&gt;B122, 0-1, 0)))," ")</f>
        <v>-1</v>
      </c>
      <c r="C129" s="9">
        <f t="shared" ref="C129:J129" si="63">IF(AND(ISNUMBER(C122),ISNUMBER(C128)),IF(C128&lt;C122, +B129+1, (IF(C128&gt;C122, +B129-1, +B129)))," ")</f>
        <v>0</v>
      </c>
      <c r="D129" s="9">
        <f t="shared" si="63"/>
        <v>-1</v>
      </c>
      <c r="E129" s="9">
        <f t="shared" si="63"/>
        <v>-2</v>
      </c>
      <c r="F129" s="9">
        <f t="shared" si="63"/>
        <v>-2</v>
      </c>
      <c r="G129" s="9">
        <f t="shared" si="63"/>
        <v>-2</v>
      </c>
      <c r="H129" s="9">
        <f t="shared" si="63"/>
        <v>-2</v>
      </c>
      <c r="I129" s="9">
        <f t="shared" si="63"/>
        <v>-1</v>
      </c>
      <c r="J129" s="10">
        <f t="shared" si="63"/>
        <v>-2</v>
      </c>
      <c r="K129" s="14" t="str">
        <f>IF(ISNUMBER(J129),IF(F129&gt;4,"Wins " &amp; F129 &amp; " &amp; 4",IF(G129&gt;3,"Wins " &amp; G129 &amp; " &amp; 3",IF(H129&gt;2,"Wins " &amp; H129 &amp; " &amp; 2",IF(I129&gt;1,"Wins " &amp; I129 &amp; " &amp; 1",IF(J129&gt;J123,"Wins " &amp; J129 &amp; " Up",IF(J129&lt;J123,"Loss","Tie"))))))," ")</f>
        <v>Loss</v>
      </c>
    </row>
    <row r="130" spans="1:11" x14ac:dyDescent="0.2">
      <c r="A130" s="26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ht="13.5" thickBot="1" x14ac:dyDescent="0.25">
      <c r="A131" s="24" t="s">
        <v>133</v>
      </c>
    </row>
    <row r="132" spans="1:11" x14ac:dyDescent="0.2">
      <c r="A132" s="29" t="str">
        <f t="shared" ref="A132:J132" si="64">A32</f>
        <v>Brian S</v>
      </c>
      <c r="B132" s="17">
        <f t="shared" si="64"/>
        <v>6</v>
      </c>
      <c r="C132" s="3">
        <f t="shared" si="64"/>
        <v>3</v>
      </c>
      <c r="D132" s="3">
        <f t="shared" si="64"/>
        <v>7</v>
      </c>
      <c r="E132" s="3">
        <f t="shared" si="64"/>
        <v>6</v>
      </c>
      <c r="F132" s="3">
        <f t="shared" si="64"/>
        <v>6</v>
      </c>
      <c r="G132" s="3">
        <f t="shared" si="64"/>
        <v>5</v>
      </c>
      <c r="H132" s="3">
        <f t="shared" si="64"/>
        <v>6</v>
      </c>
      <c r="I132" s="3">
        <f t="shared" si="64"/>
        <v>5</v>
      </c>
      <c r="J132" s="4">
        <f t="shared" si="64"/>
        <v>7</v>
      </c>
      <c r="K132" s="12">
        <f>SUM(B132:J132)</f>
        <v>51</v>
      </c>
    </row>
    <row r="133" spans="1:11" x14ac:dyDescent="0.2">
      <c r="A133" s="30">
        <f>A33</f>
        <v>13</v>
      </c>
      <c r="B133" s="18">
        <f>IF(AND(ISNUMBER($A133),ISNUMBER($A139)),IF((RANK(B$4,$B$4:$J$4,1))&lt;=($A133-$A139),1,0),"")</f>
        <v>0</v>
      </c>
      <c r="C133" s="6">
        <f t="shared" ref="C133:J133" si="65">IF(AND(ISNUMBER($A133),ISNUMBER($A139)),IF((RANK(C$4,$B$4:$J$4,1))&lt;=($A133-$A139),1,0),"")</f>
        <v>0</v>
      </c>
      <c r="D133" s="6">
        <f t="shared" si="65"/>
        <v>1</v>
      </c>
      <c r="E133" s="6">
        <f t="shared" si="65"/>
        <v>0</v>
      </c>
      <c r="F133" s="6">
        <f t="shared" si="65"/>
        <v>0</v>
      </c>
      <c r="G133" s="6">
        <f t="shared" si="65"/>
        <v>0</v>
      </c>
      <c r="H133" s="6">
        <f t="shared" si="65"/>
        <v>0</v>
      </c>
      <c r="I133" s="6">
        <f t="shared" si="65"/>
        <v>0</v>
      </c>
      <c r="J133" s="7">
        <f t="shared" si="65"/>
        <v>0</v>
      </c>
      <c r="K133" s="13">
        <f>SUM(B133:J133)</f>
        <v>1</v>
      </c>
    </row>
    <row r="134" spans="1:11" x14ac:dyDescent="0.2">
      <c r="A134" s="30">
        <f>IF((A133-A139)&gt;9,(A133-A139-9),0)</f>
        <v>0</v>
      </c>
      <c r="B134" s="18">
        <f>IF(AND(ISNUMBER($A134),ISNUMBER($A140)),IF((RANK(B$4,$B$4:$J$4,1))&lt;=($A134-$A140),1,0),"")</f>
        <v>0</v>
      </c>
      <c r="C134" s="6">
        <f t="shared" ref="C134:J134" si="66">IF(AND(ISNUMBER($A134),ISNUMBER($A140)),IF((RANK(C$4,$B$4:$J$4,1))&lt;=($A134-$A140),1,0),"")</f>
        <v>0</v>
      </c>
      <c r="D134" s="6">
        <f t="shared" si="66"/>
        <v>0</v>
      </c>
      <c r="E134" s="6">
        <f t="shared" si="66"/>
        <v>0</v>
      </c>
      <c r="F134" s="6">
        <f t="shared" si="66"/>
        <v>0</v>
      </c>
      <c r="G134" s="6">
        <f t="shared" si="66"/>
        <v>0</v>
      </c>
      <c r="H134" s="6">
        <f t="shared" si="66"/>
        <v>0</v>
      </c>
      <c r="I134" s="6">
        <f t="shared" si="66"/>
        <v>0</v>
      </c>
      <c r="J134" s="7">
        <f t="shared" si="66"/>
        <v>0</v>
      </c>
      <c r="K134" s="13">
        <f>SUM(B134:J134)</f>
        <v>0</v>
      </c>
    </row>
    <row r="135" spans="1:11" x14ac:dyDescent="0.2">
      <c r="A135" s="30"/>
      <c r="B135" s="82">
        <f>IF(AND(ISNUMBER(B132),ISNUMBER(B133)),B132-B133-B134," ")</f>
        <v>6</v>
      </c>
      <c r="C135" s="83">
        <f t="shared" ref="C135:J135" si="67">IF(AND(ISNUMBER(C132),ISNUMBER(C133)),C132-C133-C134," ")</f>
        <v>3</v>
      </c>
      <c r="D135" s="83">
        <f t="shared" si="67"/>
        <v>6</v>
      </c>
      <c r="E135" s="83">
        <f t="shared" si="67"/>
        <v>6</v>
      </c>
      <c r="F135" s="83">
        <f t="shared" si="67"/>
        <v>6</v>
      </c>
      <c r="G135" s="83">
        <f t="shared" si="67"/>
        <v>5</v>
      </c>
      <c r="H135" s="83">
        <f t="shared" si="67"/>
        <v>6</v>
      </c>
      <c r="I135" s="83">
        <f t="shared" si="67"/>
        <v>5</v>
      </c>
      <c r="J135" s="84">
        <f t="shared" si="67"/>
        <v>7</v>
      </c>
      <c r="K135" s="13">
        <f>IF(ISNUMBER(FIND("Wins",K136)), 2, IF(ISNUMBER(FIND("Tie",K136)), 1, 0))</f>
        <v>2</v>
      </c>
    </row>
    <row r="136" spans="1:11" ht="13.5" thickBot="1" x14ac:dyDescent="0.25">
      <c r="A136" s="31"/>
      <c r="B136" s="19">
        <f>IF(AND(ISNUMBER(B135),ISNUMBER(B141)),IF(B135&lt;B141, 0+1, (IF(B135&gt;B141, 0-1, 0)))," ")</f>
        <v>1</v>
      </c>
      <c r="C136" s="9">
        <f t="shared" ref="C136:J136" si="68">IF(AND(ISNUMBER(C135),ISNUMBER(C141)),IF(C135&lt;C141, +B136+1, (IF(C135&gt;C141, +B136-1, +B136)))," ")</f>
        <v>2</v>
      </c>
      <c r="D136" s="9">
        <f t="shared" si="68"/>
        <v>1</v>
      </c>
      <c r="E136" s="9">
        <f t="shared" si="68"/>
        <v>2</v>
      </c>
      <c r="F136" s="9">
        <f t="shared" si="68"/>
        <v>2</v>
      </c>
      <c r="G136" s="9">
        <f t="shared" si="68"/>
        <v>3</v>
      </c>
      <c r="H136" s="9">
        <f t="shared" si="68"/>
        <v>3</v>
      </c>
      <c r="I136" s="9">
        <f t="shared" si="68"/>
        <v>4</v>
      </c>
      <c r="J136" s="10">
        <f t="shared" si="68"/>
        <v>3</v>
      </c>
      <c r="K136" s="14" t="str">
        <f>IF(ISNUMBER(J136),IF(F136&gt;4,"Wins " &amp; F136 &amp; " &amp; 4",IF(G136&gt;3,"Wins " &amp; G136 &amp; " &amp; 3",IF(H136&gt;2,"Wins " &amp; H136 &amp; " &amp; 2",IF(I136&gt;1,"Wins " &amp; I136 &amp; " &amp; 1",IF(J136&gt;J142,"Wins " &amp; J136 &amp; " Up",IF(J136&lt;J142,"Loss","Tie"))))))," ")</f>
        <v>Wins 3 &amp; 2</v>
      </c>
    </row>
    <row r="137" spans="1:11" ht="13.5" thickBot="1" x14ac:dyDescent="0.25">
      <c r="A137" s="32"/>
    </row>
    <row r="138" spans="1:11" x14ac:dyDescent="0.2">
      <c r="A138" s="29" t="str">
        <f t="shared" ref="A138:J138" si="69">A36</f>
        <v>Gerald C</v>
      </c>
      <c r="B138" s="17">
        <f t="shared" si="69"/>
        <v>9</v>
      </c>
      <c r="C138" s="3">
        <f t="shared" si="69"/>
        <v>5</v>
      </c>
      <c r="D138" s="3">
        <f t="shared" si="69"/>
        <v>5</v>
      </c>
      <c r="E138" s="3">
        <f t="shared" si="69"/>
        <v>7</v>
      </c>
      <c r="F138" s="3">
        <f t="shared" si="69"/>
        <v>6</v>
      </c>
      <c r="G138" s="3">
        <f t="shared" si="69"/>
        <v>7</v>
      </c>
      <c r="H138" s="3">
        <f t="shared" si="69"/>
        <v>6</v>
      </c>
      <c r="I138" s="3">
        <f t="shared" si="69"/>
        <v>6</v>
      </c>
      <c r="J138" s="4">
        <f t="shared" si="69"/>
        <v>6</v>
      </c>
      <c r="K138" s="12">
        <f>SUM(B138:J138)</f>
        <v>57</v>
      </c>
    </row>
    <row r="139" spans="1:11" x14ac:dyDescent="0.2">
      <c r="A139" s="30">
        <f>A37</f>
        <v>12</v>
      </c>
      <c r="B139" s="18">
        <f>IF(AND(ISNUMBER($A133),ISNUMBER($A139)),IF((RANK(B$4,$B$4:$J$4,1))&lt;=($A139-$A133),1,0),"")</f>
        <v>0</v>
      </c>
      <c r="C139" s="6">
        <f t="shared" ref="C139:J139" si="70">IF(AND(ISNUMBER($A133),ISNUMBER($A139)),IF((RANK(C$4,$B$4:$J$4,1))&lt;=($A139-$A133),1,0),"")</f>
        <v>0</v>
      </c>
      <c r="D139" s="6">
        <f t="shared" si="70"/>
        <v>0</v>
      </c>
      <c r="E139" s="6">
        <f t="shared" si="70"/>
        <v>0</v>
      </c>
      <c r="F139" s="6">
        <f t="shared" si="70"/>
        <v>0</v>
      </c>
      <c r="G139" s="6">
        <f t="shared" si="70"/>
        <v>0</v>
      </c>
      <c r="H139" s="6">
        <f t="shared" si="70"/>
        <v>0</v>
      </c>
      <c r="I139" s="6">
        <f t="shared" si="70"/>
        <v>0</v>
      </c>
      <c r="J139" s="7">
        <f t="shared" si="70"/>
        <v>0</v>
      </c>
      <c r="K139" s="13">
        <f>SUM(B139:J139)</f>
        <v>0</v>
      </c>
    </row>
    <row r="140" spans="1:11" x14ac:dyDescent="0.2">
      <c r="A140" s="30">
        <f>IF((A139-A133)&gt;9,(A139-A133-9),0)</f>
        <v>0</v>
      </c>
      <c r="B140" s="18">
        <f>IF(AND(ISNUMBER($A134),ISNUMBER($A140)),IF((RANK(B$4,$B$4:$J$4,1))&lt;=($A140-$A134),1,0),"")</f>
        <v>0</v>
      </c>
      <c r="C140" s="6">
        <f t="shared" ref="C140:J140" si="71">IF(AND(ISNUMBER($A134),ISNUMBER($A140)),IF((RANK(C$4,$B$4:$J$4,1))&lt;=($A140-$A134),1,0),"")</f>
        <v>0</v>
      </c>
      <c r="D140" s="6">
        <f t="shared" si="71"/>
        <v>0</v>
      </c>
      <c r="E140" s="6">
        <f t="shared" si="71"/>
        <v>0</v>
      </c>
      <c r="F140" s="6">
        <f t="shared" si="71"/>
        <v>0</v>
      </c>
      <c r="G140" s="6">
        <f t="shared" si="71"/>
        <v>0</v>
      </c>
      <c r="H140" s="6">
        <f t="shared" si="71"/>
        <v>0</v>
      </c>
      <c r="I140" s="6">
        <f t="shared" si="71"/>
        <v>0</v>
      </c>
      <c r="J140" s="7">
        <f t="shared" si="71"/>
        <v>0</v>
      </c>
      <c r="K140" s="13">
        <f>SUM(B140:J140)</f>
        <v>0</v>
      </c>
    </row>
    <row r="141" spans="1:11" x14ac:dyDescent="0.2">
      <c r="A141" s="30"/>
      <c r="B141" s="82">
        <f>IF(AND(ISNUMBER(B138),ISNUMBER(B139)),B138-B139-B140," ")</f>
        <v>9</v>
      </c>
      <c r="C141" s="83">
        <f t="shared" ref="C141:J141" si="72">IF(AND(ISNUMBER(C138),ISNUMBER(C139)),C138-C139-C140," ")</f>
        <v>5</v>
      </c>
      <c r="D141" s="83">
        <f t="shared" si="72"/>
        <v>5</v>
      </c>
      <c r="E141" s="83">
        <f t="shared" si="72"/>
        <v>7</v>
      </c>
      <c r="F141" s="83">
        <f t="shared" si="72"/>
        <v>6</v>
      </c>
      <c r="G141" s="83">
        <f t="shared" si="72"/>
        <v>7</v>
      </c>
      <c r="H141" s="83">
        <f t="shared" si="72"/>
        <v>6</v>
      </c>
      <c r="I141" s="83">
        <f t="shared" si="72"/>
        <v>6</v>
      </c>
      <c r="J141" s="84">
        <f t="shared" si="72"/>
        <v>6</v>
      </c>
      <c r="K141" s="13">
        <f>IF(ISNUMBER(FIND("Wins",K142)), 2, IF(ISNUMBER(FIND("Tie",K142)), 1, 0))</f>
        <v>0</v>
      </c>
    </row>
    <row r="142" spans="1:11" ht="13.5" thickBot="1" x14ac:dyDescent="0.25">
      <c r="A142" s="31"/>
      <c r="B142" s="19">
        <f>IF(AND(ISNUMBER(B135),ISNUMBER(B141)),IF(B141&lt;B135, 0+1, (IF(B141&gt;B135, 0-1, 0)))," ")</f>
        <v>-1</v>
      </c>
      <c r="C142" s="9">
        <f t="shared" ref="C142:J142" si="73">IF(AND(ISNUMBER(C135),ISNUMBER(C141)),IF(C141&lt;C135, +B142+1, (IF(C141&gt;C135, +B142-1, +B142)))," ")</f>
        <v>-2</v>
      </c>
      <c r="D142" s="9">
        <f t="shared" si="73"/>
        <v>-1</v>
      </c>
      <c r="E142" s="9">
        <f t="shared" si="73"/>
        <v>-2</v>
      </c>
      <c r="F142" s="9">
        <f t="shared" si="73"/>
        <v>-2</v>
      </c>
      <c r="G142" s="9">
        <f t="shared" si="73"/>
        <v>-3</v>
      </c>
      <c r="H142" s="9">
        <f t="shared" si="73"/>
        <v>-3</v>
      </c>
      <c r="I142" s="9">
        <f t="shared" si="73"/>
        <v>-4</v>
      </c>
      <c r="J142" s="10">
        <f t="shared" si="73"/>
        <v>-3</v>
      </c>
      <c r="K142" s="14" t="str">
        <f>IF(ISNUMBER(J142),IF(F142&gt;4,"Wins " &amp; F142 &amp; " &amp; 4",IF(G142&gt;3,"Wins " &amp; G142 &amp; " &amp; 3",IF(H142&gt;2,"Wins " &amp; H142 &amp; " &amp; 2",IF(I142&gt;1,"Wins " &amp; I142 &amp; " &amp; 1",IF(J142&gt;J136,"Wins " &amp; J142 &amp; " Up",IF(J142&lt;J136,"Loss","Tie"))))))," ")</f>
        <v>Loss</v>
      </c>
    </row>
    <row r="143" spans="1:11" x14ac:dyDescent="0.2">
      <c r="A143" s="26"/>
      <c r="B143" s="85"/>
      <c r="C143" s="85"/>
      <c r="D143" s="85"/>
      <c r="E143" s="85"/>
      <c r="F143" s="85"/>
      <c r="G143" s="85"/>
      <c r="H143" s="85"/>
      <c r="I143" s="85"/>
      <c r="J143" s="85"/>
      <c r="K143" s="15"/>
    </row>
  </sheetData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43"/>
  <sheetViews>
    <sheetView zoomScaleNormal="100" workbookViewId="0">
      <pane xSplit="1" ySplit="4" topLeftCell="B5" activePane="bottomRight" state="frozen"/>
      <selection activeCell="A144" sqref="A144:XFD169"/>
      <selection pane="topRight" activeCell="A144" sqref="A144:XFD169"/>
      <selection pane="bottomLeft" activeCell="A144" sqref="A144:XFD169"/>
      <selection pane="bottomRight" activeCell="O6" sqref="O6:O36"/>
    </sheetView>
  </sheetViews>
  <sheetFormatPr defaultColWidth="9.140625" defaultRowHeight="12.75" x14ac:dyDescent="0.2"/>
  <cols>
    <col min="1" max="1" width="22.28515625" style="20" customWidth="1"/>
    <col min="2" max="10" width="9.140625" style="2"/>
    <col min="11" max="11" width="13.42578125" style="2" customWidth="1"/>
    <col min="12" max="12" width="9.140625" style="1"/>
    <col min="13" max="13" width="11.140625" style="1" customWidth="1"/>
    <col min="14" max="15" width="11.140625" style="2" customWidth="1"/>
    <col min="16" max="20" width="11.85546875" style="52" customWidth="1"/>
    <col min="21" max="22" width="9.140625" style="1"/>
    <col min="23" max="26" width="9.140625" style="2"/>
    <col min="27" max="27" width="9.85546875" style="2" customWidth="1"/>
    <col min="28" max="16384" width="9.140625" style="1"/>
  </cols>
  <sheetData>
    <row r="1" spans="1:27" ht="13.5" thickBot="1" x14ac:dyDescent="0.25"/>
    <row r="2" spans="1:27" x14ac:dyDescent="0.2">
      <c r="A2" s="21" t="s">
        <v>1</v>
      </c>
      <c r="B2" s="76">
        <f>'Day 2B - Match 8'!B2</f>
        <v>10</v>
      </c>
      <c r="C2" s="34">
        <f>'Day 2B - Match 8'!C2</f>
        <v>11</v>
      </c>
      <c r="D2" s="34">
        <f>'Day 2B - Match 8'!D2</f>
        <v>12</v>
      </c>
      <c r="E2" s="34">
        <f>'Day 2B - Match 8'!E2</f>
        <v>13</v>
      </c>
      <c r="F2" s="34">
        <f>'Day 2B - Match 8'!F2</f>
        <v>14</v>
      </c>
      <c r="G2" s="34">
        <f>'Day 2B - Match 8'!G2</f>
        <v>15</v>
      </c>
      <c r="H2" s="34">
        <f>'Day 2B - Match 8'!H2</f>
        <v>16</v>
      </c>
      <c r="I2" s="34">
        <f>'Day 2B - Match 8'!I2</f>
        <v>17</v>
      </c>
      <c r="J2" s="35">
        <f>'Day 2B - Match 8'!J2</f>
        <v>18</v>
      </c>
      <c r="K2" s="73"/>
    </row>
    <row r="3" spans="1:27" x14ac:dyDescent="0.2">
      <c r="A3" s="22" t="s">
        <v>2</v>
      </c>
      <c r="B3" s="77">
        <f>'Day 2B - Match 8'!B3</f>
        <v>4</v>
      </c>
      <c r="C3" s="39">
        <f>'Day 2B - Match 8'!C3</f>
        <v>3</v>
      </c>
      <c r="D3" s="39">
        <f>'Day 2B - Match 8'!D3</f>
        <v>4</v>
      </c>
      <c r="E3" s="39">
        <f>'Day 2B - Match 8'!E3</f>
        <v>4</v>
      </c>
      <c r="F3" s="39">
        <f>'Day 2B - Match 8'!F3</f>
        <v>5</v>
      </c>
      <c r="G3" s="39">
        <f>'Day 2B - Match 8'!G3</f>
        <v>3</v>
      </c>
      <c r="H3" s="39">
        <f>'Day 2B - Match 8'!H3</f>
        <v>4</v>
      </c>
      <c r="I3" s="39">
        <f>'Day 2B - Match 8'!I3</f>
        <v>4</v>
      </c>
      <c r="J3" s="40">
        <f>'Day 2B - Match 8'!J3</f>
        <v>4</v>
      </c>
      <c r="K3" s="74">
        <f>SUM(B3:J3)</f>
        <v>35</v>
      </c>
      <c r="P3" s="55" t="s">
        <v>32</v>
      </c>
    </row>
    <row r="4" spans="1:27" ht="13.5" thickBot="1" x14ac:dyDescent="0.25">
      <c r="A4" s="23" t="s">
        <v>3</v>
      </c>
      <c r="B4" s="78">
        <f>'Day 2B - Match 8'!B4</f>
        <v>8</v>
      </c>
      <c r="C4" s="44">
        <f>'Day 2B - Match 8'!C4</f>
        <v>14</v>
      </c>
      <c r="D4" s="44">
        <f>'Day 2B - Match 8'!D4</f>
        <v>2</v>
      </c>
      <c r="E4" s="44">
        <f>'Day 2B - Match 8'!E4</f>
        <v>6</v>
      </c>
      <c r="F4" s="44">
        <f>'Day 2B - Match 8'!F4</f>
        <v>12</v>
      </c>
      <c r="G4" s="44">
        <f>'Day 2B - Match 8'!G4</f>
        <v>18</v>
      </c>
      <c r="H4" s="44">
        <f>'Day 2B - Match 8'!H4</f>
        <v>16</v>
      </c>
      <c r="I4" s="44">
        <f>'Day 2B - Match 8'!I4</f>
        <v>4</v>
      </c>
      <c r="J4" s="45">
        <f>'Day 2B - Match 8'!J4</f>
        <v>10</v>
      </c>
      <c r="K4" s="75"/>
      <c r="P4" s="52" t="s">
        <v>35</v>
      </c>
    </row>
    <row r="5" spans="1:27" ht="13.5" thickBot="1" x14ac:dyDescent="0.25">
      <c r="M5" s="230" t="s">
        <v>16</v>
      </c>
      <c r="N5" s="232" t="s">
        <v>17</v>
      </c>
      <c r="O5" s="232" t="s">
        <v>36</v>
      </c>
      <c r="P5" s="161" t="str">
        <f>Results!C40</f>
        <v>Long Drive</v>
      </c>
      <c r="Q5" s="50" t="str">
        <f>Results!D40</f>
        <v>Closest to Pin</v>
      </c>
      <c r="R5" s="50" t="str">
        <f>Results!E40</f>
        <v>Long Putt</v>
      </c>
      <c r="S5" s="50" t="str">
        <f>Results!F40</f>
        <v>Secret Snowman</v>
      </c>
      <c r="T5" s="51" t="str">
        <f>Results!G40</f>
        <v>Closest to Pin</v>
      </c>
      <c r="V5" s="2">
        <v>1</v>
      </c>
      <c r="W5" s="2">
        <v>2</v>
      </c>
      <c r="X5" s="2">
        <v>3</v>
      </c>
      <c r="Y5" s="2">
        <v>4</v>
      </c>
      <c r="Z5" s="2">
        <v>5</v>
      </c>
    </row>
    <row r="6" spans="1:27" x14ac:dyDescent="0.2">
      <c r="A6" s="47" t="str">
        <f>Matchups!E3</f>
        <v>John</v>
      </c>
      <c r="B6" s="237">
        <f>'Day 2B - Match 8'!B6</f>
        <v>7</v>
      </c>
      <c r="C6" s="238">
        <f>'Day 2B - Match 8'!C6</f>
        <v>5</v>
      </c>
      <c r="D6" s="238">
        <f>'Day 2B - Match 8'!D6</f>
        <v>6</v>
      </c>
      <c r="E6" s="238">
        <f>'Day 2B - Match 8'!E6</f>
        <v>6</v>
      </c>
      <c r="F6" s="238">
        <f>'Day 2B - Match 8'!F6</f>
        <v>7</v>
      </c>
      <c r="G6" s="238">
        <f>'Day 2B - Match 8'!G6</f>
        <v>5</v>
      </c>
      <c r="H6" s="238">
        <f>'Day 2B - Match 8'!H6</f>
        <v>9</v>
      </c>
      <c r="I6" s="238">
        <f>'Day 2B - Match 8'!I6</f>
        <v>4</v>
      </c>
      <c r="J6" s="239">
        <f>'Day 2B - Match 8'!J6</f>
        <v>6</v>
      </c>
      <c r="K6" s="12">
        <f>SUM(B6:J6)</f>
        <v>55</v>
      </c>
      <c r="M6" s="90" t="str">
        <f>A30</f>
        <v>Mil</v>
      </c>
      <c r="N6" s="428">
        <f>K30</f>
        <v>50</v>
      </c>
      <c r="O6" s="5">
        <f>K122</f>
        <v>2</v>
      </c>
      <c r="P6" s="162"/>
      <c r="Q6" s="65"/>
      <c r="R6" s="65"/>
      <c r="S6" s="65"/>
      <c r="T6" s="153"/>
      <c r="V6" s="2" t="str">
        <f t="shared" ref="V6:V37" si="0">IF($S$39=V$5,S6*V$5,"")</f>
        <v/>
      </c>
      <c r="W6" s="2" t="str">
        <f t="shared" ref="W6:W37" si="1">IF($S$39=W$5,S6*W$5,"")</f>
        <v/>
      </c>
      <c r="X6" s="2" t="str">
        <f t="shared" ref="X6:X37" si="2">IF($S$39=X$5,S6*X$5,"")</f>
        <v/>
      </c>
      <c r="Y6" s="2" t="str">
        <f t="shared" ref="Y6:Y37" si="3">IF($S$39=Y$5,S6*Y$5,"")</f>
        <v/>
      </c>
      <c r="Z6" s="2" t="str">
        <f t="shared" ref="Z6:Z37" si="4">IF($S$39=Z$5,S6*Z$5,"")</f>
        <v/>
      </c>
      <c r="AA6" s="144">
        <f>IF(SUM(V6:Z6)=0,0,Setup!F$44/SUM(V6:Z6))</f>
        <v>0</v>
      </c>
    </row>
    <row r="7" spans="1:27" hidden="1" x14ac:dyDescent="0.2">
      <c r="A7" s="48">
        <f>Matchups!E4</f>
        <v>7</v>
      </c>
      <c r="B7" s="240"/>
      <c r="C7" s="241"/>
      <c r="D7" s="241"/>
      <c r="E7" s="241"/>
      <c r="F7" s="241"/>
      <c r="G7" s="241"/>
      <c r="H7" s="241"/>
      <c r="I7" s="241"/>
      <c r="J7" s="242"/>
      <c r="K7" s="13"/>
      <c r="M7" s="91"/>
      <c r="N7" s="426"/>
      <c r="O7" s="8"/>
      <c r="P7" s="164"/>
      <c r="Q7" s="66"/>
      <c r="R7" s="66"/>
      <c r="S7" s="66"/>
      <c r="T7" s="154"/>
      <c r="V7" s="2" t="str">
        <f t="shared" si="0"/>
        <v/>
      </c>
      <c r="W7" s="2" t="str">
        <f t="shared" si="1"/>
        <v/>
      </c>
      <c r="X7" s="2" t="str">
        <f t="shared" si="2"/>
        <v/>
      </c>
      <c r="Y7" s="2" t="str">
        <f t="shared" si="3"/>
        <v/>
      </c>
      <c r="Z7" s="2" t="str">
        <f t="shared" si="4"/>
        <v/>
      </c>
      <c r="AA7" s="144">
        <f>IF(SUM(V7:Z7)=0,0,Setup!F$44/SUM(V7:Z7))</f>
        <v>0</v>
      </c>
    </row>
    <row r="8" spans="1:27" x14ac:dyDescent="0.2">
      <c r="A8" s="48" t="str">
        <f>Matchups!E5</f>
        <v>Rick</v>
      </c>
      <c r="B8" s="240">
        <f>'Day 2B - Match 8'!B8</f>
        <v>7</v>
      </c>
      <c r="C8" s="241">
        <f>'Day 2B - Match 8'!C8</f>
        <v>3</v>
      </c>
      <c r="D8" s="241">
        <f>'Day 2B - Match 8'!D8</f>
        <v>6</v>
      </c>
      <c r="E8" s="241">
        <f>'Day 2B - Match 8'!E8</f>
        <v>6</v>
      </c>
      <c r="F8" s="241">
        <f>'Day 2B - Match 8'!F8</f>
        <v>6</v>
      </c>
      <c r="G8" s="241">
        <f>'Day 2B - Match 8'!G8</f>
        <v>3</v>
      </c>
      <c r="H8" s="241">
        <f>'Day 2B - Match 8'!H8</f>
        <v>5</v>
      </c>
      <c r="I8" s="241">
        <f>'Day 2B - Match 8'!I8</f>
        <v>5</v>
      </c>
      <c r="J8" s="242">
        <f>'Day 2B - Match 8'!J8</f>
        <v>5</v>
      </c>
      <c r="K8" s="13">
        <f t="shared" ref="K8:K28" si="5">SUM(B8:J8)</f>
        <v>46</v>
      </c>
      <c r="M8" s="91" t="str">
        <f>A6</f>
        <v>John</v>
      </c>
      <c r="N8" s="426">
        <f>K6</f>
        <v>55</v>
      </c>
      <c r="O8" s="8">
        <f>K44</f>
        <v>0</v>
      </c>
      <c r="P8" s="164"/>
      <c r="Q8" s="66"/>
      <c r="R8" s="66"/>
      <c r="S8" s="66"/>
      <c r="T8" s="154"/>
      <c r="V8" s="2" t="str">
        <f t="shared" si="0"/>
        <v/>
      </c>
      <c r="W8" s="2" t="str">
        <f t="shared" si="1"/>
        <v/>
      </c>
      <c r="X8" s="2" t="str">
        <f t="shared" si="2"/>
        <v/>
      </c>
      <c r="Y8" s="2" t="str">
        <f t="shared" si="3"/>
        <v/>
      </c>
      <c r="Z8" s="2" t="str">
        <f t="shared" si="4"/>
        <v/>
      </c>
      <c r="AA8" s="144">
        <f>IF(SUM(V8:Z8)=0,0,Setup!F$44/SUM(V8:Z8))</f>
        <v>0</v>
      </c>
    </row>
    <row r="9" spans="1:27" hidden="1" x14ac:dyDescent="0.2">
      <c r="A9" s="48">
        <f>Matchups!E6</f>
        <v>7</v>
      </c>
      <c r="B9" s="240"/>
      <c r="C9" s="241"/>
      <c r="D9" s="241"/>
      <c r="E9" s="241"/>
      <c r="F9" s="241"/>
      <c r="G9" s="241"/>
      <c r="H9" s="241"/>
      <c r="I9" s="241"/>
      <c r="J9" s="242"/>
      <c r="K9" s="13"/>
      <c r="M9" s="91"/>
      <c r="N9" s="426"/>
      <c r="O9" s="8"/>
      <c r="P9" s="164"/>
      <c r="Q9" s="66"/>
      <c r="R9" s="66"/>
      <c r="S9" s="66"/>
      <c r="T9" s="154"/>
      <c r="V9" s="2" t="str">
        <f t="shared" si="0"/>
        <v/>
      </c>
      <c r="W9" s="2" t="str">
        <f t="shared" si="1"/>
        <v/>
      </c>
      <c r="X9" s="2" t="str">
        <f t="shared" si="2"/>
        <v/>
      </c>
      <c r="Y9" s="2" t="str">
        <f t="shared" si="3"/>
        <v/>
      </c>
      <c r="Z9" s="2" t="str">
        <f t="shared" si="4"/>
        <v/>
      </c>
      <c r="AA9" s="144">
        <f>IF(SUM(V9:Z9)=0,0,Setup!F$44/SUM(V9:Z9))</f>
        <v>0</v>
      </c>
    </row>
    <row r="10" spans="1:27" x14ac:dyDescent="0.2">
      <c r="A10" s="48" t="str">
        <f>Matchups!E7</f>
        <v>Hunter</v>
      </c>
      <c r="B10" s="240">
        <f>'Day 2B - Match 8'!B10</f>
        <v>7</v>
      </c>
      <c r="C10" s="241">
        <f>'Day 2B - Match 8'!C10</f>
        <v>3</v>
      </c>
      <c r="D10" s="241">
        <f>'Day 2B - Match 8'!D10</f>
        <v>9</v>
      </c>
      <c r="E10" s="241">
        <f>'Day 2B - Match 8'!E10</f>
        <v>3</v>
      </c>
      <c r="F10" s="241">
        <f>'Day 2B - Match 8'!F10</f>
        <v>6</v>
      </c>
      <c r="G10" s="241">
        <f>'Day 2B - Match 8'!G10</f>
        <v>4</v>
      </c>
      <c r="H10" s="241">
        <f>'Day 2B - Match 8'!H10</f>
        <v>5</v>
      </c>
      <c r="I10" s="241">
        <f>'Day 2B - Match 8'!I10</f>
        <v>4</v>
      </c>
      <c r="J10" s="242">
        <f>'Day 2B - Match 8'!J10</f>
        <v>5</v>
      </c>
      <c r="K10" s="13">
        <f t="shared" si="5"/>
        <v>46</v>
      </c>
      <c r="M10" s="91" t="str">
        <f>A18</f>
        <v>Brian P</v>
      </c>
      <c r="N10" s="426">
        <f>K18</f>
        <v>47</v>
      </c>
      <c r="O10" s="8">
        <f>K83</f>
        <v>2</v>
      </c>
      <c r="P10" s="164"/>
      <c r="Q10" s="66"/>
      <c r="R10" s="66"/>
      <c r="S10" s="66"/>
      <c r="T10" s="154"/>
      <c r="V10" s="2" t="str">
        <f t="shared" si="0"/>
        <v/>
      </c>
      <c r="W10" s="2" t="str">
        <f t="shared" si="1"/>
        <v/>
      </c>
      <c r="X10" s="2" t="str">
        <f t="shared" si="2"/>
        <v/>
      </c>
      <c r="Y10" s="2" t="str">
        <f t="shared" si="3"/>
        <v/>
      </c>
      <c r="Z10" s="2" t="str">
        <f t="shared" si="4"/>
        <v/>
      </c>
      <c r="AA10" s="144">
        <f>IF(SUM(V10:Z10)=0,0,Setup!F$44/SUM(V10:Z10))</f>
        <v>0</v>
      </c>
    </row>
    <row r="11" spans="1:27" hidden="1" x14ac:dyDescent="0.2">
      <c r="A11" s="48">
        <f>Matchups!E8</f>
        <v>7</v>
      </c>
      <c r="B11" s="240"/>
      <c r="C11" s="241"/>
      <c r="D11" s="241"/>
      <c r="E11" s="241"/>
      <c r="F11" s="241"/>
      <c r="G11" s="241"/>
      <c r="H11" s="241"/>
      <c r="I11" s="241"/>
      <c r="J11" s="242"/>
      <c r="K11" s="13"/>
      <c r="M11" s="91"/>
      <c r="N11" s="426"/>
      <c r="O11" s="8"/>
      <c r="P11" s="164"/>
      <c r="Q11" s="66"/>
      <c r="R11" s="66"/>
      <c r="S11" s="66"/>
      <c r="T11" s="154"/>
      <c r="V11" s="2" t="str">
        <f t="shared" si="0"/>
        <v/>
      </c>
      <c r="W11" s="2" t="str">
        <f t="shared" si="1"/>
        <v/>
      </c>
      <c r="X11" s="2" t="str">
        <f t="shared" si="2"/>
        <v/>
      </c>
      <c r="Y11" s="2" t="str">
        <f t="shared" si="3"/>
        <v/>
      </c>
      <c r="Z11" s="2" t="str">
        <f t="shared" si="4"/>
        <v/>
      </c>
      <c r="AA11" s="144">
        <f>IF(SUM(V11:Z11)=0,0,Setup!F$44/SUM(V11:Z11))</f>
        <v>0</v>
      </c>
    </row>
    <row r="12" spans="1:27" ht="13.5" thickBot="1" x14ac:dyDescent="0.25">
      <c r="A12" s="236" t="str">
        <f>Matchups!E9</f>
        <v>Chris</v>
      </c>
      <c r="B12" s="240">
        <f>'Day 2B - Match 8'!B12</f>
        <v>5</v>
      </c>
      <c r="C12" s="241">
        <f>'Day 2B - Match 8'!C12</f>
        <v>4</v>
      </c>
      <c r="D12" s="241">
        <f>'Day 2B - Match 8'!D12</f>
        <v>8</v>
      </c>
      <c r="E12" s="241">
        <f>'Day 2B - Match 8'!E12</f>
        <v>6</v>
      </c>
      <c r="F12" s="241">
        <f>'Day 2B - Match 8'!F12</f>
        <v>9</v>
      </c>
      <c r="G12" s="241">
        <f>'Day 2B - Match 8'!G12</f>
        <v>5</v>
      </c>
      <c r="H12" s="241">
        <f>'Day 2B - Match 8'!H12</f>
        <v>6</v>
      </c>
      <c r="I12" s="241">
        <f>'Day 2B - Match 8'!I12</f>
        <v>8</v>
      </c>
      <c r="J12" s="242">
        <f>'Day 2B - Match 8'!J12</f>
        <v>6</v>
      </c>
      <c r="K12" s="14">
        <f t="shared" si="5"/>
        <v>57</v>
      </c>
      <c r="M12" s="91" t="str">
        <f>A22</f>
        <v xml:space="preserve">Pat </v>
      </c>
      <c r="N12" s="426">
        <f>K22</f>
        <v>48</v>
      </c>
      <c r="O12" s="8">
        <f>K96</f>
        <v>2</v>
      </c>
      <c r="P12" s="164"/>
      <c r="Q12" s="66"/>
      <c r="R12" s="66"/>
      <c r="S12" s="66"/>
      <c r="T12" s="154"/>
      <c r="V12" s="2" t="str">
        <f t="shared" si="0"/>
        <v/>
      </c>
      <c r="W12" s="2" t="str">
        <f t="shared" si="1"/>
        <v/>
      </c>
      <c r="X12" s="2" t="str">
        <f t="shared" si="2"/>
        <v/>
      </c>
      <c r="Y12" s="2" t="str">
        <f t="shared" si="3"/>
        <v/>
      </c>
      <c r="Z12" s="2" t="str">
        <f t="shared" si="4"/>
        <v/>
      </c>
      <c r="AA12" s="144">
        <f>IF(SUM(V12:Z12)=0,0,Setup!F$44/SUM(V12:Z12))</f>
        <v>0</v>
      </c>
    </row>
    <row r="13" spans="1:27" ht="13.5" hidden="1" thickBot="1" x14ac:dyDescent="0.25">
      <c r="A13" s="72">
        <f>Matchups!E10</f>
        <v>15</v>
      </c>
      <c r="B13" s="243"/>
      <c r="C13" s="244"/>
      <c r="D13" s="244"/>
      <c r="E13" s="244"/>
      <c r="F13" s="244"/>
      <c r="G13" s="244"/>
      <c r="H13" s="244"/>
      <c r="I13" s="244"/>
      <c r="J13" s="245"/>
      <c r="K13" s="250"/>
      <c r="M13" s="133"/>
      <c r="N13" s="427"/>
      <c r="O13" s="70"/>
      <c r="P13" s="165"/>
      <c r="Q13" s="155"/>
      <c r="R13" s="155"/>
      <c r="S13" s="155"/>
      <c r="T13" s="156"/>
      <c r="V13" s="2" t="str">
        <f t="shared" si="0"/>
        <v/>
      </c>
      <c r="W13" s="2" t="str">
        <f t="shared" si="1"/>
        <v/>
      </c>
      <c r="X13" s="2" t="str">
        <f t="shared" si="2"/>
        <v/>
      </c>
      <c r="Y13" s="2" t="str">
        <f t="shared" si="3"/>
        <v/>
      </c>
      <c r="Z13" s="2" t="str">
        <f t="shared" si="4"/>
        <v/>
      </c>
      <c r="AA13" s="144">
        <f>IF(SUM(V13:Z13)=0,0,Setup!F$44/SUM(V13:Z13))</f>
        <v>0</v>
      </c>
    </row>
    <row r="14" spans="1:27" x14ac:dyDescent="0.2">
      <c r="A14" s="21" t="str">
        <f>Matchups!E11</f>
        <v>Bob</v>
      </c>
      <c r="B14" s="539">
        <f>'Day 2B - Match 8'!B14</f>
        <v>4</v>
      </c>
      <c r="C14" s="238">
        <f>'Day 2B - Match 8'!C14</f>
        <v>6</v>
      </c>
      <c r="D14" s="238">
        <f>'Day 2B - Match 8'!D14</f>
        <v>7</v>
      </c>
      <c r="E14" s="238">
        <f>'Day 2B - Match 8'!E14</f>
        <v>6</v>
      </c>
      <c r="F14" s="238">
        <f>'Day 2B - Match 8'!F14</f>
        <v>6</v>
      </c>
      <c r="G14" s="238">
        <f>'Day 2B - Match 8'!G14</f>
        <v>7</v>
      </c>
      <c r="H14" s="238">
        <f>'Day 2B - Match 8'!H14</f>
        <v>5</v>
      </c>
      <c r="I14" s="238">
        <f>'Day 2B - Match 8'!I14</f>
        <v>6</v>
      </c>
      <c r="J14" s="239">
        <f>'Day 2B - Match 8'!J14</f>
        <v>4</v>
      </c>
      <c r="K14" s="12">
        <f t="shared" si="5"/>
        <v>51</v>
      </c>
      <c r="M14" s="226" t="str">
        <f>A8</f>
        <v>Rick</v>
      </c>
      <c r="N14" s="428">
        <f>K8</f>
        <v>46</v>
      </c>
      <c r="O14" s="5">
        <f>K63</f>
        <v>1</v>
      </c>
      <c r="P14" s="162"/>
      <c r="Q14" s="65"/>
      <c r="R14" s="65"/>
      <c r="S14" s="65"/>
      <c r="T14" s="153"/>
      <c r="V14" s="2" t="str">
        <f t="shared" si="0"/>
        <v/>
      </c>
      <c r="W14" s="2" t="str">
        <f t="shared" si="1"/>
        <v/>
      </c>
      <c r="X14" s="2" t="str">
        <f t="shared" si="2"/>
        <v/>
      </c>
      <c r="Y14" s="2" t="str">
        <f t="shared" si="3"/>
        <v/>
      </c>
      <c r="Z14" s="2" t="str">
        <f t="shared" si="4"/>
        <v/>
      </c>
      <c r="AA14" s="144">
        <f>IF(SUM(V14:Z14)=0,0,Setup!F$44/SUM(V14:Z14))</f>
        <v>0</v>
      </c>
    </row>
    <row r="15" spans="1:27" hidden="1" x14ac:dyDescent="0.2">
      <c r="A15" s="22">
        <f>Matchups!E12</f>
        <v>10</v>
      </c>
      <c r="B15" s="526"/>
      <c r="C15" s="241"/>
      <c r="D15" s="241"/>
      <c r="E15" s="241"/>
      <c r="F15" s="241"/>
      <c r="G15" s="241"/>
      <c r="H15" s="241"/>
      <c r="I15" s="241"/>
      <c r="J15" s="242"/>
      <c r="K15" s="13"/>
      <c r="M15" s="227"/>
      <c r="N15" s="426"/>
      <c r="O15" s="8"/>
      <c r="P15" s="164"/>
      <c r="Q15" s="66"/>
      <c r="R15" s="66"/>
      <c r="S15" s="66"/>
      <c r="T15" s="154"/>
      <c r="V15" s="2" t="str">
        <f t="shared" si="0"/>
        <v/>
      </c>
      <c r="W15" s="2" t="str">
        <f t="shared" si="1"/>
        <v/>
      </c>
      <c r="X15" s="2" t="str">
        <f t="shared" si="2"/>
        <v/>
      </c>
      <c r="Y15" s="2" t="str">
        <f t="shared" si="3"/>
        <v/>
      </c>
      <c r="Z15" s="2" t="str">
        <f t="shared" si="4"/>
        <v/>
      </c>
      <c r="AA15" s="144">
        <f>IF(SUM(V15:Z15)=0,0,Setup!F$44/SUM(V15:Z15))</f>
        <v>0</v>
      </c>
    </row>
    <row r="16" spans="1:27" x14ac:dyDescent="0.2">
      <c r="A16" s="22" t="str">
        <f>Matchups!E13</f>
        <v>Dave</v>
      </c>
      <c r="B16" s="526">
        <f>'Day 2B - Match 8'!B16</f>
        <v>4</v>
      </c>
      <c r="C16" s="241">
        <f>'Day 2B - Match 8'!C16</f>
        <v>4</v>
      </c>
      <c r="D16" s="241">
        <f>'Day 2B - Match 8'!D16</f>
        <v>5</v>
      </c>
      <c r="E16" s="241">
        <f>'Day 2B - Match 8'!E16</f>
        <v>5</v>
      </c>
      <c r="F16" s="241">
        <f>'Day 2B - Match 8'!F16</f>
        <v>8</v>
      </c>
      <c r="G16" s="241">
        <f>'Day 2B - Match 8'!G16</f>
        <v>4</v>
      </c>
      <c r="H16" s="241">
        <f>'Day 2B - Match 8'!H16</f>
        <v>4</v>
      </c>
      <c r="I16" s="241">
        <f>'Day 2B - Match 8'!I16</f>
        <v>6</v>
      </c>
      <c r="J16" s="242">
        <f>'Day 2B - Match 8'!J16</f>
        <v>5</v>
      </c>
      <c r="K16" s="13">
        <f t="shared" si="5"/>
        <v>45</v>
      </c>
      <c r="M16" s="227" t="str">
        <f>A34</f>
        <v>Keith</v>
      </c>
      <c r="N16" s="426">
        <f>K34</f>
        <v>64</v>
      </c>
      <c r="O16" s="8">
        <f>K141</f>
        <v>0</v>
      </c>
      <c r="P16" s="164"/>
      <c r="Q16" s="66"/>
      <c r="R16" s="66"/>
      <c r="S16" s="66"/>
      <c r="T16" s="154"/>
      <c r="V16" s="2" t="str">
        <f t="shared" si="0"/>
        <v/>
      </c>
      <c r="W16" s="2" t="str">
        <f t="shared" si="1"/>
        <v/>
      </c>
      <c r="X16" s="2" t="str">
        <f t="shared" si="2"/>
        <v/>
      </c>
      <c r="Y16" s="2" t="str">
        <f t="shared" si="3"/>
        <v/>
      </c>
      <c r="Z16" s="2" t="str">
        <f t="shared" si="4"/>
        <v/>
      </c>
      <c r="AA16" s="144">
        <f>IF(SUM(V16:Z16)=0,0,Setup!F$44/SUM(V16:Z16))</f>
        <v>0</v>
      </c>
    </row>
    <row r="17" spans="1:27" hidden="1" x14ac:dyDescent="0.2">
      <c r="A17" s="22">
        <f>Matchups!E14</f>
        <v>5</v>
      </c>
      <c r="B17" s="526"/>
      <c r="C17" s="241"/>
      <c r="D17" s="241"/>
      <c r="E17" s="241"/>
      <c r="F17" s="241"/>
      <c r="G17" s="241"/>
      <c r="H17" s="241"/>
      <c r="I17" s="241"/>
      <c r="J17" s="242"/>
      <c r="K17" s="13"/>
      <c r="M17" s="227"/>
      <c r="N17" s="426"/>
      <c r="O17" s="8"/>
      <c r="P17" s="164"/>
      <c r="Q17" s="66"/>
      <c r="R17" s="66"/>
      <c r="S17" s="66"/>
      <c r="T17" s="154"/>
      <c r="V17" s="2" t="str">
        <f t="shared" si="0"/>
        <v/>
      </c>
      <c r="W17" s="2" t="str">
        <f t="shared" si="1"/>
        <v/>
      </c>
      <c r="X17" s="2" t="str">
        <f t="shared" si="2"/>
        <v/>
      </c>
      <c r="Y17" s="2" t="str">
        <f t="shared" si="3"/>
        <v/>
      </c>
      <c r="Z17" s="2" t="str">
        <f t="shared" si="4"/>
        <v/>
      </c>
      <c r="AA17" s="144">
        <f>IF(SUM(V17:Z17)=0,0,Setup!F$44/SUM(V17:Z17))</f>
        <v>0</v>
      </c>
    </row>
    <row r="18" spans="1:27" x14ac:dyDescent="0.2">
      <c r="A18" s="22" t="str">
        <f>Matchups!E15</f>
        <v>Brian P</v>
      </c>
      <c r="B18" s="526">
        <f>'Day 2B - Match 8'!B18</f>
        <v>6</v>
      </c>
      <c r="C18" s="241">
        <f>'Day 2B - Match 8'!C18</f>
        <v>5</v>
      </c>
      <c r="D18" s="241">
        <f>'Day 2B - Match 8'!D18</f>
        <v>5</v>
      </c>
      <c r="E18" s="241">
        <f>'Day 2B - Match 8'!E18</f>
        <v>4</v>
      </c>
      <c r="F18" s="241">
        <f>'Day 2B - Match 8'!F18</f>
        <v>6</v>
      </c>
      <c r="G18" s="241">
        <f>'Day 2B - Match 8'!G18</f>
        <v>6</v>
      </c>
      <c r="H18" s="241">
        <f>'Day 2B - Match 8'!H18</f>
        <v>3</v>
      </c>
      <c r="I18" s="241">
        <f>'Day 2B - Match 8'!I18</f>
        <v>5</v>
      </c>
      <c r="J18" s="242">
        <f>'Day 2B - Match 8'!J18</f>
        <v>7</v>
      </c>
      <c r="K18" s="13">
        <f t="shared" si="5"/>
        <v>47</v>
      </c>
      <c r="M18" s="227" t="str">
        <f>A24</f>
        <v>Tony W</v>
      </c>
      <c r="N18" s="426">
        <f>K24</f>
        <v>57</v>
      </c>
      <c r="O18" s="8">
        <f>K115</f>
        <v>0</v>
      </c>
      <c r="P18" s="164"/>
      <c r="Q18" s="66"/>
      <c r="R18" s="66"/>
      <c r="S18" s="66"/>
      <c r="T18" s="154"/>
      <c r="V18" s="2" t="str">
        <f t="shared" si="0"/>
        <v/>
      </c>
      <c r="W18" s="2" t="str">
        <f t="shared" si="1"/>
        <v/>
      </c>
      <c r="X18" s="2" t="str">
        <f t="shared" si="2"/>
        <v/>
      </c>
      <c r="Y18" s="2" t="str">
        <f t="shared" si="3"/>
        <v/>
      </c>
      <c r="Z18" s="2" t="str">
        <f t="shared" si="4"/>
        <v/>
      </c>
      <c r="AA18" s="144">
        <f>IF(SUM(V18:Z18)=0,0,Setup!F$44/SUM(V18:Z18))</f>
        <v>0</v>
      </c>
    </row>
    <row r="19" spans="1:27" hidden="1" x14ac:dyDescent="0.2">
      <c r="A19" s="409">
        <f>Matchups!E16</f>
        <v>6</v>
      </c>
      <c r="B19" s="540"/>
      <c r="C19" s="244"/>
      <c r="D19" s="244"/>
      <c r="E19" s="244"/>
      <c r="F19" s="244"/>
      <c r="G19" s="244"/>
      <c r="H19" s="244"/>
      <c r="I19" s="244"/>
      <c r="J19" s="245"/>
      <c r="K19" s="229"/>
      <c r="M19" s="334"/>
      <c r="N19" s="427"/>
      <c r="O19" s="70"/>
      <c r="P19" s="165"/>
      <c r="Q19" s="155"/>
      <c r="R19" s="155"/>
      <c r="S19" s="155"/>
      <c r="T19" s="156"/>
      <c r="V19" s="2" t="str">
        <f t="shared" si="0"/>
        <v/>
      </c>
      <c r="W19" s="2" t="str">
        <f t="shared" si="1"/>
        <v/>
      </c>
      <c r="X19" s="2" t="str">
        <f t="shared" si="2"/>
        <v/>
      </c>
      <c r="Y19" s="2" t="str">
        <f t="shared" si="3"/>
        <v/>
      </c>
      <c r="Z19" s="2" t="str">
        <f t="shared" si="4"/>
        <v/>
      </c>
      <c r="AA19" s="144">
        <f>IF(SUM(V19:Z19)=0,0,Setup!F$44/SUM(V19:Z19))</f>
        <v>0</v>
      </c>
    </row>
    <row r="20" spans="1:27" ht="13.5" thickBot="1" x14ac:dyDescent="0.25">
      <c r="A20" s="22" t="str">
        <f>Matchups!E17</f>
        <v>Manny</v>
      </c>
      <c r="B20" s="526">
        <f>'Day 2B - Match 8'!B20</f>
        <v>9</v>
      </c>
      <c r="C20" s="241">
        <f>'Day 2B - Match 8'!C20</f>
        <v>8</v>
      </c>
      <c r="D20" s="241">
        <f>'Day 2B - Match 8'!D20</f>
        <v>9</v>
      </c>
      <c r="E20" s="241">
        <f>'Day 2B - Match 8'!E20</f>
        <v>7</v>
      </c>
      <c r="F20" s="241">
        <f>'Day 2B - Match 8'!F20</f>
        <v>10</v>
      </c>
      <c r="G20" s="241">
        <f>'Day 2B - Match 8'!G20</f>
        <v>4</v>
      </c>
      <c r="H20" s="241">
        <f>'Day 2B - Match 8'!H20</f>
        <v>8</v>
      </c>
      <c r="I20" s="241">
        <f>'Day 2B - Match 8'!I20</f>
        <v>8</v>
      </c>
      <c r="J20" s="242">
        <f>'Day 2B - Match 8'!J20</f>
        <v>8</v>
      </c>
      <c r="K20" s="13">
        <f t="shared" si="5"/>
        <v>71</v>
      </c>
      <c r="M20" s="227" t="str">
        <f>A20</f>
        <v>Manny</v>
      </c>
      <c r="N20" s="426">
        <f>K20</f>
        <v>71</v>
      </c>
      <c r="O20" s="8">
        <f>K76</f>
        <v>0</v>
      </c>
      <c r="P20" s="164"/>
      <c r="Q20" s="66"/>
      <c r="R20" s="66"/>
      <c r="S20" s="66"/>
      <c r="T20" s="154"/>
      <c r="V20" s="2" t="str">
        <f t="shared" si="0"/>
        <v/>
      </c>
      <c r="W20" s="2" t="str">
        <f t="shared" si="1"/>
        <v/>
      </c>
      <c r="X20" s="2" t="str">
        <f t="shared" si="2"/>
        <v/>
      </c>
      <c r="Y20" s="2" t="str">
        <f t="shared" si="3"/>
        <v/>
      </c>
      <c r="Z20" s="2" t="str">
        <f t="shared" si="4"/>
        <v/>
      </c>
      <c r="AA20" s="144">
        <f>IF(SUM(V20:Z20)=0,0,Setup!F$44/SUM(V20:Z20))</f>
        <v>0</v>
      </c>
    </row>
    <row r="21" spans="1:27" ht="13.5" hidden="1" thickBot="1" x14ac:dyDescent="0.25">
      <c r="A21" s="409">
        <f>Matchups!E18</f>
        <v>14</v>
      </c>
      <c r="B21" s="540"/>
      <c r="C21" s="244"/>
      <c r="D21" s="244"/>
      <c r="E21" s="244"/>
      <c r="F21" s="244"/>
      <c r="G21" s="244"/>
      <c r="H21" s="244"/>
      <c r="I21" s="244"/>
      <c r="J21" s="245"/>
      <c r="K21" s="229"/>
      <c r="M21" s="334"/>
      <c r="N21" s="427"/>
      <c r="O21" s="70"/>
      <c r="P21" s="165"/>
      <c r="Q21" s="155"/>
      <c r="R21" s="155"/>
      <c r="S21" s="155"/>
      <c r="T21" s="156"/>
      <c r="V21" s="2" t="str">
        <f t="shared" si="0"/>
        <v/>
      </c>
      <c r="W21" s="2" t="str">
        <f t="shared" si="1"/>
        <v/>
      </c>
      <c r="X21" s="2" t="str">
        <f t="shared" si="2"/>
        <v/>
      </c>
      <c r="Y21" s="2" t="str">
        <f t="shared" si="3"/>
        <v/>
      </c>
      <c r="Z21" s="2" t="str">
        <f t="shared" si="4"/>
        <v/>
      </c>
      <c r="AA21" s="144">
        <f>IF(SUM(V21:Z21)=0,0,Setup!F$44/SUM(V21:Z21))</f>
        <v>0</v>
      </c>
    </row>
    <row r="22" spans="1:27" x14ac:dyDescent="0.2">
      <c r="A22" s="21" t="str">
        <f>Matchups!E19</f>
        <v xml:space="preserve">Pat </v>
      </c>
      <c r="B22" s="539">
        <f>'Day 2B - Match 8'!B22</f>
        <v>6</v>
      </c>
      <c r="C22" s="238">
        <f>'Day 2B - Match 8'!C22</f>
        <v>5</v>
      </c>
      <c r="D22" s="238">
        <f>'Day 2B - Match 8'!D22</f>
        <v>7</v>
      </c>
      <c r="E22" s="238">
        <f>'Day 2B - Match 8'!E22</f>
        <v>5</v>
      </c>
      <c r="F22" s="238">
        <f>'Day 2B - Match 8'!F22</f>
        <v>6</v>
      </c>
      <c r="G22" s="238">
        <f>'Day 2B - Match 8'!G22</f>
        <v>4</v>
      </c>
      <c r="H22" s="238">
        <f>'Day 2B - Match 8'!H22</f>
        <v>5</v>
      </c>
      <c r="I22" s="238">
        <f>'Day 2B - Match 8'!I22</f>
        <v>5</v>
      </c>
      <c r="J22" s="239">
        <f>'Day 2B - Match 8'!J22</f>
        <v>5</v>
      </c>
      <c r="K22" s="12">
        <f t="shared" si="5"/>
        <v>48</v>
      </c>
      <c r="M22" s="226" t="str">
        <f>A26</f>
        <v>Tommy</v>
      </c>
      <c r="N22" s="428">
        <f>K26</f>
        <v>41</v>
      </c>
      <c r="O22" s="5">
        <f>K109</f>
        <v>2</v>
      </c>
      <c r="P22" s="162"/>
      <c r="Q22" s="65"/>
      <c r="R22" s="65"/>
      <c r="S22" s="65"/>
      <c r="T22" s="153"/>
      <c r="V22" s="2" t="str">
        <f t="shared" si="0"/>
        <v/>
      </c>
      <c r="W22" s="2" t="str">
        <f t="shared" si="1"/>
        <v/>
      </c>
      <c r="X22" s="2" t="str">
        <f t="shared" si="2"/>
        <v/>
      </c>
      <c r="Y22" s="2" t="str">
        <f t="shared" si="3"/>
        <v/>
      </c>
      <c r="Z22" s="2" t="str">
        <f t="shared" si="4"/>
        <v/>
      </c>
      <c r="AA22" s="144">
        <f>IF(SUM(V22:Z22)=0,0,Setup!F$44/SUM(V22:Z22))</f>
        <v>0</v>
      </c>
    </row>
    <row r="23" spans="1:27" hidden="1" x14ac:dyDescent="0.2">
      <c r="A23" s="22">
        <f>Matchups!E20</f>
        <v>6</v>
      </c>
      <c r="B23" s="526"/>
      <c r="C23" s="241"/>
      <c r="D23" s="241"/>
      <c r="E23" s="241"/>
      <c r="F23" s="241"/>
      <c r="G23" s="241"/>
      <c r="H23" s="241"/>
      <c r="I23" s="241"/>
      <c r="J23" s="242"/>
      <c r="K23" s="13"/>
      <c r="M23" s="227"/>
      <c r="N23" s="426"/>
      <c r="O23" s="8"/>
      <c r="P23" s="164"/>
      <c r="Q23" s="66"/>
      <c r="R23" s="66"/>
      <c r="S23" s="66"/>
      <c r="T23" s="154"/>
      <c r="V23" s="2" t="str">
        <f t="shared" si="0"/>
        <v/>
      </c>
      <c r="W23" s="2" t="str">
        <f t="shared" si="1"/>
        <v/>
      </c>
      <c r="X23" s="2" t="str">
        <f t="shared" si="2"/>
        <v/>
      </c>
      <c r="Y23" s="2" t="str">
        <f t="shared" si="3"/>
        <v/>
      </c>
      <c r="Z23" s="2" t="str">
        <f t="shared" si="4"/>
        <v/>
      </c>
      <c r="AA23" s="144">
        <f>IF(SUM(V23:Z23)=0,0,Setup!F$44/SUM(V23:Z23))</f>
        <v>0</v>
      </c>
    </row>
    <row r="24" spans="1:27" x14ac:dyDescent="0.2">
      <c r="A24" s="22" t="str">
        <f>Matchups!E21</f>
        <v>Tony W</v>
      </c>
      <c r="B24" s="526">
        <f>'Day 2B - Match 8'!B24</f>
        <v>9</v>
      </c>
      <c r="C24" s="241">
        <f>'Day 2B - Match 8'!C24</f>
        <v>4</v>
      </c>
      <c r="D24" s="241">
        <f>'Day 2B - Match 8'!D24</f>
        <v>6</v>
      </c>
      <c r="E24" s="241">
        <f>'Day 2B - Match 8'!E24</f>
        <v>5</v>
      </c>
      <c r="F24" s="241">
        <f>'Day 2B - Match 8'!F24</f>
        <v>7</v>
      </c>
      <c r="G24" s="241">
        <f>'Day 2B - Match 8'!G24</f>
        <v>5</v>
      </c>
      <c r="H24" s="241">
        <f>'Day 2B - Match 8'!H24</f>
        <v>5</v>
      </c>
      <c r="I24" s="241">
        <f>'Day 2B - Match 8'!I24</f>
        <v>8</v>
      </c>
      <c r="J24" s="242">
        <f>'Day 2B - Match 8'!J24</f>
        <v>8</v>
      </c>
      <c r="K24" s="13">
        <f t="shared" si="5"/>
        <v>57</v>
      </c>
      <c r="M24" s="227" t="str">
        <f>A16</f>
        <v>Dave</v>
      </c>
      <c r="N24" s="426">
        <f>K16</f>
        <v>45</v>
      </c>
      <c r="O24" s="8">
        <f>K89</f>
        <v>0</v>
      </c>
      <c r="P24" s="164"/>
      <c r="Q24" s="66"/>
      <c r="R24" s="66"/>
      <c r="S24" s="66"/>
      <c r="T24" s="154"/>
      <c r="V24" s="2" t="str">
        <f t="shared" si="0"/>
        <v/>
      </c>
      <c r="W24" s="2" t="str">
        <f t="shared" si="1"/>
        <v/>
      </c>
      <c r="X24" s="2" t="str">
        <f t="shared" si="2"/>
        <v/>
      </c>
      <c r="Y24" s="2" t="str">
        <f t="shared" si="3"/>
        <v/>
      </c>
      <c r="Z24" s="2" t="str">
        <f t="shared" si="4"/>
        <v/>
      </c>
      <c r="AA24" s="144">
        <f>IF(SUM(V24:Z24)=0,0,Setup!F$44/SUM(V24:Z24))</f>
        <v>0</v>
      </c>
    </row>
    <row r="25" spans="1:27" hidden="1" x14ac:dyDescent="0.2">
      <c r="A25" s="22">
        <f>Matchups!E22</f>
        <v>10</v>
      </c>
      <c r="B25" s="526"/>
      <c r="C25" s="241"/>
      <c r="D25" s="241"/>
      <c r="E25" s="241"/>
      <c r="F25" s="241"/>
      <c r="G25" s="241"/>
      <c r="H25" s="241"/>
      <c r="I25" s="241"/>
      <c r="J25" s="242"/>
      <c r="K25" s="13"/>
      <c r="M25" s="227"/>
      <c r="N25" s="426"/>
      <c r="O25" s="8"/>
      <c r="P25" s="164"/>
      <c r="Q25" s="66"/>
      <c r="R25" s="66"/>
      <c r="S25" s="66"/>
      <c r="T25" s="154"/>
      <c r="V25" s="2" t="str">
        <f t="shared" si="0"/>
        <v/>
      </c>
      <c r="W25" s="2" t="str">
        <f t="shared" si="1"/>
        <v/>
      </c>
      <c r="X25" s="2" t="str">
        <f t="shared" si="2"/>
        <v/>
      </c>
      <c r="Y25" s="2" t="str">
        <f t="shared" si="3"/>
        <v/>
      </c>
      <c r="Z25" s="2" t="str">
        <f t="shared" si="4"/>
        <v/>
      </c>
      <c r="AA25" s="144">
        <f>IF(SUM(V25:Z25)=0,0,Setup!F$44/SUM(V25:Z25))</f>
        <v>0</v>
      </c>
    </row>
    <row r="26" spans="1:27" x14ac:dyDescent="0.2">
      <c r="A26" s="22" t="str">
        <f>Matchups!E23</f>
        <v>Tommy</v>
      </c>
      <c r="B26" s="526">
        <f>'Day 2B - Match 8'!B26</f>
        <v>3</v>
      </c>
      <c r="C26" s="241">
        <f>'Day 2B - Match 8'!C26</f>
        <v>4</v>
      </c>
      <c r="D26" s="241">
        <f>'Day 2B - Match 8'!D26</f>
        <v>6</v>
      </c>
      <c r="E26" s="241">
        <f>'Day 2B - Match 8'!E26</f>
        <v>5</v>
      </c>
      <c r="F26" s="241">
        <f>'Day 2B - Match 8'!F26</f>
        <v>6</v>
      </c>
      <c r="G26" s="241">
        <f>'Day 2B - Match 8'!G26</f>
        <v>4</v>
      </c>
      <c r="H26" s="241">
        <f>'Day 2B - Match 8'!H26</f>
        <v>5</v>
      </c>
      <c r="I26" s="241">
        <f>'Day 2B - Match 8'!I26</f>
        <v>4</v>
      </c>
      <c r="J26" s="242">
        <f>'Day 2B - Match 8'!J26</f>
        <v>4</v>
      </c>
      <c r="K26" s="13">
        <f t="shared" si="5"/>
        <v>41</v>
      </c>
      <c r="M26" s="227" t="str">
        <f>A10</f>
        <v>Hunter</v>
      </c>
      <c r="N26" s="426">
        <f>K10</f>
        <v>46</v>
      </c>
      <c r="O26" s="8">
        <f>K57</f>
        <v>1</v>
      </c>
      <c r="P26" s="164"/>
      <c r="Q26" s="66"/>
      <c r="R26" s="66"/>
      <c r="S26" s="66"/>
      <c r="T26" s="154"/>
      <c r="V26" s="2" t="str">
        <f t="shared" si="0"/>
        <v/>
      </c>
      <c r="W26" s="2" t="str">
        <f t="shared" si="1"/>
        <v/>
      </c>
      <c r="X26" s="2" t="str">
        <f t="shared" si="2"/>
        <v/>
      </c>
      <c r="Y26" s="2" t="str">
        <f t="shared" si="3"/>
        <v/>
      </c>
      <c r="Z26" s="2" t="str">
        <f t="shared" si="4"/>
        <v/>
      </c>
      <c r="AA26" s="144">
        <f>IF(SUM(V26:Z26)=0,0,Setup!F$44/SUM(V26:Z26))</f>
        <v>0</v>
      </c>
    </row>
    <row r="27" spans="1:27" hidden="1" x14ac:dyDescent="0.2">
      <c r="A27" s="22">
        <f>Matchups!E24</f>
        <v>5</v>
      </c>
      <c r="B27" s="526"/>
      <c r="C27" s="241"/>
      <c r="D27" s="241"/>
      <c r="E27" s="241"/>
      <c r="F27" s="241"/>
      <c r="G27" s="241"/>
      <c r="H27" s="241"/>
      <c r="I27" s="241"/>
      <c r="J27" s="242"/>
      <c r="K27" s="13"/>
      <c r="M27" s="227"/>
      <c r="N27" s="426"/>
      <c r="O27" s="8"/>
      <c r="P27" s="164"/>
      <c r="Q27" s="66"/>
      <c r="R27" s="66"/>
      <c r="S27" s="66"/>
      <c r="T27" s="154"/>
      <c r="V27" s="2" t="str">
        <f t="shared" si="0"/>
        <v/>
      </c>
      <c r="W27" s="2" t="str">
        <f t="shared" si="1"/>
        <v/>
      </c>
      <c r="X27" s="2" t="str">
        <f t="shared" si="2"/>
        <v/>
      </c>
      <c r="Y27" s="2" t="str">
        <f t="shared" si="3"/>
        <v/>
      </c>
      <c r="Z27" s="2" t="str">
        <f t="shared" si="4"/>
        <v/>
      </c>
      <c r="AA27" s="144">
        <f>IF(SUM(V27:Z27)=0,0,Setup!F$44/SUM(V27:Z27))</f>
        <v>0</v>
      </c>
    </row>
    <row r="28" spans="1:27" ht="13.5" thickBot="1" x14ac:dyDescent="0.25">
      <c r="A28" s="23" t="str">
        <f>Matchups!E25</f>
        <v>Patrick</v>
      </c>
      <c r="B28" s="527">
        <f>'Day 2B - Match 8'!B28</f>
        <v>5</v>
      </c>
      <c r="C28" s="247">
        <f>'Day 2B - Match 8'!C28</f>
        <v>5</v>
      </c>
      <c r="D28" s="247">
        <f>'Day 2B - Match 8'!D28</f>
        <v>6</v>
      </c>
      <c r="E28" s="247">
        <f>'Day 2B - Match 8'!E28</f>
        <v>5</v>
      </c>
      <c r="F28" s="247">
        <f>'Day 2B - Match 8'!F28</f>
        <v>8</v>
      </c>
      <c r="G28" s="247">
        <f>'Day 2B - Match 8'!G28</f>
        <v>5</v>
      </c>
      <c r="H28" s="247">
        <f>'Day 2B - Match 8'!H28</f>
        <v>7</v>
      </c>
      <c r="I28" s="247">
        <f>'Day 2B - Match 8'!I28</f>
        <v>4</v>
      </c>
      <c r="J28" s="248">
        <f>'Day 2B - Match 8'!J28</f>
        <v>6</v>
      </c>
      <c r="K28" s="14">
        <f t="shared" si="5"/>
        <v>51</v>
      </c>
      <c r="M28" s="227" t="str">
        <f>A36</f>
        <v>Gerald C</v>
      </c>
      <c r="N28" s="426">
        <f>K36</f>
        <v>57</v>
      </c>
      <c r="O28" s="8">
        <f>K128</f>
        <v>0</v>
      </c>
      <c r="P28" s="164"/>
      <c r="Q28" s="66"/>
      <c r="R28" s="66"/>
      <c r="S28" s="66"/>
      <c r="T28" s="154"/>
      <c r="V28" s="2" t="str">
        <f t="shared" si="0"/>
        <v/>
      </c>
      <c r="W28" s="2" t="str">
        <f t="shared" si="1"/>
        <v/>
      </c>
      <c r="X28" s="2" t="str">
        <f t="shared" si="2"/>
        <v/>
      </c>
      <c r="Y28" s="2" t="str">
        <f t="shared" si="3"/>
        <v/>
      </c>
      <c r="Z28" s="2" t="str">
        <f t="shared" si="4"/>
        <v/>
      </c>
      <c r="AA28" s="144">
        <f>IF(SUM(V28:Z28)=0,0,Setup!F$44/SUM(V28:Z28))</f>
        <v>0</v>
      </c>
    </row>
    <row r="29" spans="1:27" ht="13.5" hidden="1" thickBot="1" x14ac:dyDescent="0.25">
      <c r="A29" s="400">
        <f>Matchups!E26</f>
        <v>8</v>
      </c>
      <c r="B29" s="124"/>
      <c r="C29" s="125"/>
      <c r="D29" s="125"/>
      <c r="E29" s="125"/>
      <c r="F29" s="125"/>
      <c r="G29" s="125"/>
      <c r="H29" s="125"/>
      <c r="I29" s="125"/>
      <c r="J29" s="126"/>
      <c r="K29" s="250"/>
      <c r="M29" s="334"/>
      <c r="N29" s="427"/>
      <c r="O29" s="70"/>
      <c r="P29" s="165"/>
      <c r="Q29" s="155"/>
      <c r="R29" s="155"/>
      <c r="S29" s="155"/>
      <c r="T29" s="156"/>
      <c r="V29" s="2" t="str">
        <f t="shared" si="0"/>
        <v/>
      </c>
      <c r="W29" s="2" t="str">
        <f t="shared" si="1"/>
        <v/>
      </c>
      <c r="X29" s="2" t="str">
        <f t="shared" si="2"/>
        <v/>
      </c>
      <c r="Y29" s="2" t="str">
        <f t="shared" si="3"/>
        <v/>
      </c>
      <c r="Z29" s="2" t="str">
        <f t="shared" si="4"/>
        <v/>
      </c>
      <c r="AA29" s="144">
        <f>IF(SUM(V29:Z29)=0,0,Setup!F$44/SUM(V29:Z29))</f>
        <v>0</v>
      </c>
    </row>
    <row r="30" spans="1:27" x14ac:dyDescent="0.2">
      <c r="A30" s="21" t="str">
        <f>Matchups!E27</f>
        <v>Mil</v>
      </c>
      <c r="B30" s="539">
        <f>'Day 2B - Match 8'!B30</f>
        <v>4</v>
      </c>
      <c r="C30" s="238">
        <f>'Day 2B - Match 8'!C30</f>
        <v>4</v>
      </c>
      <c r="D30" s="238">
        <f>'Day 2B - Match 8'!D30</f>
        <v>5</v>
      </c>
      <c r="E30" s="238">
        <f>'Day 2B - Match 8'!E30</f>
        <v>5</v>
      </c>
      <c r="F30" s="238">
        <f>'Day 2B - Match 8'!F30</f>
        <v>8</v>
      </c>
      <c r="G30" s="238">
        <f>'Day 2B - Match 8'!G30</f>
        <v>5</v>
      </c>
      <c r="H30" s="238">
        <f>'Day 2B - Match 8'!H30</f>
        <v>5</v>
      </c>
      <c r="I30" s="238">
        <f>'Day 2B - Match 8'!I30</f>
        <v>7</v>
      </c>
      <c r="J30" s="544">
        <f>'Day 2B - Match 8'!J30</f>
        <v>7</v>
      </c>
      <c r="K30" s="5">
        <f>SUM(B30:J30)</f>
        <v>50</v>
      </c>
      <c r="M30" s="226" t="str">
        <f>A14</f>
        <v>Bob</v>
      </c>
      <c r="N30" s="428">
        <f>K14</f>
        <v>51</v>
      </c>
      <c r="O30" s="5">
        <f>K70</f>
        <v>2</v>
      </c>
      <c r="P30" s="162"/>
      <c r="Q30" s="65"/>
      <c r="R30" s="65"/>
      <c r="S30" s="65"/>
      <c r="T30" s="153"/>
      <c r="V30" s="2" t="str">
        <f t="shared" si="0"/>
        <v/>
      </c>
      <c r="W30" s="2" t="str">
        <f t="shared" si="1"/>
        <v/>
      </c>
      <c r="X30" s="2" t="str">
        <f t="shared" si="2"/>
        <v/>
      </c>
      <c r="Y30" s="2" t="str">
        <f t="shared" si="3"/>
        <v/>
      </c>
      <c r="Z30" s="2" t="str">
        <f t="shared" si="4"/>
        <v/>
      </c>
      <c r="AA30" s="144">
        <f>IF(SUM(V30:Z30)=0,0,Setup!F$44/SUM(V30:Z30))</f>
        <v>0</v>
      </c>
    </row>
    <row r="31" spans="1:27" hidden="1" x14ac:dyDescent="0.2">
      <c r="A31" s="22">
        <f>Matchups!E28</f>
        <v>6</v>
      </c>
      <c r="B31" s="526"/>
      <c r="C31" s="241"/>
      <c r="D31" s="241"/>
      <c r="E31" s="241"/>
      <c r="F31" s="241"/>
      <c r="G31" s="241"/>
      <c r="H31" s="241"/>
      <c r="I31" s="241"/>
      <c r="J31" s="542"/>
      <c r="K31" s="8"/>
      <c r="M31" s="227"/>
      <c r="N31" s="426"/>
      <c r="O31" s="8"/>
      <c r="P31" s="164"/>
      <c r="Q31" s="66"/>
      <c r="R31" s="66"/>
      <c r="S31" s="66"/>
      <c r="T31" s="154"/>
      <c r="V31" s="2" t="str">
        <f t="shared" si="0"/>
        <v/>
      </c>
      <c r="W31" s="2" t="str">
        <f t="shared" si="1"/>
        <v/>
      </c>
      <c r="X31" s="2" t="str">
        <f t="shared" si="2"/>
        <v/>
      </c>
      <c r="Y31" s="2" t="str">
        <f t="shared" si="3"/>
        <v/>
      </c>
      <c r="Z31" s="2" t="str">
        <f t="shared" si="4"/>
        <v/>
      </c>
      <c r="AA31" s="144">
        <f>IF(SUM(V31:Z31)=0,0,Setup!F$44/SUM(V31:Z31))</f>
        <v>0</v>
      </c>
    </row>
    <row r="32" spans="1:27" x14ac:dyDescent="0.2">
      <c r="A32" s="22" t="str">
        <f>Matchups!E29</f>
        <v>Brian S</v>
      </c>
      <c r="B32" s="526">
        <f>'Day 2B - Match 8'!B32</f>
        <v>6</v>
      </c>
      <c r="C32" s="241">
        <f>'Day 2B - Match 8'!C32</f>
        <v>3</v>
      </c>
      <c r="D32" s="241">
        <f>'Day 2B - Match 8'!D32</f>
        <v>7</v>
      </c>
      <c r="E32" s="241">
        <f>'Day 2B - Match 8'!E32</f>
        <v>6</v>
      </c>
      <c r="F32" s="241">
        <f>'Day 2B - Match 8'!F32</f>
        <v>6</v>
      </c>
      <c r="G32" s="241">
        <f>'Day 2B - Match 8'!G32</f>
        <v>5</v>
      </c>
      <c r="H32" s="241">
        <f>'Day 2B - Match 8'!H32</f>
        <v>6</v>
      </c>
      <c r="I32" s="241">
        <f>'Day 2B - Match 8'!I32</f>
        <v>5</v>
      </c>
      <c r="J32" s="542">
        <f>'Day 2B - Match 8'!J32</f>
        <v>7</v>
      </c>
      <c r="K32" s="8">
        <f>SUM(B32:J32)</f>
        <v>51</v>
      </c>
      <c r="M32" s="227" t="str">
        <f>A28</f>
        <v>Patrick</v>
      </c>
      <c r="N32" s="426">
        <f>K28</f>
        <v>51</v>
      </c>
      <c r="O32" s="8">
        <f>K102</f>
        <v>0</v>
      </c>
      <c r="P32" s="164"/>
      <c r="Q32" s="66"/>
      <c r="R32" s="66"/>
      <c r="S32" s="66"/>
      <c r="T32" s="154"/>
      <c r="V32" s="2" t="str">
        <f t="shared" si="0"/>
        <v/>
      </c>
      <c r="W32" s="2" t="str">
        <f t="shared" si="1"/>
        <v/>
      </c>
      <c r="X32" s="2" t="str">
        <f t="shared" si="2"/>
        <v/>
      </c>
      <c r="Y32" s="2" t="str">
        <f t="shared" si="3"/>
        <v/>
      </c>
      <c r="Z32" s="2" t="str">
        <f t="shared" si="4"/>
        <v/>
      </c>
      <c r="AA32" s="144">
        <f>IF(SUM(V32:Z32)=0,0,Setup!F$44/SUM(V32:Z32))</f>
        <v>0</v>
      </c>
    </row>
    <row r="33" spans="1:27" hidden="1" x14ac:dyDescent="0.2">
      <c r="A33" s="22">
        <f>Matchups!E30</f>
        <v>13</v>
      </c>
      <c r="B33" s="526"/>
      <c r="C33" s="241"/>
      <c r="D33" s="241"/>
      <c r="E33" s="241"/>
      <c r="F33" s="241"/>
      <c r="G33" s="241"/>
      <c r="H33" s="241"/>
      <c r="I33" s="241"/>
      <c r="J33" s="542"/>
      <c r="K33" s="8"/>
      <c r="M33" s="227"/>
      <c r="N33" s="8"/>
      <c r="O33" s="8"/>
      <c r="P33" s="164"/>
      <c r="Q33" s="66"/>
      <c r="R33" s="66"/>
      <c r="S33" s="66"/>
      <c r="T33" s="154"/>
      <c r="V33" s="2" t="str">
        <f t="shared" si="0"/>
        <v/>
      </c>
      <c r="W33" s="2" t="str">
        <f t="shared" si="1"/>
        <v/>
      </c>
      <c r="X33" s="2" t="str">
        <f t="shared" si="2"/>
        <v/>
      </c>
      <c r="Y33" s="2" t="str">
        <f t="shared" si="3"/>
        <v/>
      </c>
      <c r="Z33" s="2" t="str">
        <f t="shared" si="4"/>
        <v/>
      </c>
      <c r="AA33" s="144">
        <f>IF(SUM(V33:Z33)=0,0,Setup!F$44/SUM(V33:Z33))</f>
        <v>0</v>
      </c>
    </row>
    <row r="34" spans="1:27" s="425" customFormat="1" x14ac:dyDescent="0.2">
      <c r="A34" s="22" t="str">
        <f>Matchups!E31</f>
        <v>Keith</v>
      </c>
      <c r="B34" s="526">
        <f>'Day 2B - Match 8'!B34</f>
        <v>7</v>
      </c>
      <c r="C34" s="241">
        <f>'Day 2B - Match 8'!C34</f>
        <v>4</v>
      </c>
      <c r="D34" s="241">
        <f>'Day 2B - Match 8'!D34</f>
        <v>8</v>
      </c>
      <c r="E34" s="241">
        <f>'Day 2B - Match 8'!E34</f>
        <v>8</v>
      </c>
      <c r="F34" s="241">
        <f>'Day 2B - Match 8'!F34</f>
        <v>9</v>
      </c>
      <c r="G34" s="241">
        <f>'Day 2B - Match 8'!G34</f>
        <v>6</v>
      </c>
      <c r="H34" s="241">
        <f>'Day 2B - Match 8'!H34</f>
        <v>6</v>
      </c>
      <c r="I34" s="241">
        <f>'Day 2B - Match 8'!I34</f>
        <v>7</v>
      </c>
      <c r="J34" s="542">
        <f>'Day 2B - Match 8'!J34</f>
        <v>9</v>
      </c>
      <c r="K34" s="8">
        <f>SUM(B34:J34)</f>
        <v>64</v>
      </c>
      <c r="M34" s="227" t="str">
        <f>A32</f>
        <v>Brian S</v>
      </c>
      <c r="N34" s="528">
        <f>K32</f>
        <v>51</v>
      </c>
      <c r="O34" s="528">
        <f>K135</f>
        <v>2</v>
      </c>
      <c r="P34" s="164"/>
      <c r="Q34" s="66"/>
      <c r="R34" s="66"/>
      <c r="S34" s="66"/>
      <c r="T34" s="154"/>
      <c r="V34" s="2" t="str">
        <f t="shared" si="0"/>
        <v/>
      </c>
      <c r="W34" s="2" t="str">
        <f t="shared" si="1"/>
        <v/>
      </c>
      <c r="X34" s="2" t="str">
        <f t="shared" si="2"/>
        <v/>
      </c>
      <c r="Y34" s="2" t="str">
        <f t="shared" si="3"/>
        <v/>
      </c>
      <c r="Z34" s="2" t="str">
        <f t="shared" si="4"/>
        <v/>
      </c>
      <c r="AA34" s="144">
        <f>IF(SUM(V34:Z34)=0,0,Setup!F$44/SUM(V34:Z34))</f>
        <v>0</v>
      </c>
    </row>
    <row r="35" spans="1:27" s="425" customFormat="1" hidden="1" x14ac:dyDescent="0.2">
      <c r="A35" s="22">
        <f>Matchups!E32</f>
        <v>16</v>
      </c>
      <c r="B35" s="526"/>
      <c r="C35" s="241"/>
      <c r="D35" s="241"/>
      <c r="E35" s="241"/>
      <c r="F35" s="241"/>
      <c r="G35" s="241"/>
      <c r="H35" s="241"/>
      <c r="I35" s="241"/>
      <c r="J35" s="542"/>
      <c r="K35" s="545"/>
      <c r="M35" s="227"/>
      <c r="N35" s="528"/>
      <c r="O35" s="528"/>
      <c r="P35" s="164"/>
      <c r="Q35" s="66"/>
      <c r="R35" s="66"/>
      <c r="S35" s="66"/>
      <c r="T35" s="154"/>
      <c r="V35" s="2" t="str">
        <f t="shared" si="0"/>
        <v/>
      </c>
      <c r="W35" s="2" t="str">
        <f t="shared" si="1"/>
        <v/>
      </c>
      <c r="X35" s="2" t="str">
        <f t="shared" si="2"/>
        <v/>
      </c>
      <c r="Y35" s="2" t="str">
        <f t="shared" si="3"/>
        <v/>
      </c>
      <c r="Z35" s="2" t="str">
        <f t="shared" si="4"/>
        <v/>
      </c>
      <c r="AA35" s="144">
        <f>IF(SUM(V35:Z35)=0,0,Setup!F$44/SUM(V35:Z35))</f>
        <v>0</v>
      </c>
    </row>
    <row r="36" spans="1:27" s="425" customFormat="1" ht="13.5" thickBot="1" x14ac:dyDescent="0.25">
      <c r="A36" s="23" t="str">
        <f>Matchups!E33</f>
        <v>Gerald C</v>
      </c>
      <c r="B36" s="527">
        <f>'Day 2B - Match 8'!B36</f>
        <v>9</v>
      </c>
      <c r="C36" s="247">
        <f>'Day 2B - Match 8'!C36</f>
        <v>5</v>
      </c>
      <c r="D36" s="247">
        <f>'Day 2B - Match 8'!D36</f>
        <v>5</v>
      </c>
      <c r="E36" s="247">
        <f>'Day 2B - Match 8'!E36</f>
        <v>7</v>
      </c>
      <c r="F36" s="247">
        <f>'Day 2B - Match 8'!F36</f>
        <v>6</v>
      </c>
      <c r="G36" s="247">
        <f>'Day 2B - Match 8'!G36</f>
        <v>7</v>
      </c>
      <c r="H36" s="247">
        <f>'Day 2B - Match 8'!H36</f>
        <v>6</v>
      </c>
      <c r="I36" s="247">
        <f>'Day 2B - Match 8'!I36</f>
        <v>6</v>
      </c>
      <c r="J36" s="543">
        <f>'Day 2B - Match 8'!J36</f>
        <v>6</v>
      </c>
      <c r="K36" s="11">
        <f>SUM(B36:J36)</f>
        <v>57</v>
      </c>
      <c r="M36" s="228" t="str">
        <f>A12</f>
        <v>Chris</v>
      </c>
      <c r="N36" s="529">
        <f>K12</f>
        <v>57</v>
      </c>
      <c r="O36" s="529">
        <f>K50</f>
        <v>2</v>
      </c>
      <c r="P36" s="166"/>
      <c r="Q36" s="67"/>
      <c r="R36" s="67"/>
      <c r="S36" s="67"/>
      <c r="T36" s="157"/>
      <c r="V36" s="2" t="str">
        <f t="shared" si="0"/>
        <v/>
      </c>
      <c r="W36" s="2" t="str">
        <f t="shared" si="1"/>
        <v/>
      </c>
      <c r="X36" s="2" t="str">
        <f t="shared" si="2"/>
        <v/>
      </c>
      <c r="Y36" s="2" t="str">
        <f t="shared" si="3"/>
        <v/>
      </c>
      <c r="Z36" s="2" t="str">
        <f t="shared" si="4"/>
        <v/>
      </c>
      <c r="AA36" s="144">
        <f>IF(SUM(V36:Z36)=0,0,Setup!F$44/SUM(V36:Z36))</f>
        <v>0</v>
      </c>
    </row>
    <row r="37" spans="1:27" s="425" customFormat="1" ht="13.5" hidden="1" thickBot="1" x14ac:dyDescent="0.25">
      <c r="A37" s="679">
        <f>Matchups!E34</f>
        <v>12</v>
      </c>
      <c r="B37" s="680"/>
      <c r="C37" s="681"/>
      <c r="D37" s="681"/>
      <c r="E37" s="681"/>
      <c r="F37" s="681"/>
      <c r="G37" s="681"/>
      <c r="H37" s="681"/>
      <c r="I37" s="681"/>
      <c r="J37" s="682"/>
      <c r="K37" s="546"/>
      <c r="M37" s="262"/>
      <c r="N37" s="530"/>
      <c r="O37" s="530"/>
      <c r="P37" s="163"/>
      <c r="Q37" s="158"/>
      <c r="R37" s="158"/>
      <c r="S37" s="158"/>
      <c r="T37" s="159"/>
      <c r="V37" s="2" t="str">
        <f t="shared" si="0"/>
        <v/>
      </c>
      <c r="W37" s="2" t="str">
        <f t="shared" si="1"/>
        <v/>
      </c>
      <c r="X37" s="2" t="str">
        <f t="shared" si="2"/>
        <v/>
      </c>
      <c r="Y37" s="2" t="str">
        <f t="shared" si="3"/>
        <v/>
      </c>
      <c r="Z37" s="2" t="str">
        <f t="shared" si="4"/>
        <v/>
      </c>
      <c r="AA37" s="144">
        <f>IF(SUM(V37:Z37)=0,0,Setup!F$44/SUM(V37:Z37))</f>
        <v>0</v>
      </c>
    </row>
    <row r="38" spans="1:27" x14ac:dyDescent="0.2">
      <c r="A38" s="26"/>
      <c r="B38" s="15"/>
      <c r="C38" s="15"/>
      <c r="D38" s="15"/>
      <c r="E38" s="15"/>
      <c r="F38" s="15"/>
      <c r="G38" s="15"/>
      <c r="H38" s="15"/>
      <c r="I38" s="15"/>
      <c r="J38" s="15"/>
      <c r="K38" s="15"/>
      <c r="AA38" s="139"/>
    </row>
    <row r="39" spans="1:27" x14ac:dyDescent="0.2">
      <c r="A39" s="26"/>
      <c r="S39" s="52">
        <f>COUNTIF(S6:S37,1)</f>
        <v>0</v>
      </c>
    </row>
    <row r="40" spans="1:27" ht="13.5" thickBot="1" x14ac:dyDescent="0.25">
      <c r="A40" s="24" t="s">
        <v>8</v>
      </c>
    </row>
    <row r="41" spans="1:27" x14ac:dyDescent="0.2">
      <c r="A41" s="79" t="str">
        <f t="shared" ref="A41:J41" si="6">A6</f>
        <v>John</v>
      </c>
      <c r="B41" s="17">
        <f t="shared" si="6"/>
        <v>7</v>
      </c>
      <c r="C41" s="3">
        <f t="shared" si="6"/>
        <v>5</v>
      </c>
      <c r="D41" s="3">
        <f t="shared" si="6"/>
        <v>6</v>
      </c>
      <c r="E41" s="3">
        <f t="shared" si="6"/>
        <v>6</v>
      </c>
      <c r="F41" s="3">
        <f t="shared" si="6"/>
        <v>7</v>
      </c>
      <c r="G41" s="3">
        <f t="shared" si="6"/>
        <v>5</v>
      </c>
      <c r="H41" s="3">
        <f t="shared" si="6"/>
        <v>9</v>
      </c>
      <c r="I41" s="3">
        <f t="shared" si="6"/>
        <v>4</v>
      </c>
      <c r="J41" s="4">
        <f t="shared" si="6"/>
        <v>6</v>
      </c>
      <c r="K41" s="12">
        <f>SUM(B41:J41)</f>
        <v>55</v>
      </c>
    </row>
    <row r="42" spans="1:27" x14ac:dyDescent="0.2">
      <c r="A42" s="80">
        <f>A7</f>
        <v>7</v>
      </c>
      <c r="B42" s="18">
        <f>IF(AND(ISNUMBER($A42),ISNUMBER($A48)),IF((RANK(B$4,$B$4:$J$4,1))&lt;=($A42-$A48),1,0),"")</f>
        <v>0</v>
      </c>
      <c r="C42" s="6">
        <f t="shared" ref="C42:J43" si="7">IF(AND(ISNUMBER($A42),ISNUMBER($A48)),IF((RANK(C$4,$B$4:$J$4,1))&lt;=($A42-$A48),1,0),"")</f>
        <v>0</v>
      </c>
      <c r="D42" s="6">
        <f t="shared" si="7"/>
        <v>0</v>
      </c>
      <c r="E42" s="6">
        <f t="shared" si="7"/>
        <v>0</v>
      </c>
      <c r="F42" s="6">
        <f t="shared" si="7"/>
        <v>0</v>
      </c>
      <c r="G42" s="6">
        <f t="shared" si="7"/>
        <v>0</v>
      </c>
      <c r="H42" s="6">
        <f t="shared" si="7"/>
        <v>0</v>
      </c>
      <c r="I42" s="6">
        <f t="shared" si="7"/>
        <v>0</v>
      </c>
      <c r="J42" s="7">
        <f t="shared" si="7"/>
        <v>0</v>
      </c>
      <c r="K42" s="8">
        <f>SUM(B42:J42)</f>
        <v>0</v>
      </c>
    </row>
    <row r="43" spans="1:27" x14ac:dyDescent="0.2">
      <c r="A43" s="80">
        <f>IF((A42-A48)&gt;9,(A42-A48-9),0)</f>
        <v>0</v>
      </c>
      <c r="B43" s="18">
        <f>IF(AND(ISNUMBER($A43),ISNUMBER($A49)),IF((RANK(B$4,$B$4:$J$4,1))&lt;=($A43-$A49),1,0),"")</f>
        <v>0</v>
      </c>
      <c r="C43" s="6">
        <f t="shared" si="7"/>
        <v>0</v>
      </c>
      <c r="D43" s="6">
        <f t="shared" si="7"/>
        <v>0</v>
      </c>
      <c r="E43" s="6">
        <f t="shared" si="7"/>
        <v>0</v>
      </c>
      <c r="F43" s="6">
        <f t="shared" si="7"/>
        <v>0</v>
      </c>
      <c r="G43" s="6">
        <f t="shared" si="7"/>
        <v>0</v>
      </c>
      <c r="H43" s="6">
        <f t="shared" si="7"/>
        <v>0</v>
      </c>
      <c r="I43" s="6">
        <f t="shared" si="7"/>
        <v>0</v>
      </c>
      <c r="J43" s="7">
        <f t="shared" si="7"/>
        <v>0</v>
      </c>
      <c r="K43" s="8">
        <f>SUM(B43:J43)</f>
        <v>0</v>
      </c>
    </row>
    <row r="44" spans="1:27" x14ac:dyDescent="0.2">
      <c r="A44" s="80"/>
      <c r="B44" s="82">
        <f>IF(AND(ISNUMBER(B41),ISNUMBER(B42)),B41-B42-B43," ")</f>
        <v>7</v>
      </c>
      <c r="C44" s="86">
        <f t="shared" ref="C44:J44" si="8">IF(AND(ISNUMBER(C41),ISNUMBER(C42)),C41-C42-C43," ")</f>
        <v>5</v>
      </c>
      <c r="D44" s="86">
        <f t="shared" si="8"/>
        <v>6</v>
      </c>
      <c r="E44" s="86">
        <f t="shared" si="8"/>
        <v>6</v>
      </c>
      <c r="F44" s="86">
        <f t="shared" si="8"/>
        <v>7</v>
      </c>
      <c r="G44" s="86">
        <f t="shared" si="8"/>
        <v>5</v>
      </c>
      <c r="H44" s="86">
        <f t="shared" si="8"/>
        <v>9</v>
      </c>
      <c r="I44" s="86">
        <f t="shared" si="8"/>
        <v>4</v>
      </c>
      <c r="J44" s="87">
        <f t="shared" si="8"/>
        <v>6</v>
      </c>
      <c r="K44" s="8">
        <f>IF(ISNUMBER(FIND("Wins",K45)), 2, IF(ISNUMBER(FIND("Tie",K45)), 1, 0))</f>
        <v>0</v>
      </c>
    </row>
    <row r="45" spans="1:27" ht="13.5" thickBot="1" x14ac:dyDescent="0.25">
      <c r="A45" s="81"/>
      <c r="B45" s="19">
        <f>IF(AND(ISNUMBER(B44),ISNUMBER(B50)),IF(B44&lt;B50, 0+1, (IF(B44&gt;B50, 0-1, 0)))," ")</f>
        <v>-1</v>
      </c>
      <c r="C45" s="9">
        <f t="shared" ref="C45:J45" si="9">IF(AND(ISNUMBER(C44),ISNUMBER(C50)),IF(C44&lt;C50, +B45+1, (IF(C44&gt;C50, +B45-1, +B45)))," ")</f>
        <v>-2</v>
      </c>
      <c r="D45" s="9">
        <f t="shared" si="9"/>
        <v>-1</v>
      </c>
      <c r="E45" s="9">
        <f t="shared" si="9"/>
        <v>-2</v>
      </c>
      <c r="F45" s="9">
        <f t="shared" si="9"/>
        <v>-1</v>
      </c>
      <c r="G45" s="9">
        <f t="shared" si="9"/>
        <v>-1</v>
      </c>
      <c r="H45" s="9">
        <f t="shared" si="9"/>
        <v>-2</v>
      </c>
      <c r="I45" s="9">
        <f t="shared" si="9"/>
        <v>-1</v>
      </c>
      <c r="J45" s="10">
        <f t="shared" si="9"/>
        <v>-2</v>
      </c>
      <c r="K45" s="11" t="str">
        <f>IF(ISNUMBER(J45),IF(F45&gt;4,"Wins " &amp; F45 &amp; " &amp; 4",IF(G45&gt;3,"Wins " &amp; G45 &amp; " &amp; 3",IF(H45&gt;2,"Wins " &amp; H45 &amp; " &amp; 2",IF(I45&gt;1,"Wins " &amp; I45 &amp; " &amp; 1",IF(J45&gt;J51,"Wins " &amp; J45 &amp; " Up",IF(J45&lt;J51,"Loss","Tie"))))))," ")</f>
        <v>Loss</v>
      </c>
    </row>
    <row r="46" spans="1:27" ht="13.5" thickBot="1" x14ac:dyDescent="0.25">
      <c r="A46" s="32"/>
    </row>
    <row r="47" spans="1:27" x14ac:dyDescent="0.2">
      <c r="A47" s="79" t="str">
        <f t="shared" ref="A47:J47" si="10">A12</f>
        <v>Chris</v>
      </c>
      <c r="B47" s="17">
        <f t="shared" si="10"/>
        <v>5</v>
      </c>
      <c r="C47" s="3">
        <f t="shared" si="10"/>
        <v>4</v>
      </c>
      <c r="D47" s="3">
        <f t="shared" si="10"/>
        <v>8</v>
      </c>
      <c r="E47" s="3">
        <f t="shared" si="10"/>
        <v>6</v>
      </c>
      <c r="F47" s="3">
        <f t="shared" si="10"/>
        <v>9</v>
      </c>
      <c r="G47" s="3">
        <f t="shared" si="10"/>
        <v>5</v>
      </c>
      <c r="H47" s="3">
        <f t="shared" si="10"/>
        <v>6</v>
      </c>
      <c r="I47" s="3">
        <f t="shared" si="10"/>
        <v>8</v>
      </c>
      <c r="J47" s="4">
        <f t="shared" si="10"/>
        <v>6</v>
      </c>
      <c r="K47" s="12">
        <f>SUM(B47:J47)</f>
        <v>57</v>
      </c>
    </row>
    <row r="48" spans="1:27" x14ac:dyDescent="0.2">
      <c r="A48" s="80">
        <f>A13</f>
        <v>15</v>
      </c>
      <c r="B48" s="18">
        <f>IF(AND(ISNUMBER($A42),ISNUMBER($A48)),IF((RANK(B$4,$B$4:$J$4,1))&lt;=($A48-$A42),1,0),"")</f>
        <v>1</v>
      </c>
      <c r="C48" s="6">
        <f t="shared" ref="C48:J49" si="11">IF(AND(ISNUMBER($A42),ISNUMBER($A48)),IF((RANK(C$4,$B$4:$J$4,1))&lt;=($A48-$A42),1,0),"")</f>
        <v>1</v>
      </c>
      <c r="D48" s="6">
        <f t="shared" si="11"/>
        <v>1</v>
      </c>
      <c r="E48" s="6">
        <f t="shared" si="11"/>
        <v>1</v>
      </c>
      <c r="F48" s="6">
        <f t="shared" si="11"/>
        <v>1</v>
      </c>
      <c r="G48" s="6">
        <f t="shared" si="11"/>
        <v>0</v>
      </c>
      <c r="H48" s="6">
        <f t="shared" si="11"/>
        <v>1</v>
      </c>
      <c r="I48" s="6">
        <f t="shared" si="11"/>
        <v>1</v>
      </c>
      <c r="J48" s="7">
        <f t="shared" si="11"/>
        <v>1</v>
      </c>
      <c r="K48" s="13">
        <f>SUM(B48:J48)</f>
        <v>8</v>
      </c>
    </row>
    <row r="49" spans="1:27" x14ac:dyDescent="0.2">
      <c r="A49" s="80">
        <f>IF((A48-A42)&gt;9,(A48-A42-9),0)</f>
        <v>0</v>
      </c>
      <c r="B49" s="18">
        <f>IF(AND(ISNUMBER($A43),ISNUMBER($A49)),IF((RANK(B$4,$B$4:$J$4,1))&lt;=($A49-$A43),1,0),"")</f>
        <v>0</v>
      </c>
      <c r="C49" s="6">
        <f t="shared" si="11"/>
        <v>0</v>
      </c>
      <c r="D49" s="6">
        <f t="shared" si="11"/>
        <v>0</v>
      </c>
      <c r="E49" s="6">
        <f t="shared" si="11"/>
        <v>0</v>
      </c>
      <c r="F49" s="6">
        <f t="shared" si="11"/>
        <v>0</v>
      </c>
      <c r="G49" s="6">
        <f t="shared" si="11"/>
        <v>0</v>
      </c>
      <c r="H49" s="6">
        <f t="shared" si="11"/>
        <v>0</v>
      </c>
      <c r="I49" s="6">
        <f t="shared" si="11"/>
        <v>0</v>
      </c>
      <c r="J49" s="7">
        <f t="shared" si="11"/>
        <v>0</v>
      </c>
      <c r="K49" s="13">
        <f>SUM(B49:J49)</f>
        <v>0</v>
      </c>
    </row>
    <row r="50" spans="1:27" x14ac:dyDescent="0.2">
      <c r="A50" s="80"/>
      <c r="B50" s="82">
        <f>IF(AND(ISNUMBER(B47),ISNUMBER(B48)),B47-B48-B49," ")</f>
        <v>4</v>
      </c>
      <c r="C50" s="83">
        <f t="shared" ref="C50:J50" si="12">IF(AND(ISNUMBER(C47),ISNUMBER(C48)),C47-C48-C49," ")</f>
        <v>3</v>
      </c>
      <c r="D50" s="83">
        <f t="shared" si="12"/>
        <v>7</v>
      </c>
      <c r="E50" s="83">
        <f t="shared" si="12"/>
        <v>5</v>
      </c>
      <c r="F50" s="83">
        <f t="shared" si="12"/>
        <v>8</v>
      </c>
      <c r="G50" s="83">
        <f t="shared" si="12"/>
        <v>5</v>
      </c>
      <c r="H50" s="83">
        <f t="shared" si="12"/>
        <v>5</v>
      </c>
      <c r="I50" s="83">
        <f t="shared" si="12"/>
        <v>7</v>
      </c>
      <c r="J50" s="84">
        <f t="shared" si="12"/>
        <v>5</v>
      </c>
      <c r="K50" s="13">
        <f>IF(ISNUMBER(FIND("Wins",K51)), 2, IF(ISNUMBER(FIND("Tie",K51)), 1, 0))</f>
        <v>2</v>
      </c>
    </row>
    <row r="51" spans="1:27" ht="13.5" thickBot="1" x14ac:dyDescent="0.25">
      <c r="A51" s="81"/>
      <c r="B51" s="19">
        <f>IF(AND(ISNUMBER(B44),ISNUMBER(B50)),IF(B50&lt;B44, 0+1, (IF(B50&gt;B44, 0-1, 0)))," ")</f>
        <v>1</v>
      </c>
      <c r="C51" s="9">
        <f t="shared" ref="C51:J51" si="13">IF(AND(ISNUMBER(C44),ISNUMBER(C50)),IF(C50&lt;C44, +B51+1, (IF(C50&gt;C44, +B51-1, +B51)))," ")</f>
        <v>2</v>
      </c>
      <c r="D51" s="9">
        <f t="shared" si="13"/>
        <v>1</v>
      </c>
      <c r="E51" s="9">
        <f t="shared" si="13"/>
        <v>2</v>
      </c>
      <c r="F51" s="9">
        <f t="shared" si="13"/>
        <v>1</v>
      </c>
      <c r="G51" s="9">
        <f t="shared" si="13"/>
        <v>1</v>
      </c>
      <c r="H51" s="9">
        <f t="shared" si="13"/>
        <v>2</v>
      </c>
      <c r="I51" s="9">
        <f t="shared" si="13"/>
        <v>1</v>
      </c>
      <c r="J51" s="10">
        <f t="shared" si="13"/>
        <v>2</v>
      </c>
      <c r="K51" s="14" t="str">
        <f>IF(ISNUMBER(J51),IF(F51&gt;4,"Wins " &amp; F51 &amp; " &amp; 4",IF(G51&gt;3,"Wins " &amp; G51 &amp; " &amp; 3",IF(H51&gt;2,"Wins " &amp; H51 &amp; " &amp; 2",IF(I51&gt;1,"Wins " &amp; I51 &amp; " &amp; 1",IF(J51&gt;J45,"Wins " &amp; J51 &amp; " Up",IF(J51&lt;J45,"Loss","Tie"))))))," ")</f>
        <v>Wins 2 Up</v>
      </c>
    </row>
    <row r="53" spans="1:27" s="16" customFormat="1" ht="13.5" thickBot="1" x14ac:dyDescent="0.25">
      <c r="A53" s="24" t="s">
        <v>9</v>
      </c>
      <c r="B53" s="2"/>
      <c r="C53" s="2"/>
      <c r="D53" s="2"/>
      <c r="E53" s="2"/>
      <c r="F53" s="2"/>
      <c r="G53" s="2"/>
      <c r="H53" s="2"/>
      <c r="I53" s="2"/>
      <c r="J53" s="2"/>
      <c r="K53" s="2"/>
      <c r="N53" s="15"/>
      <c r="O53" s="15"/>
      <c r="P53" s="59"/>
      <c r="Q53" s="59"/>
      <c r="R53" s="59"/>
      <c r="S53" s="59"/>
      <c r="T53" s="59"/>
      <c r="W53" s="15"/>
      <c r="X53" s="15"/>
      <c r="Y53" s="15"/>
      <c r="Z53" s="15"/>
      <c r="AA53" s="15"/>
    </row>
    <row r="54" spans="1:27" s="16" customFormat="1" x14ac:dyDescent="0.2">
      <c r="A54" s="29" t="str">
        <f t="shared" ref="A54:J54" si="14">A10</f>
        <v>Hunter</v>
      </c>
      <c r="B54" s="17">
        <f t="shared" si="14"/>
        <v>7</v>
      </c>
      <c r="C54" s="3">
        <f t="shared" si="14"/>
        <v>3</v>
      </c>
      <c r="D54" s="3">
        <f t="shared" si="14"/>
        <v>9</v>
      </c>
      <c r="E54" s="3">
        <f t="shared" si="14"/>
        <v>3</v>
      </c>
      <c r="F54" s="3">
        <f t="shared" si="14"/>
        <v>6</v>
      </c>
      <c r="G54" s="3">
        <f t="shared" si="14"/>
        <v>4</v>
      </c>
      <c r="H54" s="3">
        <f t="shared" si="14"/>
        <v>5</v>
      </c>
      <c r="I54" s="3">
        <f t="shared" si="14"/>
        <v>4</v>
      </c>
      <c r="J54" s="4">
        <f t="shared" si="14"/>
        <v>5</v>
      </c>
      <c r="K54" s="12">
        <f>SUM(B54:J54)</f>
        <v>46</v>
      </c>
      <c r="N54" s="15"/>
      <c r="O54" s="15"/>
      <c r="P54" s="59"/>
      <c r="Q54" s="59"/>
      <c r="R54" s="59"/>
      <c r="S54" s="59"/>
      <c r="T54" s="59"/>
      <c r="W54" s="15"/>
      <c r="X54" s="15"/>
      <c r="Y54" s="15"/>
      <c r="Z54" s="15"/>
      <c r="AA54" s="15"/>
    </row>
    <row r="55" spans="1:27" s="16" customFormat="1" x14ac:dyDescent="0.2">
      <c r="A55" s="30">
        <f>A11</f>
        <v>7</v>
      </c>
      <c r="B55" s="18">
        <f>IF(AND(ISNUMBER($A55),ISNUMBER($A61)),IF((RANK(B$4,$B$4:$J$4,1))&lt;=($A55-$A61),1,0),"")</f>
        <v>0</v>
      </c>
      <c r="C55" s="6">
        <f t="shared" ref="C55:J56" si="15">IF(AND(ISNUMBER($A55),ISNUMBER($A61)),IF((RANK(C$4,$B$4:$J$4,1))&lt;=($A55-$A61),1,0),"")</f>
        <v>0</v>
      </c>
      <c r="D55" s="6">
        <f t="shared" si="15"/>
        <v>0</v>
      </c>
      <c r="E55" s="6">
        <f t="shared" si="15"/>
        <v>0</v>
      </c>
      <c r="F55" s="6">
        <f t="shared" si="15"/>
        <v>0</v>
      </c>
      <c r="G55" s="6">
        <f t="shared" si="15"/>
        <v>0</v>
      </c>
      <c r="H55" s="6">
        <f t="shared" si="15"/>
        <v>0</v>
      </c>
      <c r="I55" s="6">
        <f t="shared" si="15"/>
        <v>0</v>
      </c>
      <c r="J55" s="7">
        <f t="shared" si="15"/>
        <v>0</v>
      </c>
      <c r="K55" s="13">
        <f>SUM(B55:J55)</f>
        <v>0</v>
      </c>
      <c r="N55" s="15"/>
      <c r="O55" s="15"/>
      <c r="P55" s="59"/>
      <c r="Q55" s="59"/>
      <c r="R55" s="59"/>
      <c r="S55" s="59"/>
      <c r="T55" s="59"/>
      <c r="W55" s="15"/>
      <c r="X55" s="15"/>
      <c r="Y55" s="15"/>
      <c r="Z55" s="15"/>
      <c r="AA55" s="15"/>
    </row>
    <row r="56" spans="1:27" s="16" customFormat="1" x14ac:dyDescent="0.2">
      <c r="A56" s="30">
        <f>IF((A55-A61)&gt;9,(A55-A61-9),0)</f>
        <v>0</v>
      </c>
      <c r="B56" s="18">
        <f>IF(AND(ISNUMBER($A56),ISNUMBER($A62)),IF((RANK(B$4,$B$4:$J$4,1))&lt;=($A56-$A62),1,0),"")</f>
        <v>0</v>
      </c>
      <c r="C56" s="6">
        <f t="shared" si="15"/>
        <v>0</v>
      </c>
      <c r="D56" s="6">
        <f t="shared" si="15"/>
        <v>0</v>
      </c>
      <c r="E56" s="6">
        <f t="shared" si="15"/>
        <v>0</v>
      </c>
      <c r="F56" s="6">
        <f t="shared" si="15"/>
        <v>0</v>
      </c>
      <c r="G56" s="6">
        <f t="shared" si="15"/>
        <v>0</v>
      </c>
      <c r="H56" s="6">
        <f t="shared" si="15"/>
        <v>0</v>
      </c>
      <c r="I56" s="6">
        <f t="shared" si="15"/>
        <v>0</v>
      </c>
      <c r="J56" s="7">
        <f t="shared" si="15"/>
        <v>0</v>
      </c>
      <c r="K56" s="13">
        <f>SUM(B56:J56)</f>
        <v>0</v>
      </c>
      <c r="N56" s="15"/>
      <c r="O56" s="15"/>
      <c r="P56" s="59"/>
      <c r="Q56" s="59"/>
      <c r="R56" s="59"/>
      <c r="S56" s="59"/>
      <c r="T56" s="59"/>
      <c r="W56" s="15"/>
      <c r="X56" s="15"/>
      <c r="Y56" s="15"/>
      <c r="Z56" s="15"/>
      <c r="AA56" s="15"/>
    </row>
    <row r="57" spans="1:27" s="16" customFormat="1" x14ac:dyDescent="0.2">
      <c r="A57" s="30"/>
      <c r="B57" s="82">
        <f>IF(AND(ISNUMBER(B54),ISNUMBER(B55)),B54-B55-B56," ")</f>
        <v>7</v>
      </c>
      <c r="C57" s="83">
        <f t="shared" ref="C57:J57" si="16">IF(AND(ISNUMBER(C54),ISNUMBER(C55)),C54-C55-C56," ")</f>
        <v>3</v>
      </c>
      <c r="D57" s="83">
        <f t="shared" si="16"/>
        <v>9</v>
      </c>
      <c r="E57" s="83">
        <f t="shared" si="16"/>
        <v>3</v>
      </c>
      <c r="F57" s="83">
        <f t="shared" si="16"/>
        <v>6</v>
      </c>
      <c r="G57" s="83">
        <f t="shared" si="16"/>
        <v>4</v>
      </c>
      <c r="H57" s="83">
        <f t="shared" si="16"/>
        <v>5</v>
      </c>
      <c r="I57" s="83">
        <f t="shared" si="16"/>
        <v>4</v>
      </c>
      <c r="J57" s="84">
        <f t="shared" si="16"/>
        <v>5</v>
      </c>
      <c r="K57" s="13">
        <f>IF(ISNUMBER(FIND("Wins",K58)), 2, IF(ISNUMBER(FIND("Tie",K58)), 1, 0))</f>
        <v>1</v>
      </c>
      <c r="N57" s="15"/>
      <c r="O57" s="15"/>
      <c r="P57" s="59"/>
      <c r="Q57" s="59"/>
      <c r="R57" s="59"/>
      <c r="S57" s="59"/>
      <c r="T57" s="59"/>
      <c r="W57" s="15"/>
      <c r="X57" s="15"/>
      <c r="Y57" s="15"/>
      <c r="Z57" s="15"/>
      <c r="AA57" s="15"/>
    </row>
    <row r="58" spans="1:27" s="16" customFormat="1" ht="13.5" thickBot="1" x14ac:dyDescent="0.25">
      <c r="A58" s="31"/>
      <c r="B58" s="19">
        <f>IF(AND(ISNUMBER(B57),ISNUMBER(B63)),IF(B57&lt;B63, 0+1, (IF(B57&gt;B63, 0-1, 0)))," ")</f>
        <v>0</v>
      </c>
      <c r="C58" s="9">
        <f t="shared" ref="C58:J58" si="17">IF(AND(ISNUMBER(C57),ISNUMBER(C63)),IF(C57&lt;C63, +B58+1, (IF(C57&gt;C63, +B58-1, +B58)))," ")</f>
        <v>0</v>
      </c>
      <c r="D58" s="9">
        <f t="shared" si="17"/>
        <v>-1</v>
      </c>
      <c r="E58" s="9">
        <f t="shared" si="17"/>
        <v>0</v>
      </c>
      <c r="F58" s="9">
        <f t="shared" si="17"/>
        <v>0</v>
      </c>
      <c r="G58" s="9">
        <f t="shared" si="17"/>
        <v>-1</v>
      </c>
      <c r="H58" s="9">
        <f t="shared" si="17"/>
        <v>-1</v>
      </c>
      <c r="I58" s="9">
        <f t="shared" si="17"/>
        <v>0</v>
      </c>
      <c r="J58" s="10">
        <f t="shared" si="17"/>
        <v>0</v>
      </c>
      <c r="K58" s="14" t="str">
        <f>IF(ISNUMBER(J58),IF(F58&gt;4,"Wins " &amp; F58 &amp; " &amp; 4",IF(G58&gt;3,"Wins " &amp; G58 &amp; " &amp; 3",IF(H58&gt;2,"Wins " &amp; H58 &amp; " &amp; 2",IF(I58&gt;1,"Wins " &amp; I58 &amp; " &amp; 1",IF(J58&gt;J64,"Wins " &amp; J58 &amp; " Up",IF(J58&lt;J64,"Loss","Tie"))))))," ")</f>
        <v>Tie</v>
      </c>
      <c r="N58" s="15"/>
      <c r="O58" s="15"/>
      <c r="P58" s="59"/>
      <c r="Q58" s="59"/>
      <c r="R58" s="59"/>
      <c r="S58" s="59"/>
      <c r="T58" s="59"/>
      <c r="W58" s="15"/>
      <c r="X58" s="15"/>
      <c r="Y58" s="15"/>
      <c r="Z58" s="15"/>
      <c r="AA58" s="15"/>
    </row>
    <row r="59" spans="1:27" s="16" customFormat="1" ht="13.5" thickBot="1" x14ac:dyDescent="0.25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N59" s="15"/>
      <c r="O59" s="15"/>
      <c r="P59" s="59"/>
      <c r="Q59" s="59"/>
      <c r="R59" s="59"/>
      <c r="S59" s="59"/>
      <c r="T59" s="59"/>
      <c r="W59" s="15"/>
      <c r="X59" s="15"/>
      <c r="Y59" s="15"/>
      <c r="Z59" s="15"/>
      <c r="AA59" s="15"/>
    </row>
    <row r="60" spans="1:27" s="16" customFormat="1" x14ac:dyDescent="0.2">
      <c r="A60" s="79" t="str">
        <f t="shared" ref="A60:J60" si="18">A8</f>
        <v>Rick</v>
      </c>
      <c r="B60" s="17">
        <f t="shared" si="18"/>
        <v>7</v>
      </c>
      <c r="C60" s="3">
        <f t="shared" si="18"/>
        <v>3</v>
      </c>
      <c r="D60" s="3">
        <f t="shared" si="18"/>
        <v>6</v>
      </c>
      <c r="E60" s="3">
        <f t="shared" si="18"/>
        <v>6</v>
      </c>
      <c r="F60" s="3">
        <f t="shared" si="18"/>
        <v>6</v>
      </c>
      <c r="G60" s="3">
        <f t="shared" si="18"/>
        <v>3</v>
      </c>
      <c r="H60" s="3">
        <f t="shared" si="18"/>
        <v>5</v>
      </c>
      <c r="I60" s="3">
        <f t="shared" si="18"/>
        <v>5</v>
      </c>
      <c r="J60" s="4">
        <f t="shared" si="18"/>
        <v>5</v>
      </c>
      <c r="K60" s="12">
        <f>SUM(B60:J60)</f>
        <v>46</v>
      </c>
      <c r="N60" s="15"/>
      <c r="O60" s="15"/>
      <c r="P60" s="59"/>
      <c r="Q60" s="59"/>
      <c r="R60" s="59"/>
      <c r="S60" s="59"/>
      <c r="T60" s="59"/>
      <c r="W60" s="15"/>
      <c r="X60" s="15"/>
      <c r="Y60" s="15"/>
      <c r="Z60" s="15"/>
      <c r="AA60" s="15"/>
    </row>
    <row r="61" spans="1:27" s="16" customFormat="1" x14ac:dyDescent="0.2">
      <c r="A61" s="80">
        <f>A9</f>
        <v>7</v>
      </c>
      <c r="B61" s="18">
        <f>IF(AND(ISNUMBER($A55),ISNUMBER($A61)),IF((RANK(B$4,$B$4:$J$4,1))&lt;=($A61-$A55),1,0),"")</f>
        <v>0</v>
      </c>
      <c r="C61" s="6">
        <f t="shared" ref="C61:J62" si="19">IF(AND(ISNUMBER($A55),ISNUMBER($A61)),IF((RANK(C$4,$B$4:$J$4,1))&lt;=($A61-$A55),1,0),"")</f>
        <v>0</v>
      </c>
      <c r="D61" s="6">
        <f t="shared" si="19"/>
        <v>0</v>
      </c>
      <c r="E61" s="6">
        <f t="shared" si="19"/>
        <v>0</v>
      </c>
      <c r="F61" s="6">
        <f t="shared" si="19"/>
        <v>0</v>
      </c>
      <c r="G61" s="6">
        <f t="shared" si="19"/>
        <v>0</v>
      </c>
      <c r="H61" s="6">
        <f t="shared" si="19"/>
        <v>0</v>
      </c>
      <c r="I61" s="6">
        <f t="shared" si="19"/>
        <v>0</v>
      </c>
      <c r="J61" s="7">
        <f t="shared" si="19"/>
        <v>0</v>
      </c>
      <c r="K61" s="13">
        <f>SUM(B61:J61)</f>
        <v>0</v>
      </c>
      <c r="N61" s="15"/>
      <c r="O61" s="15"/>
      <c r="P61" s="59"/>
      <c r="Q61" s="59"/>
      <c r="R61" s="59"/>
      <c r="S61" s="59"/>
      <c r="T61" s="59"/>
      <c r="W61" s="15"/>
      <c r="X61" s="15"/>
      <c r="Y61" s="15"/>
      <c r="Z61" s="15"/>
      <c r="AA61" s="15"/>
    </row>
    <row r="62" spans="1:27" s="16" customFormat="1" x14ac:dyDescent="0.2">
      <c r="A62" s="80">
        <f>IF((A61-A55)&gt;9,(A61-A55-9),0)</f>
        <v>0</v>
      </c>
      <c r="B62" s="18">
        <f>IF(AND(ISNUMBER($A56),ISNUMBER($A62)),IF((RANK(B$4,$B$4:$J$4,1))&lt;=($A62-$A56),1,0),"")</f>
        <v>0</v>
      </c>
      <c r="C62" s="6">
        <f t="shared" si="19"/>
        <v>0</v>
      </c>
      <c r="D62" s="6">
        <f t="shared" si="19"/>
        <v>0</v>
      </c>
      <c r="E62" s="6">
        <f t="shared" si="19"/>
        <v>0</v>
      </c>
      <c r="F62" s="6">
        <f t="shared" si="19"/>
        <v>0</v>
      </c>
      <c r="G62" s="6">
        <f t="shared" si="19"/>
        <v>0</v>
      </c>
      <c r="H62" s="6">
        <f t="shared" si="19"/>
        <v>0</v>
      </c>
      <c r="I62" s="6">
        <f t="shared" si="19"/>
        <v>0</v>
      </c>
      <c r="J62" s="7">
        <f t="shared" si="19"/>
        <v>0</v>
      </c>
      <c r="K62" s="13">
        <f>SUM(B62:J62)</f>
        <v>0</v>
      </c>
      <c r="N62" s="15"/>
      <c r="O62" s="15"/>
      <c r="P62" s="59"/>
      <c r="Q62" s="59"/>
      <c r="R62" s="59"/>
      <c r="S62" s="59"/>
      <c r="T62" s="59"/>
      <c r="W62" s="15"/>
      <c r="X62" s="15"/>
      <c r="Y62" s="15"/>
      <c r="Z62" s="15"/>
      <c r="AA62" s="15"/>
    </row>
    <row r="63" spans="1:27" s="16" customFormat="1" x14ac:dyDescent="0.2">
      <c r="A63" s="80"/>
      <c r="B63" s="82">
        <f>IF(AND(ISNUMBER(B60),ISNUMBER(B61)),B60-B61-B62," ")</f>
        <v>7</v>
      </c>
      <c r="C63" s="83">
        <f t="shared" ref="C63:J63" si="20">IF(AND(ISNUMBER(C60),ISNUMBER(C61)),C60-C61-C62," ")</f>
        <v>3</v>
      </c>
      <c r="D63" s="83">
        <f t="shared" si="20"/>
        <v>6</v>
      </c>
      <c r="E63" s="83">
        <f t="shared" si="20"/>
        <v>6</v>
      </c>
      <c r="F63" s="83">
        <f t="shared" si="20"/>
        <v>6</v>
      </c>
      <c r="G63" s="83">
        <f t="shared" si="20"/>
        <v>3</v>
      </c>
      <c r="H63" s="83">
        <f t="shared" si="20"/>
        <v>5</v>
      </c>
      <c r="I63" s="83">
        <f t="shared" si="20"/>
        <v>5</v>
      </c>
      <c r="J63" s="84">
        <f t="shared" si="20"/>
        <v>5</v>
      </c>
      <c r="K63" s="13">
        <f>IF(ISNUMBER(FIND("Wins",K64)), 2, IF(ISNUMBER(FIND("Tie",K64)), 1, 0))</f>
        <v>1</v>
      </c>
      <c r="N63" s="15"/>
      <c r="O63" s="15"/>
      <c r="P63" s="59"/>
      <c r="Q63" s="59"/>
      <c r="R63" s="59"/>
      <c r="S63" s="59"/>
      <c r="T63" s="59"/>
      <c r="W63" s="15"/>
      <c r="X63" s="15"/>
      <c r="Y63" s="15"/>
      <c r="Z63" s="15"/>
      <c r="AA63" s="15"/>
    </row>
    <row r="64" spans="1:27" s="16" customFormat="1" ht="13.5" thickBot="1" x14ac:dyDescent="0.25">
      <c r="A64" s="81"/>
      <c r="B64" s="19">
        <f>IF(AND(ISNUMBER(B57),ISNUMBER(B63)),IF(B63&lt;B57, 0+1, (IF(B63&gt;B57, 0-1, 0)))," ")</f>
        <v>0</v>
      </c>
      <c r="C64" s="9">
        <f t="shared" ref="C64:J64" si="21">IF(AND(ISNUMBER(C57),ISNUMBER(C63)),IF(C63&lt;C57, +B64+1, (IF(C63&gt;C57, +B64-1, +B64)))," ")</f>
        <v>0</v>
      </c>
      <c r="D64" s="9">
        <f t="shared" si="21"/>
        <v>1</v>
      </c>
      <c r="E64" s="9">
        <f t="shared" si="21"/>
        <v>0</v>
      </c>
      <c r="F64" s="9">
        <f t="shared" si="21"/>
        <v>0</v>
      </c>
      <c r="G64" s="9">
        <f t="shared" si="21"/>
        <v>1</v>
      </c>
      <c r="H64" s="9">
        <f t="shared" si="21"/>
        <v>1</v>
      </c>
      <c r="I64" s="9">
        <f t="shared" si="21"/>
        <v>0</v>
      </c>
      <c r="J64" s="10">
        <f t="shared" si="21"/>
        <v>0</v>
      </c>
      <c r="K64" s="14" t="str">
        <f>IF(ISNUMBER(J64),IF(F64&gt;4,"Wins " &amp; F64 &amp; " &amp; 4",IF(G64&gt;3,"Wins " &amp; G64 &amp; " &amp; 3",IF(H64&gt;2,"Wins " &amp; H64 &amp; " &amp; 2",IF(I64&gt;1,"Wins " &amp; I64 &amp; " &amp; 1",IF(J64&gt;J58,"Wins " &amp; J64 &amp; " Up",IF(J64&lt;J58,"Loss","Tie"))))))," ")</f>
        <v>Tie</v>
      </c>
      <c r="N64" s="15"/>
      <c r="O64" s="15"/>
      <c r="P64" s="59"/>
      <c r="Q64" s="59"/>
      <c r="R64" s="59"/>
      <c r="S64" s="59"/>
      <c r="T64" s="59"/>
      <c r="W64" s="15"/>
      <c r="X64" s="15"/>
      <c r="Y64" s="15"/>
      <c r="Z64" s="15"/>
      <c r="AA64" s="15"/>
    </row>
    <row r="65" spans="1:27" s="16" customFormat="1" x14ac:dyDescent="0.2">
      <c r="A65" s="25"/>
      <c r="B65" s="15"/>
      <c r="C65" s="15"/>
      <c r="D65" s="15"/>
      <c r="E65" s="15"/>
      <c r="F65" s="15"/>
      <c r="G65" s="15"/>
      <c r="H65" s="15"/>
      <c r="I65" s="15"/>
      <c r="J65" s="15"/>
      <c r="K65" s="15"/>
      <c r="N65" s="15"/>
      <c r="O65" s="15"/>
      <c r="P65" s="59"/>
      <c r="Q65" s="59"/>
      <c r="R65" s="59"/>
      <c r="S65" s="59"/>
      <c r="T65" s="59"/>
      <c r="W65" s="15"/>
      <c r="X65" s="15"/>
      <c r="Y65" s="15"/>
      <c r="Z65" s="15"/>
      <c r="AA65" s="15"/>
    </row>
    <row r="66" spans="1:27" s="16" customFormat="1" ht="13.5" thickBot="1" x14ac:dyDescent="0.25">
      <c r="A66" s="24" t="s">
        <v>10</v>
      </c>
      <c r="B66" s="2"/>
      <c r="C66" s="2"/>
      <c r="D66" s="2"/>
      <c r="E66" s="2"/>
      <c r="F66" s="2"/>
      <c r="G66" s="2"/>
      <c r="H66" s="2"/>
      <c r="I66" s="2"/>
      <c r="J66" s="2"/>
      <c r="K66" s="2"/>
      <c r="N66" s="15"/>
      <c r="O66" s="15"/>
      <c r="P66" s="59"/>
      <c r="Q66" s="59"/>
      <c r="R66" s="59"/>
      <c r="S66" s="59"/>
      <c r="T66" s="59"/>
      <c r="W66" s="15"/>
      <c r="X66" s="15"/>
      <c r="Y66" s="15"/>
      <c r="Z66" s="15"/>
      <c r="AA66" s="15"/>
    </row>
    <row r="67" spans="1:27" s="16" customFormat="1" x14ac:dyDescent="0.2">
      <c r="A67" s="79" t="str">
        <f t="shared" ref="A67:J67" si="22">A14</f>
        <v>Bob</v>
      </c>
      <c r="B67" s="17">
        <f t="shared" si="22"/>
        <v>4</v>
      </c>
      <c r="C67" s="3">
        <f t="shared" si="22"/>
        <v>6</v>
      </c>
      <c r="D67" s="3">
        <f t="shared" si="22"/>
        <v>7</v>
      </c>
      <c r="E67" s="3">
        <f t="shared" si="22"/>
        <v>6</v>
      </c>
      <c r="F67" s="3">
        <f t="shared" si="22"/>
        <v>6</v>
      </c>
      <c r="G67" s="3">
        <f t="shared" si="22"/>
        <v>7</v>
      </c>
      <c r="H67" s="3">
        <f t="shared" si="22"/>
        <v>5</v>
      </c>
      <c r="I67" s="3">
        <f t="shared" si="22"/>
        <v>6</v>
      </c>
      <c r="J67" s="4">
        <f t="shared" si="22"/>
        <v>4</v>
      </c>
      <c r="K67" s="12">
        <f>SUM(B67:J67)</f>
        <v>51</v>
      </c>
      <c r="N67" s="15"/>
      <c r="O67" s="15"/>
      <c r="P67" s="59"/>
      <c r="Q67" s="59"/>
      <c r="R67" s="59"/>
      <c r="S67" s="59"/>
      <c r="T67" s="59"/>
      <c r="W67" s="15"/>
      <c r="X67" s="15"/>
      <c r="Y67" s="15"/>
      <c r="Z67" s="15"/>
      <c r="AA67" s="15"/>
    </row>
    <row r="68" spans="1:27" s="16" customFormat="1" x14ac:dyDescent="0.2">
      <c r="A68" s="80">
        <f>A15</f>
        <v>10</v>
      </c>
      <c r="B68" s="18">
        <f>IF(AND(ISNUMBER($A68),ISNUMBER($A74)),IF((RANK(B$4,$B$4:$J$4,1))&lt;=($A68-$A74),1,0),"")</f>
        <v>0</v>
      </c>
      <c r="C68" s="6">
        <f t="shared" ref="C68:J69" si="23">IF(AND(ISNUMBER($A68),ISNUMBER($A74)),IF((RANK(C$4,$B$4:$J$4,1))&lt;=($A68-$A74),1,0),"")</f>
        <v>0</v>
      </c>
      <c r="D68" s="6">
        <f t="shared" si="23"/>
        <v>0</v>
      </c>
      <c r="E68" s="6">
        <f t="shared" si="23"/>
        <v>0</v>
      </c>
      <c r="F68" s="6">
        <f t="shared" si="23"/>
        <v>0</v>
      </c>
      <c r="G68" s="6">
        <f t="shared" si="23"/>
        <v>0</v>
      </c>
      <c r="H68" s="6">
        <f t="shared" si="23"/>
        <v>0</v>
      </c>
      <c r="I68" s="6">
        <f t="shared" si="23"/>
        <v>0</v>
      </c>
      <c r="J68" s="7">
        <f t="shared" si="23"/>
        <v>0</v>
      </c>
      <c r="K68" s="13">
        <f>SUM(B68:J68)</f>
        <v>0</v>
      </c>
      <c r="N68" s="15"/>
      <c r="O68" s="15"/>
      <c r="P68" s="59"/>
      <c r="Q68" s="59"/>
      <c r="R68" s="59"/>
      <c r="S68" s="59"/>
      <c r="T68" s="59"/>
      <c r="W68" s="15"/>
      <c r="X68" s="15"/>
      <c r="Y68" s="15"/>
      <c r="Z68" s="15"/>
      <c r="AA68" s="15"/>
    </row>
    <row r="69" spans="1:27" s="16" customFormat="1" x14ac:dyDescent="0.2">
      <c r="A69" s="80">
        <f>IF((A68-A74)&gt;9,(A68-A74-9),0)</f>
        <v>0</v>
      </c>
      <c r="B69" s="18">
        <f>IF(AND(ISNUMBER($A69),ISNUMBER($A75)),IF((RANK(B$4,$B$4:$J$4,1))&lt;=($A69-$A75),1,0),"")</f>
        <v>0</v>
      </c>
      <c r="C69" s="6">
        <f t="shared" si="23"/>
        <v>0</v>
      </c>
      <c r="D69" s="6">
        <f t="shared" si="23"/>
        <v>0</v>
      </c>
      <c r="E69" s="6">
        <f t="shared" si="23"/>
        <v>0</v>
      </c>
      <c r="F69" s="6">
        <f t="shared" si="23"/>
        <v>0</v>
      </c>
      <c r="G69" s="6">
        <f t="shared" si="23"/>
        <v>0</v>
      </c>
      <c r="H69" s="6">
        <f t="shared" si="23"/>
        <v>0</v>
      </c>
      <c r="I69" s="6">
        <f t="shared" si="23"/>
        <v>0</v>
      </c>
      <c r="J69" s="7">
        <f t="shared" si="23"/>
        <v>0</v>
      </c>
      <c r="K69" s="13">
        <f>SUM(B69:J69)</f>
        <v>0</v>
      </c>
      <c r="N69" s="15"/>
      <c r="O69" s="15"/>
      <c r="P69" s="59"/>
      <c r="Q69" s="59"/>
      <c r="R69" s="59"/>
      <c r="S69" s="59"/>
      <c r="T69" s="59"/>
      <c r="W69" s="15"/>
      <c r="X69" s="15"/>
      <c r="Y69" s="15"/>
      <c r="Z69" s="15"/>
      <c r="AA69" s="15"/>
    </row>
    <row r="70" spans="1:27" s="16" customFormat="1" x14ac:dyDescent="0.2">
      <c r="A70" s="80"/>
      <c r="B70" s="82">
        <f>IF(AND(ISNUMBER(B67),ISNUMBER(B68)),B67-B68-B69," ")</f>
        <v>4</v>
      </c>
      <c r="C70" s="83">
        <f t="shared" ref="C70:J70" si="24">IF(AND(ISNUMBER(C67),ISNUMBER(C68)),C67-C68-C69," ")</f>
        <v>6</v>
      </c>
      <c r="D70" s="83">
        <f t="shared" si="24"/>
        <v>7</v>
      </c>
      <c r="E70" s="83">
        <f t="shared" si="24"/>
        <v>6</v>
      </c>
      <c r="F70" s="83">
        <f t="shared" si="24"/>
        <v>6</v>
      </c>
      <c r="G70" s="83">
        <f t="shared" si="24"/>
        <v>7</v>
      </c>
      <c r="H70" s="83">
        <f t="shared" si="24"/>
        <v>5</v>
      </c>
      <c r="I70" s="83">
        <f t="shared" si="24"/>
        <v>6</v>
      </c>
      <c r="J70" s="84">
        <f t="shared" si="24"/>
        <v>4</v>
      </c>
      <c r="K70" s="13">
        <f>IF(ISNUMBER(FIND("Wins",K71)), 2, IF(ISNUMBER(FIND("Tie",K71)), 1, 0))</f>
        <v>2</v>
      </c>
      <c r="N70" s="15"/>
      <c r="O70" s="15"/>
      <c r="P70" s="59"/>
      <c r="Q70" s="59"/>
      <c r="R70" s="59"/>
      <c r="S70" s="59"/>
      <c r="T70" s="59"/>
      <c r="W70" s="15"/>
      <c r="X70" s="15"/>
      <c r="Y70" s="15"/>
      <c r="Z70" s="15"/>
      <c r="AA70" s="15"/>
    </row>
    <row r="71" spans="1:27" s="16" customFormat="1" ht="13.5" thickBot="1" x14ac:dyDescent="0.25">
      <c r="A71" s="81"/>
      <c r="B71" s="19">
        <f>IF(AND(ISNUMBER(B70),ISNUMBER(B76)),IF(B70&lt;B76, 0+1, (IF(B70&gt;B76, 0-1, 0)))," ")</f>
        <v>1</v>
      </c>
      <c r="C71" s="9">
        <f t="shared" ref="C71:J71" si="25">IF(AND(ISNUMBER(C70),ISNUMBER(C76)),IF(C70&lt;C76, +B71+1, (IF(C70&gt;C76, +B71-1, +B71)))," ")</f>
        <v>2</v>
      </c>
      <c r="D71" s="9">
        <f t="shared" si="25"/>
        <v>3</v>
      </c>
      <c r="E71" s="9">
        <f t="shared" si="25"/>
        <v>3</v>
      </c>
      <c r="F71" s="9">
        <f t="shared" si="25"/>
        <v>4</v>
      </c>
      <c r="G71" s="9">
        <f t="shared" si="25"/>
        <v>3</v>
      </c>
      <c r="H71" s="9">
        <f t="shared" si="25"/>
        <v>4</v>
      </c>
      <c r="I71" s="9">
        <f t="shared" si="25"/>
        <v>5</v>
      </c>
      <c r="J71" s="10">
        <f t="shared" si="25"/>
        <v>6</v>
      </c>
      <c r="K71" s="14" t="str">
        <f>IF(ISNUMBER(J71),IF(F71&gt;4,"Wins " &amp; F71 &amp; " &amp; 4",IF(G71&gt;3,"Wins " &amp; G71 &amp; " &amp; 3",IF(H71&gt;2,"Wins " &amp; H71 &amp; " &amp; 2",IF(I71&gt;1,"Wins " &amp; I71 &amp; " &amp; 1",IF(J71&gt;J77,"Wins " &amp; J71 &amp; " Up",IF(J71&lt;J77,"Loss","Tie"))))))," ")</f>
        <v>Wins 4 &amp; 2</v>
      </c>
      <c r="N71" s="15"/>
      <c r="O71" s="15"/>
      <c r="P71" s="59"/>
      <c r="Q71" s="59"/>
      <c r="R71" s="59"/>
      <c r="S71" s="59"/>
      <c r="T71" s="59"/>
      <c r="W71" s="15"/>
      <c r="X71" s="15"/>
      <c r="Y71" s="15"/>
      <c r="Z71" s="15"/>
      <c r="AA71" s="15"/>
    </row>
    <row r="72" spans="1:27" s="16" customFormat="1" ht="13.5" thickBot="1" x14ac:dyDescent="0.25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N72" s="15"/>
      <c r="O72" s="15"/>
      <c r="P72" s="59"/>
      <c r="Q72" s="59"/>
      <c r="R72" s="59"/>
      <c r="S72" s="59"/>
      <c r="T72" s="59"/>
      <c r="W72" s="15"/>
      <c r="X72" s="15"/>
      <c r="Y72" s="15"/>
      <c r="Z72" s="15"/>
      <c r="AA72" s="15"/>
    </row>
    <row r="73" spans="1:27" s="16" customFormat="1" x14ac:dyDescent="0.2">
      <c r="A73" s="79" t="str">
        <f t="shared" ref="A73:J73" si="26">A20</f>
        <v>Manny</v>
      </c>
      <c r="B73" s="17">
        <f t="shared" si="26"/>
        <v>9</v>
      </c>
      <c r="C73" s="3">
        <f t="shared" si="26"/>
        <v>8</v>
      </c>
      <c r="D73" s="3">
        <f t="shared" si="26"/>
        <v>9</v>
      </c>
      <c r="E73" s="3">
        <f t="shared" si="26"/>
        <v>7</v>
      </c>
      <c r="F73" s="3">
        <f t="shared" si="26"/>
        <v>10</v>
      </c>
      <c r="G73" s="3">
        <f t="shared" si="26"/>
        <v>4</v>
      </c>
      <c r="H73" s="3">
        <f t="shared" si="26"/>
        <v>8</v>
      </c>
      <c r="I73" s="3">
        <f t="shared" si="26"/>
        <v>8</v>
      </c>
      <c r="J73" s="4">
        <f t="shared" si="26"/>
        <v>8</v>
      </c>
      <c r="K73" s="12">
        <f>SUM(B73:J73)</f>
        <v>71</v>
      </c>
      <c r="N73" s="15"/>
      <c r="O73" s="15"/>
      <c r="P73" s="59"/>
      <c r="Q73" s="59"/>
      <c r="R73" s="59"/>
      <c r="S73" s="59"/>
      <c r="T73" s="59"/>
      <c r="W73" s="15"/>
      <c r="X73" s="15"/>
      <c r="Y73" s="15"/>
      <c r="Z73" s="15"/>
      <c r="AA73" s="15"/>
    </row>
    <row r="74" spans="1:27" s="16" customFormat="1" x14ac:dyDescent="0.2">
      <c r="A74" s="80">
        <f>A21</f>
        <v>14</v>
      </c>
      <c r="B74" s="18">
        <f>IF(AND(ISNUMBER($A68),ISNUMBER($A74)),IF((RANK(B$4,$B$4:$J$4,1))&lt;=($A74-$A68),1,0),"")</f>
        <v>1</v>
      </c>
      <c r="C74" s="6">
        <f t="shared" ref="C74:J75" si="27">IF(AND(ISNUMBER($A68),ISNUMBER($A74)),IF((RANK(C$4,$B$4:$J$4,1))&lt;=($A74-$A68),1,0),"")</f>
        <v>0</v>
      </c>
      <c r="D74" s="6">
        <f t="shared" si="27"/>
        <v>1</v>
      </c>
      <c r="E74" s="6">
        <f t="shared" si="27"/>
        <v>1</v>
      </c>
      <c r="F74" s="6">
        <f t="shared" si="27"/>
        <v>0</v>
      </c>
      <c r="G74" s="6">
        <f t="shared" si="27"/>
        <v>0</v>
      </c>
      <c r="H74" s="6">
        <f t="shared" si="27"/>
        <v>0</v>
      </c>
      <c r="I74" s="6">
        <f t="shared" si="27"/>
        <v>1</v>
      </c>
      <c r="J74" s="7">
        <f t="shared" si="27"/>
        <v>0</v>
      </c>
      <c r="K74" s="13">
        <f>SUM(B74:J74)</f>
        <v>4</v>
      </c>
      <c r="N74" s="15"/>
      <c r="O74" s="15"/>
      <c r="P74" s="59"/>
      <c r="Q74" s="59"/>
      <c r="R74" s="59"/>
      <c r="S74" s="59"/>
      <c r="T74" s="59"/>
      <c r="W74" s="15"/>
      <c r="X74" s="15"/>
      <c r="Y74" s="15"/>
      <c r="Z74" s="15"/>
      <c r="AA74" s="15"/>
    </row>
    <row r="75" spans="1:27" s="16" customFormat="1" x14ac:dyDescent="0.2">
      <c r="A75" s="80">
        <f>IF((A74-A68)&gt;9,(A74-A68-9),0)</f>
        <v>0</v>
      </c>
      <c r="B75" s="18">
        <f>IF(AND(ISNUMBER($A69),ISNUMBER($A75)),IF((RANK(B$4,$B$4:$J$4,1))&lt;=($A75-$A69),1,0),"")</f>
        <v>0</v>
      </c>
      <c r="C75" s="6">
        <f t="shared" si="27"/>
        <v>0</v>
      </c>
      <c r="D75" s="6">
        <f t="shared" si="27"/>
        <v>0</v>
      </c>
      <c r="E75" s="6">
        <f t="shared" si="27"/>
        <v>0</v>
      </c>
      <c r="F75" s="6">
        <f t="shared" si="27"/>
        <v>0</v>
      </c>
      <c r="G75" s="6">
        <f t="shared" si="27"/>
        <v>0</v>
      </c>
      <c r="H75" s="6">
        <f t="shared" si="27"/>
        <v>0</v>
      </c>
      <c r="I75" s="6">
        <f t="shared" si="27"/>
        <v>0</v>
      </c>
      <c r="J75" s="7">
        <f t="shared" si="27"/>
        <v>0</v>
      </c>
      <c r="K75" s="13">
        <f>SUM(B75:J75)</f>
        <v>0</v>
      </c>
      <c r="N75" s="15"/>
      <c r="O75" s="15"/>
      <c r="P75" s="59"/>
      <c r="Q75" s="59"/>
      <c r="R75" s="59"/>
      <c r="S75" s="59"/>
      <c r="T75" s="59"/>
      <c r="W75" s="15"/>
      <c r="X75" s="15"/>
      <c r="Y75" s="15"/>
      <c r="Z75" s="15"/>
      <c r="AA75" s="15"/>
    </row>
    <row r="76" spans="1:27" s="16" customFormat="1" x14ac:dyDescent="0.2">
      <c r="A76" s="80"/>
      <c r="B76" s="82">
        <f>IF(AND(ISNUMBER(B73),ISNUMBER(B74)),B73-B74-B75," ")</f>
        <v>8</v>
      </c>
      <c r="C76" s="83">
        <f t="shared" ref="C76:J76" si="28">IF(AND(ISNUMBER(C73),ISNUMBER(C74)),C73-C74-C75," ")</f>
        <v>8</v>
      </c>
      <c r="D76" s="83">
        <f t="shared" si="28"/>
        <v>8</v>
      </c>
      <c r="E76" s="83">
        <f t="shared" si="28"/>
        <v>6</v>
      </c>
      <c r="F76" s="83">
        <f t="shared" si="28"/>
        <v>10</v>
      </c>
      <c r="G76" s="83">
        <f t="shared" si="28"/>
        <v>4</v>
      </c>
      <c r="H76" s="83">
        <f t="shared" si="28"/>
        <v>8</v>
      </c>
      <c r="I76" s="83">
        <f t="shared" si="28"/>
        <v>7</v>
      </c>
      <c r="J76" s="84">
        <f t="shared" si="28"/>
        <v>8</v>
      </c>
      <c r="K76" s="13">
        <f>IF(ISNUMBER(FIND("Wins",K77)), 2, IF(ISNUMBER(FIND("Tie",K77)), 1, 0))</f>
        <v>0</v>
      </c>
      <c r="N76" s="15"/>
      <c r="O76" s="15"/>
      <c r="P76" s="59"/>
      <c r="Q76" s="59"/>
      <c r="R76" s="59"/>
      <c r="S76" s="59"/>
      <c r="T76" s="59"/>
      <c r="W76" s="15"/>
      <c r="X76" s="15"/>
      <c r="Y76" s="15"/>
      <c r="Z76" s="15"/>
      <c r="AA76" s="15"/>
    </row>
    <row r="77" spans="1:27" s="16" customFormat="1" ht="13.5" thickBot="1" x14ac:dyDescent="0.25">
      <c r="A77" s="81"/>
      <c r="B77" s="19">
        <f>IF(AND(ISNUMBER(B70),ISNUMBER(B76)),IF(B76&lt;B70, 0+1, (IF(B76&gt;B70, 0-1, 0)))," ")</f>
        <v>-1</v>
      </c>
      <c r="C77" s="9">
        <f t="shared" ref="C77:J77" si="29">IF(AND(ISNUMBER(C70),ISNUMBER(C76)),IF(C76&lt;C70, +B77+1, (IF(C76&gt;C70, +B77-1, +B77)))," ")</f>
        <v>-2</v>
      </c>
      <c r="D77" s="9">
        <f t="shared" si="29"/>
        <v>-3</v>
      </c>
      <c r="E77" s="9">
        <f t="shared" si="29"/>
        <v>-3</v>
      </c>
      <c r="F77" s="9">
        <f t="shared" si="29"/>
        <v>-4</v>
      </c>
      <c r="G77" s="9">
        <f t="shared" si="29"/>
        <v>-3</v>
      </c>
      <c r="H77" s="9">
        <f t="shared" si="29"/>
        <v>-4</v>
      </c>
      <c r="I77" s="9">
        <f t="shared" si="29"/>
        <v>-5</v>
      </c>
      <c r="J77" s="10">
        <f t="shared" si="29"/>
        <v>-6</v>
      </c>
      <c r="K77" s="14" t="str">
        <f>IF(ISNUMBER(J77),IF(F77&gt;4,"Wins " &amp; F77 &amp; " &amp; 4",IF(G77&gt;3,"Wins " &amp; G77 &amp; " &amp; 3",IF(H77&gt;2,"Wins " &amp; H77 &amp; " &amp; 2",IF(I77&gt;1,"Wins " &amp; I77 &amp; " &amp; 1",IF(J77&gt;J71,"Wins " &amp; J77 &amp; " Up",IF(J77&lt;J71,"Loss","Tie"))))))," ")</f>
        <v>Loss</v>
      </c>
      <c r="N77" s="15"/>
      <c r="O77" s="15"/>
      <c r="P77" s="59"/>
      <c r="Q77" s="59"/>
      <c r="R77" s="59"/>
      <c r="S77" s="59"/>
      <c r="T77" s="59"/>
      <c r="W77" s="15"/>
      <c r="X77" s="15"/>
      <c r="Y77" s="15"/>
      <c r="Z77" s="15"/>
      <c r="AA77" s="15"/>
    </row>
    <row r="78" spans="1:27" s="16" customFormat="1" x14ac:dyDescent="0.2">
      <c r="A78" s="26"/>
      <c r="B78" s="15"/>
      <c r="C78" s="15"/>
      <c r="D78" s="15"/>
      <c r="E78" s="15"/>
      <c r="F78" s="15"/>
      <c r="G78" s="15"/>
      <c r="H78" s="15"/>
      <c r="I78" s="15"/>
      <c r="J78" s="15"/>
      <c r="K78" s="15"/>
      <c r="N78" s="15"/>
      <c r="O78" s="15"/>
      <c r="P78" s="59"/>
      <c r="Q78" s="59"/>
      <c r="R78" s="59"/>
      <c r="S78" s="59"/>
      <c r="T78" s="59"/>
      <c r="W78" s="15"/>
      <c r="X78" s="15"/>
      <c r="Y78" s="15"/>
      <c r="Z78" s="15"/>
      <c r="AA78" s="15"/>
    </row>
    <row r="79" spans="1:27" s="16" customFormat="1" ht="13.5" thickBot="1" x14ac:dyDescent="0.25">
      <c r="A79" s="24" t="s">
        <v>11</v>
      </c>
      <c r="B79" s="2"/>
      <c r="C79" s="2"/>
      <c r="D79" s="2"/>
      <c r="E79" s="2"/>
      <c r="F79" s="2"/>
      <c r="G79" s="2"/>
      <c r="H79" s="2"/>
      <c r="I79" s="2"/>
      <c r="J79" s="2"/>
      <c r="K79" s="2"/>
      <c r="N79" s="15"/>
      <c r="O79" s="15"/>
      <c r="P79" s="59"/>
      <c r="Q79" s="59"/>
      <c r="R79" s="59"/>
      <c r="S79" s="59"/>
      <c r="T79" s="59"/>
      <c r="W79" s="15"/>
      <c r="X79" s="15"/>
      <c r="Y79" s="15"/>
      <c r="Z79" s="15"/>
      <c r="AA79" s="15"/>
    </row>
    <row r="80" spans="1:27" s="16" customFormat="1" x14ac:dyDescent="0.2">
      <c r="A80" s="29" t="str">
        <f t="shared" ref="A80:J80" si="30">A18</f>
        <v>Brian P</v>
      </c>
      <c r="B80" s="17">
        <f t="shared" si="30"/>
        <v>6</v>
      </c>
      <c r="C80" s="3">
        <f t="shared" si="30"/>
        <v>5</v>
      </c>
      <c r="D80" s="3">
        <f t="shared" si="30"/>
        <v>5</v>
      </c>
      <c r="E80" s="3">
        <f t="shared" si="30"/>
        <v>4</v>
      </c>
      <c r="F80" s="3">
        <f t="shared" si="30"/>
        <v>6</v>
      </c>
      <c r="G80" s="3">
        <f t="shared" si="30"/>
        <v>6</v>
      </c>
      <c r="H80" s="3">
        <f t="shared" si="30"/>
        <v>3</v>
      </c>
      <c r="I80" s="3">
        <f t="shared" si="30"/>
        <v>5</v>
      </c>
      <c r="J80" s="4">
        <f t="shared" si="30"/>
        <v>7</v>
      </c>
      <c r="K80" s="12">
        <f>SUM(B80:J80)</f>
        <v>47</v>
      </c>
      <c r="N80" s="15"/>
      <c r="O80" s="15"/>
      <c r="P80" s="59"/>
      <c r="Q80" s="59"/>
      <c r="R80" s="59"/>
      <c r="S80" s="59"/>
      <c r="T80" s="59"/>
      <c r="W80" s="15"/>
      <c r="X80" s="15"/>
      <c r="Y80" s="15"/>
      <c r="Z80" s="15"/>
      <c r="AA80" s="15"/>
    </row>
    <row r="81" spans="1:27" s="16" customFormat="1" x14ac:dyDescent="0.2">
      <c r="A81" s="30">
        <f>A19</f>
        <v>6</v>
      </c>
      <c r="B81" s="18">
        <f>IF(AND(ISNUMBER($A81),ISNUMBER($A87)),IF((RANK(B$4,$B$4:$J$4,1))&lt;=($A81-$A87),1,0),"")</f>
        <v>0</v>
      </c>
      <c r="C81" s="6">
        <f t="shared" ref="C81:J82" si="31">IF(AND(ISNUMBER($A81),ISNUMBER($A87)),IF((RANK(C$4,$B$4:$J$4,1))&lt;=($A81-$A87),1,0),"")</f>
        <v>0</v>
      </c>
      <c r="D81" s="6">
        <f t="shared" si="31"/>
        <v>1</v>
      </c>
      <c r="E81" s="6">
        <f t="shared" si="31"/>
        <v>0</v>
      </c>
      <c r="F81" s="6">
        <f t="shared" si="31"/>
        <v>0</v>
      </c>
      <c r="G81" s="6">
        <f t="shared" si="31"/>
        <v>0</v>
      </c>
      <c r="H81" s="6">
        <f t="shared" si="31"/>
        <v>0</v>
      </c>
      <c r="I81" s="6">
        <f t="shared" si="31"/>
        <v>0</v>
      </c>
      <c r="J81" s="7">
        <f t="shared" si="31"/>
        <v>0</v>
      </c>
      <c r="K81" s="13">
        <f>SUM(B81:J81)</f>
        <v>1</v>
      </c>
      <c r="N81" s="15"/>
      <c r="O81" s="15"/>
      <c r="P81" s="59"/>
      <c r="Q81" s="59"/>
      <c r="R81" s="59"/>
      <c r="S81" s="59"/>
      <c r="T81" s="59"/>
      <c r="W81" s="15"/>
      <c r="X81" s="15"/>
      <c r="Y81" s="15"/>
      <c r="Z81" s="15"/>
      <c r="AA81" s="15"/>
    </row>
    <row r="82" spans="1:27" s="16" customFormat="1" x14ac:dyDescent="0.2">
      <c r="A82" s="30">
        <f>IF((A81-A87)&gt;9,(A81-A87-9),0)</f>
        <v>0</v>
      </c>
      <c r="B82" s="18">
        <f>IF(AND(ISNUMBER($A82),ISNUMBER($A88)),IF((RANK(B$4,$B$4:$J$4,1))&lt;=($A82-$A88),1,0),"")</f>
        <v>0</v>
      </c>
      <c r="C82" s="6">
        <f t="shared" si="31"/>
        <v>0</v>
      </c>
      <c r="D82" s="6">
        <f t="shared" si="31"/>
        <v>0</v>
      </c>
      <c r="E82" s="6">
        <f t="shared" si="31"/>
        <v>0</v>
      </c>
      <c r="F82" s="6">
        <f t="shared" si="31"/>
        <v>0</v>
      </c>
      <c r="G82" s="6">
        <f t="shared" si="31"/>
        <v>0</v>
      </c>
      <c r="H82" s="6">
        <f t="shared" si="31"/>
        <v>0</v>
      </c>
      <c r="I82" s="6">
        <f t="shared" si="31"/>
        <v>0</v>
      </c>
      <c r="J82" s="7">
        <f t="shared" si="31"/>
        <v>0</v>
      </c>
      <c r="K82" s="13">
        <f>SUM(B82:J82)</f>
        <v>0</v>
      </c>
      <c r="N82" s="15"/>
      <c r="O82" s="15"/>
      <c r="P82" s="59"/>
      <c r="Q82" s="59"/>
      <c r="R82" s="59"/>
      <c r="S82" s="59"/>
      <c r="T82" s="59"/>
      <c r="W82" s="15"/>
      <c r="X82" s="15"/>
      <c r="Y82" s="15"/>
      <c r="Z82" s="15"/>
      <c r="AA82" s="15"/>
    </row>
    <row r="83" spans="1:27" s="16" customFormat="1" x14ac:dyDescent="0.2">
      <c r="A83" s="30"/>
      <c r="B83" s="82">
        <f>IF(AND(ISNUMBER(B80),ISNUMBER(B81)),B80-B81-B82," ")</f>
        <v>6</v>
      </c>
      <c r="C83" s="83">
        <f t="shared" ref="C83:J83" si="32">IF(AND(ISNUMBER(C80),ISNUMBER(C81)),C80-C81-C82," ")</f>
        <v>5</v>
      </c>
      <c r="D83" s="83">
        <f t="shared" si="32"/>
        <v>4</v>
      </c>
      <c r="E83" s="83">
        <f t="shared" si="32"/>
        <v>4</v>
      </c>
      <c r="F83" s="83">
        <f t="shared" si="32"/>
        <v>6</v>
      </c>
      <c r="G83" s="83">
        <f t="shared" si="32"/>
        <v>6</v>
      </c>
      <c r="H83" s="83">
        <f t="shared" si="32"/>
        <v>3</v>
      </c>
      <c r="I83" s="83">
        <f t="shared" si="32"/>
        <v>5</v>
      </c>
      <c r="J83" s="84">
        <f t="shared" si="32"/>
        <v>7</v>
      </c>
      <c r="K83" s="13">
        <f>IF(ISNUMBER(FIND("Wins",K84)), 2, IF(ISNUMBER(FIND("Tie",K84)), 1, 0))</f>
        <v>2</v>
      </c>
      <c r="N83" s="15"/>
      <c r="O83" s="15"/>
      <c r="P83" s="59"/>
      <c r="Q83" s="59"/>
      <c r="R83" s="59"/>
      <c r="S83" s="59"/>
      <c r="T83" s="59"/>
      <c r="W83" s="15"/>
      <c r="X83" s="15"/>
      <c r="Y83" s="15"/>
      <c r="Z83" s="15"/>
      <c r="AA83" s="15"/>
    </row>
    <row r="84" spans="1:27" s="16" customFormat="1" ht="13.5" thickBot="1" x14ac:dyDescent="0.25">
      <c r="A84" s="31"/>
      <c r="B84" s="19">
        <f>IF(AND(ISNUMBER(B83),ISNUMBER(B89)),IF(B83&lt;B89, 0+1, (IF(B83&gt;B89, 0-1, 0)))," ")</f>
        <v>-1</v>
      </c>
      <c r="C84" s="9">
        <f t="shared" ref="C84:J84" si="33">IF(AND(ISNUMBER(C83),ISNUMBER(C89)),IF(C83&lt;C89, +B84+1, (IF(C83&gt;C89, +B84-1, +B84)))," ")</f>
        <v>-2</v>
      </c>
      <c r="D84" s="9">
        <f t="shared" si="33"/>
        <v>-1</v>
      </c>
      <c r="E84" s="9">
        <f t="shared" si="33"/>
        <v>0</v>
      </c>
      <c r="F84" s="9">
        <f t="shared" si="33"/>
        <v>1</v>
      </c>
      <c r="G84" s="9">
        <f t="shared" si="33"/>
        <v>0</v>
      </c>
      <c r="H84" s="9">
        <f t="shared" si="33"/>
        <v>1</v>
      </c>
      <c r="I84" s="9">
        <f t="shared" si="33"/>
        <v>2</v>
      </c>
      <c r="J84" s="10">
        <f t="shared" si="33"/>
        <v>1</v>
      </c>
      <c r="K84" s="14" t="str">
        <f>IF(ISNUMBER(J84),IF(F84&gt;4,"Wins " &amp; F84 &amp; " &amp; 4",IF(G84&gt;3,"Wins " &amp; G84 &amp; " &amp; 3",IF(H84&gt;2,"Wins " &amp; H84 &amp; " &amp; 2",IF(I84&gt;1,"Wins " &amp; I84 &amp; " &amp; 1",IF(J84&gt;J90,"Wins " &amp; J84 &amp; " Up",IF(J84&lt;J90,"Loss","Tie"))))))," ")</f>
        <v>Wins 2 &amp; 1</v>
      </c>
      <c r="N84" s="15"/>
      <c r="O84" s="15"/>
      <c r="P84" s="59"/>
      <c r="Q84" s="59"/>
      <c r="R84" s="59"/>
      <c r="S84" s="59"/>
      <c r="T84" s="59"/>
      <c r="W84" s="15"/>
      <c r="X84" s="15"/>
      <c r="Y84" s="15"/>
      <c r="Z84" s="15"/>
      <c r="AA84" s="15"/>
    </row>
    <row r="85" spans="1:27" s="16" customFormat="1" ht="13.5" thickBot="1" x14ac:dyDescent="0.2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N85" s="15"/>
      <c r="O85" s="15"/>
      <c r="P85" s="59"/>
      <c r="Q85" s="59"/>
      <c r="R85" s="59"/>
      <c r="S85" s="59"/>
      <c r="T85" s="59"/>
      <c r="W85" s="15"/>
      <c r="X85" s="15"/>
      <c r="Y85" s="15"/>
      <c r="Z85" s="15"/>
      <c r="AA85" s="15"/>
    </row>
    <row r="86" spans="1:27" s="16" customFormat="1" x14ac:dyDescent="0.2">
      <c r="A86" s="79" t="str">
        <f t="shared" ref="A86:J86" si="34">A16</f>
        <v>Dave</v>
      </c>
      <c r="B86" s="17">
        <f t="shared" si="34"/>
        <v>4</v>
      </c>
      <c r="C86" s="3">
        <f t="shared" si="34"/>
        <v>4</v>
      </c>
      <c r="D86" s="3">
        <f t="shared" si="34"/>
        <v>5</v>
      </c>
      <c r="E86" s="3">
        <f t="shared" si="34"/>
        <v>5</v>
      </c>
      <c r="F86" s="3">
        <f t="shared" si="34"/>
        <v>8</v>
      </c>
      <c r="G86" s="3">
        <f t="shared" si="34"/>
        <v>4</v>
      </c>
      <c r="H86" s="3">
        <f t="shared" si="34"/>
        <v>4</v>
      </c>
      <c r="I86" s="3">
        <f t="shared" si="34"/>
        <v>6</v>
      </c>
      <c r="J86" s="4">
        <f t="shared" si="34"/>
        <v>5</v>
      </c>
      <c r="K86" s="12">
        <f>SUM(B86:J86)</f>
        <v>45</v>
      </c>
      <c r="N86" s="15"/>
      <c r="O86" s="15"/>
      <c r="P86" s="59"/>
      <c r="Q86" s="59"/>
      <c r="R86" s="59"/>
      <c r="S86" s="59"/>
      <c r="T86" s="59"/>
      <c r="W86" s="15"/>
      <c r="X86" s="15"/>
      <c r="Y86" s="15"/>
      <c r="Z86" s="15"/>
      <c r="AA86" s="15"/>
    </row>
    <row r="87" spans="1:27" s="16" customFormat="1" x14ac:dyDescent="0.2">
      <c r="A87" s="80">
        <f>A17</f>
        <v>5</v>
      </c>
      <c r="B87" s="18">
        <f>IF(AND(ISNUMBER($A81),ISNUMBER($A87)),IF((RANK(B$4,$B$4:$J$4,1))&lt;=($A87-$A81),1,0),"")</f>
        <v>0</v>
      </c>
      <c r="C87" s="6">
        <f t="shared" ref="C87:J88" si="35">IF(AND(ISNUMBER($A81),ISNUMBER($A87)),IF((RANK(C$4,$B$4:$J$4,1))&lt;=($A87-$A81),1,0),"")</f>
        <v>0</v>
      </c>
      <c r="D87" s="6">
        <f t="shared" si="35"/>
        <v>0</v>
      </c>
      <c r="E87" s="6">
        <f t="shared" si="35"/>
        <v>0</v>
      </c>
      <c r="F87" s="6">
        <f t="shared" si="35"/>
        <v>0</v>
      </c>
      <c r="G87" s="6">
        <f t="shared" si="35"/>
        <v>0</v>
      </c>
      <c r="H87" s="6">
        <f t="shared" si="35"/>
        <v>0</v>
      </c>
      <c r="I87" s="6">
        <f t="shared" si="35"/>
        <v>0</v>
      </c>
      <c r="J87" s="7">
        <f t="shared" si="35"/>
        <v>0</v>
      </c>
      <c r="K87" s="13">
        <f>SUM(B87:J87)</f>
        <v>0</v>
      </c>
      <c r="N87" s="15"/>
      <c r="O87" s="15"/>
      <c r="P87" s="59"/>
      <c r="Q87" s="59"/>
      <c r="R87" s="59"/>
      <c r="S87" s="59"/>
      <c r="T87" s="59"/>
      <c r="W87" s="15"/>
      <c r="X87" s="15"/>
      <c r="Y87" s="15"/>
      <c r="Z87" s="15"/>
      <c r="AA87" s="15"/>
    </row>
    <row r="88" spans="1:27" s="16" customFormat="1" x14ac:dyDescent="0.2">
      <c r="A88" s="80">
        <f>IF((A87-A81)&gt;9,(A87-A81-9),0)</f>
        <v>0</v>
      </c>
      <c r="B88" s="18">
        <f>IF(AND(ISNUMBER($A82),ISNUMBER($A88)),IF((RANK(B$4,$B$4:$J$4,1))&lt;=($A88-$A82),1,0),"")</f>
        <v>0</v>
      </c>
      <c r="C88" s="6">
        <f t="shared" si="35"/>
        <v>0</v>
      </c>
      <c r="D88" s="6">
        <f t="shared" si="35"/>
        <v>0</v>
      </c>
      <c r="E88" s="6">
        <f t="shared" si="35"/>
        <v>0</v>
      </c>
      <c r="F88" s="6">
        <f t="shared" si="35"/>
        <v>0</v>
      </c>
      <c r="G88" s="6">
        <f t="shared" si="35"/>
        <v>0</v>
      </c>
      <c r="H88" s="6">
        <f t="shared" si="35"/>
        <v>0</v>
      </c>
      <c r="I88" s="6">
        <f t="shared" si="35"/>
        <v>0</v>
      </c>
      <c r="J88" s="7">
        <f t="shared" si="35"/>
        <v>0</v>
      </c>
      <c r="K88" s="13">
        <f>SUM(B88:J88)</f>
        <v>0</v>
      </c>
      <c r="N88" s="15"/>
      <c r="O88" s="15"/>
      <c r="P88" s="59"/>
      <c r="Q88" s="59"/>
      <c r="R88" s="59"/>
      <c r="S88" s="59"/>
      <c r="T88" s="59"/>
      <c r="W88" s="15"/>
      <c r="X88" s="15"/>
      <c r="Y88" s="15"/>
      <c r="Z88" s="15"/>
      <c r="AA88" s="15"/>
    </row>
    <row r="89" spans="1:27" s="16" customFormat="1" x14ac:dyDescent="0.2">
      <c r="A89" s="80"/>
      <c r="B89" s="82">
        <f>IF(AND(ISNUMBER(B86),ISNUMBER(B87)),B86-B87-B88," ")</f>
        <v>4</v>
      </c>
      <c r="C89" s="83">
        <f t="shared" ref="C89:J89" si="36">IF(AND(ISNUMBER(C86),ISNUMBER(C87)),C86-C87-C88," ")</f>
        <v>4</v>
      </c>
      <c r="D89" s="83">
        <f t="shared" si="36"/>
        <v>5</v>
      </c>
      <c r="E89" s="83">
        <f t="shared" si="36"/>
        <v>5</v>
      </c>
      <c r="F89" s="83">
        <f t="shared" si="36"/>
        <v>8</v>
      </c>
      <c r="G89" s="83">
        <f t="shared" si="36"/>
        <v>4</v>
      </c>
      <c r="H89" s="83">
        <f t="shared" si="36"/>
        <v>4</v>
      </c>
      <c r="I89" s="83">
        <f t="shared" si="36"/>
        <v>6</v>
      </c>
      <c r="J89" s="84">
        <f t="shared" si="36"/>
        <v>5</v>
      </c>
      <c r="K89" s="13">
        <f>IF(ISNUMBER(FIND("Wins",K90)), 2, IF(ISNUMBER(FIND("Tie",K90)), 1, 0))</f>
        <v>0</v>
      </c>
      <c r="N89" s="15"/>
      <c r="O89" s="15"/>
      <c r="P89" s="59"/>
      <c r="Q89" s="59"/>
      <c r="R89" s="59"/>
      <c r="S89" s="59"/>
      <c r="T89" s="59"/>
      <c r="W89" s="15"/>
      <c r="X89" s="15"/>
      <c r="Y89" s="15"/>
      <c r="Z89" s="15"/>
      <c r="AA89" s="15"/>
    </row>
    <row r="90" spans="1:27" s="16" customFormat="1" ht="13.5" thickBot="1" x14ac:dyDescent="0.25">
      <c r="A90" s="81"/>
      <c r="B90" s="19">
        <f>IF(AND(ISNUMBER(B83),ISNUMBER(B89)),IF(B89&lt;B83, 0+1, (IF(B89&gt;B83, 0-1, 0)))," ")</f>
        <v>1</v>
      </c>
      <c r="C90" s="9">
        <f t="shared" ref="C90:J90" si="37">IF(AND(ISNUMBER(C83),ISNUMBER(C89)),IF(C89&lt;C83, +B90+1, (IF(C89&gt;C83, +B90-1, +B90)))," ")</f>
        <v>2</v>
      </c>
      <c r="D90" s="9">
        <f t="shared" si="37"/>
        <v>1</v>
      </c>
      <c r="E90" s="9">
        <f t="shared" si="37"/>
        <v>0</v>
      </c>
      <c r="F90" s="9">
        <f t="shared" si="37"/>
        <v>-1</v>
      </c>
      <c r="G90" s="9">
        <f t="shared" si="37"/>
        <v>0</v>
      </c>
      <c r="H90" s="9">
        <f t="shared" si="37"/>
        <v>-1</v>
      </c>
      <c r="I90" s="9">
        <f t="shared" si="37"/>
        <v>-2</v>
      </c>
      <c r="J90" s="10">
        <f t="shared" si="37"/>
        <v>-1</v>
      </c>
      <c r="K90" s="14" t="str">
        <f>IF(ISNUMBER(J90),IF(F90&gt;4,"Wins " &amp; F90 &amp; " &amp; 4",IF(G90&gt;3,"Wins " &amp; G90 &amp; " &amp; 3",IF(H90&gt;2,"Wins " &amp; H90 &amp; " &amp; 2",IF(I90&gt;1,"Wins " &amp; I90 &amp; " &amp; 1",IF(J90&gt;J84,"Wins " &amp; J90 &amp; " Up",IF(J90&lt;J84,"Loss","Tie"))))))," ")</f>
        <v>Loss</v>
      </c>
      <c r="N90" s="15"/>
      <c r="O90" s="15"/>
      <c r="P90" s="59"/>
      <c r="Q90" s="59"/>
      <c r="R90" s="59"/>
      <c r="S90" s="59"/>
      <c r="T90" s="59"/>
      <c r="W90" s="15"/>
      <c r="X90" s="15"/>
      <c r="Y90" s="15"/>
      <c r="Z90" s="15"/>
      <c r="AA90" s="15"/>
    </row>
    <row r="91" spans="1:27" s="16" customFormat="1" x14ac:dyDescent="0.2">
      <c r="A91" s="26"/>
      <c r="B91" s="15"/>
      <c r="C91" s="15"/>
      <c r="D91" s="15"/>
      <c r="E91" s="15"/>
      <c r="F91" s="15"/>
      <c r="G91" s="15"/>
      <c r="H91" s="15"/>
      <c r="I91" s="15"/>
      <c r="J91" s="15"/>
      <c r="K91" s="15"/>
      <c r="N91" s="15"/>
      <c r="O91" s="15"/>
      <c r="P91" s="59"/>
      <c r="Q91" s="59"/>
      <c r="R91" s="59"/>
      <c r="S91" s="59"/>
      <c r="T91" s="59"/>
      <c r="W91" s="15"/>
      <c r="X91" s="15"/>
      <c r="Y91" s="15"/>
      <c r="Z91" s="15"/>
      <c r="AA91" s="15"/>
    </row>
    <row r="92" spans="1:27" s="16" customFormat="1" ht="13.5" thickBot="1" x14ac:dyDescent="0.25">
      <c r="A92" s="24" t="s">
        <v>12</v>
      </c>
      <c r="B92" s="2"/>
      <c r="C92" s="2"/>
      <c r="D92" s="2"/>
      <c r="E92" s="2"/>
      <c r="F92" s="2"/>
      <c r="G92" s="2"/>
      <c r="H92" s="2"/>
      <c r="I92" s="2"/>
      <c r="J92" s="2"/>
      <c r="K92" s="2"/>
      <c r="N92" s="15"/>
      <c r="O92" s="15"/>
      <c r="P92" s="59"/>
      <c r="Q92" s="59"/>
      <c r="R92" s="59"/>
      <c r="S92" s="59"/>
      <c r="T92" s="59"/>
      <c r="W92" s="15"/>
      <c r="X92" s="15"/>
      <c r="Y92" s="15"/>
      <c r="Z92" s="15"/>
      <c r="AA92" s="15"/>
    </row>
    <row r="93" spans="1:27" s="16" customFormat="1" x14ac:dyDescent="0.2">
      <c r="A93" s="29" t="str">
        <f t="shared" ref="A93:J93" si="38">A22</f>
        <v xml:space="preserve">Pat </v>
      </c>
      <c r="B93" s="17">
        <f t="shared" si="38"/>
        <v>6</v>
      </c>
      <c r="C93" s="3">
        <f t="shared" si="38"/>
        <v>5</v>
      </c>
      <c r="D93" s="3">
        <f t="shared" si="38"/>
        <v>7</v>
      </c>
      <c r="E93" s="3">
        <f t="shared" si="38"/>
        <v>5</v>
      </c>
      <c r="F93" s="3">
        <f t="shared" si="38"/>
        <v>6</v>
      </c>
      <c r="G93" s="3">
        <f t="shared" si="38"/>
        <v>4</v>
      </c>
      <c r="H93" s="3">
        <f t="shared" si="38"/>
        <v>5</v>
      </c>
      <c r="I93" s="3">
        <f t="shared" si="38"/>
        <v>5</v>
      </c>
      <c r="J93" s="4">
        <f t="shared" si="38"/>
        <v>5</v>
      </c>
      <c r="K93" s="12">
        <f>SUM(B93:J93)</f>
        <v>48</v>
      </c>
      <c r="N93" s="15"/>
      <c r="O93" s="15"/>
      <c r="P93" s="59"/>
      <c r="Q93" s="59"/>
      <c r="R93" s="59"/>
      <c r="S93" s="59"/>
      <c r="T93" s="59"/>
      <c r="W93" s="15"/>
      <c r="X93" s="15"/>
      <c r="Y93" s="15"/>
      <c r="Z93" s="15"/>
      <c r="AA93" s="15"/>
    </row>
    <row r="94" spans="1:27" s="16" customFormat="1" x14ac:dyDescent="0.2">
      <c r="A94" s="30">
        <f>A23</f>
        <v>6</v>
      </c>
      <c r="B94" s="18">
        <f>IF(AND(ISNUMBER($A94),ISNUMBER($A100)),IF((RANK(B$4,$B$4:$J$4,1))&lt;=($A94-$A100),1,0),"")</f>
        <v>0</v>
      </c>
      <c r="C94" s="6">
        <f t="shared" ref="C94:J95" si="39">IF(AND(ISNUMBER($A94),ISNUMBER($A100)),IF((RANK(C$4,$B$4:$J$4,1))&lt;=($A94-$A100),1,0),"")</f>
        <v>0</v>
      </c>
      <c r="D94" s="6">
        <f t="shared" si="39"/>
        <v>0</v>
      </c>
      <c r="E94" s="6">
        <f t="shared" si="39"/>
        <v>0</v>
      </c>
      <c r="F94" s="6">
        <f t="shared" si="39"/>
        <v>0</v>
      </c>
      <c r="G94" s="6">
        <f t="shared" si="39"/>
        <v>0</v>
      </c>
      <c r="H94" s="6">
        <f t="shared" si="39"/>
        <v>0</v>
      </c>
      <c r="I94" s="6">
        <f t="shared" si="39"/>
        <v>0</v>
      </c>
      <c r="J94" s="7">
        <f t="shared" si="39"/>
        <v>0</v>
      </c>
      <c r="K94" s="13">
        <f>SUM(B94:J94)</f>
        <v>0</v>
      </c>
      <c r="N94" s="15"/>
      <c r="O94" s="15"/>
      <c r="P94" s="59"/>
      <c r="Q94" s="59"/>
      <c r="R94" s="59"/>
      <c r="S94" s="59"/>
      <c r="T94" s="59"/>
      <c r="W94" s="15"/>
      <c r="X94" s="15"/>
      <c r="Y94" s="15"/>
      <c r="Z94" s="15"/>
      <c r="AA94" s="15"/>
    </row>
    <row r="95" spans="1:27" s="16" customFormat="1" x14ac:dyDescent="0.2">
      <c r="A95" s="30">
        <f>IF((A94-A100)&gt;9,(A94-A100-9),0)</f>
        <v>0</v>
      </c>
      <c r="B95" s="18">
        <f>IF(AND(ISNUMBER($A95),ISNUMBER($A101)),IF((RANK(B$4,$B$4:$J$4,1))&lt;=($A95-$A101),1,0),"")</f>
        <v>0</v>
      </c>
      <c r="C95" s="6">
        <f t="shared" si="39"/>
        <v>0</v>
      </c>
      <c r="D95" s="6">
        <f t="shared" si="39"/>
        <v>0</v>
      </c>
      <c r="E95" s="6">
        <f t="shared" si="39"/>
        <v>0</v>
      </c>
      <c r="F95" s="6">
        <f t="shared" si="39"/>
        <v>0</v>
      </c>
      <c r="G95" s="6">
        <f t="shared" si="39"/>
        <v>0</v>
      </c>
      <c r="H95" s="6">
        <f t="shared" si="39"/>
        <v>0</v>
      </c>
      <c r="I95" s="6">
        <f t="shared" si="39"/>
        <v>0</v>
      </c>
      <c r="J95" s="7">
        <f t="shared" si="39"/>
        <v>0</v>
      </c>
      <c r="K95" s="13">
        <f>SUM(B95:J95)</f>
        <v>0</v>
      </c>
      <c r="N95" s="15"/>
      <c r="O95" s="15"/>
      <c r="P95" s="59"/>
      <c r="Q95" s="59"/>
      <c r="R95" s="59"/>
      <c r="S95" s="59"/>
      <c r="T95" s="59"/>
      <c r="W95" s="15"/>
      <c r="X95" s="15"/>
      <c r="Y95" s="15"/>
      <c r="Z95" s="15"/>
      <c r="AA95" s="15"/>
    </row>
    <row r="96" spans="1:27" s="16" customFormat="1" x14ac:dyDescent="0.2">
      <c r="A96" s="30"/>
      <c r="B96" s="82">
        <f>IF(AND(ISNUMBER(B93),ISNUMBER(B94)),B93-B94-B95," ")</f>
        <v>6</v>
      </c>
      <c r="C96" s="83">
        <f t="shared" ref="C96:J96" si="40">IF(AND(ISNUMBER(C93),ISNUMBER(C94)),C93-C94-C95," ")</f>
        <v>5</v>
      </c>
      <c r="D96" s="83">
        <f t="shared" si="40"/>
        <v>7</v>
      </c>
      <c r="E96" s="83">
        <f t="shared" si="40"/>
        <v>5</v>
      </c>
      <c r="F96" s="83">
        <f t="shared" si="40"/>
        <v>6</v>
      </c>
      <c r="G96" s="83">
        <f t="shared" si="40"/>
        <v>4</v>
      </c>
      <c r="H96" s="83">
        <f t="shared" si="40"/>
        <v>5</v>
      </c>
      <c r="I96" s="83">
        <f t="shared" si="40"/>
        <v>5</v>
      </c>
      <c r="J96" s="84">
        <f t="shared" si="40"/>
        <v>5</v>
      </c>
      <c r="K96" s="13">
        <f>IF(ISNUMBER(FIND("Wins",K97)), 2, IF(ISNUMBER(FIND("Tie",K97)), 1, 0))</f>
        <v>2</v>
      </c>
      <c r="N96" s="15"/>
      <c r="O96" s="15"/>
      <c r="P96" s="59"/>
      <c r="Q96" s="59"/>
      <c r="R96" s="59"/>
      <c r="S96" s="59"/>
      <c r="T96" s="59"/>
      <c r="W96" s="15"/>
      <c r="X96" s="15"/>
      <c r="Y96" s="15"/>
      <c r="Z96" s="15"/>
      <c r="AA96" s="15"/>
    </row>
    <row r="97" spans="1:27" s="16" customFormat="1" ht="13.5" thickBot="1" x14ac:dyDescent="0.25">
      <c r="A97" s="31"/>
      <c r="B97" s="19">
        <f>IF(AND(ISNUMBER(B96),ISNUMBER(B102)),IF(B96&lt;B102, 0+1, (IF(B96&gt;B102, 0-1, 0)))," ")</f>
        <v>-1</v>
      </c>
      <c r="C97" s="9">
        <f t="shared" ref="C97:J97" si="41">IF(AND(ISNUMBER(C96),ISNUMBER(C102)),IF(C96&lt;C102, +B97+1, (IF(C96&gt;C102, +B97-1, +B97)))," ")</f>
        <v>-1</v>
      </c>
      <c r="D97" s="9">
        <f t="shared" si="41"/>
        <v>-2</v>
      </c>
      <c r="E97" s="9">
        <f t="shared" si="41"/>
        <v>-2</v>
      </c>
      <c r="F97" s="9">
        <f t="shared" si="41"/>
        <v>-1</v>
      </c>
      <c r="G97" s="9">
        <f t="shared" si="41"/>
        <v>0</v>
      </c>
      <c r="H97" s="9">
        <f t="shared" si="41"/>
        <v>1</v>
      </c>
      <c r="I97" s="9">
        <f t="shared" si="41"/>
        <v>0</v>
      </c>
      <c r="J97" s="10">
        <f t="shared" si="41"/>
        <v>1</v>
      </c>
      <c r="K97" s="14" t="str">
        <f>IF(ISNUMBER(J97),IF(F97&gt;4,"Wins " &amp; F97 &amp; " &amp; 4",IF(G97&gt;3,"Wins " &amp; G97 &amp; " &amp; 3",IF(H97&gt;2,"Wins " &amp; H97 &amp; " &amp; 2",IF(I97&gt;1,"Wins " &amp; I97 &amp; " &amp; 1",IF(J97&gt;J103,"Wins " &amp; J97 &amp; " Up",IF(J97&lt;J103,"Loss","Tie"))))))," ")</f>
        <v>Wins 1 Up</v>
      </c>
      <c r="N97" s="15"/>
      <c r="O97" s="15"/>
      <c r="P97" s="59"/>
      <c r="Q97" s="59"/>
      <c r="R97" s="59"/>
      <c r="S97" s="59"/>
      <c r="T97" s="59"/>
      <c r="W97" s="15"/>
      <c r="X97" s="15"/>
      <c r="Y97" s="15"/>
      <c r="Z97" s="15"/>
      <c r="AA97" s="15"/>
    </row>
    <row r="98" spans="1:27" s="16" customFormat="1" ht="13.5" thickBot="1" x14ac:dyDescent="0.25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N98" s="15"/>
      <c r="O98" s="15"/>
      <c r="P98" s="59"/>
      <c r="Q98" s="59"/>
      <c r="R98" s="59"/>
      <c r="S98" s="59"/>
      <c r="T98" s="59"/>
      <c r="W98" s="15"/>
      <c r="X98" s="15"/>
      <c r="Y98" s="15"/>
      <c r="Z98" s="15"/>
      <c r="AA98" s="15"/>
    </row>
    <row r="99" spans="1:27" s="16" customFormat="1" x14ac:dyDescent="0.2">
      <c r="A99" s="79" t="str">
        <f t="shared" ref="A99:J99" si="42">A28</f>
        <v>Patrick</v>
      </c>
      <c r="B99" s="17">
        <f t="shared" si="42"/>
        <v>5</v>
      </c>
      <c r="C99" s="3">
        <f t="shared" si="42"/>
        <v>5</v>
      </c>
      <c r="D99" s="3">
        <f t="shared" si="42"/>
        <v>6</v>
      </c>
      <c r="E99" s="3">
        <f t="shared" si="42"/>
        <v>5</v>
      </c>
      <c r="F99" s="3">
        <f t="shared" si="42"/>
        <v>8</v>
      </c>
      <c r="G99" s="3">
        <f t="shared" si="42"/>
        <v>5</v>
      </c>
      <c r="H99" s="3">
        <f t="shared" si="42"/>
        <v>7</v>
      </c>
      <c r="I99" s="3">
        <f t="shared" si="42"/>
        <v>4</v>
      </c>
      <c r="J99" s="4">
        <f t="shared" si="42"/>
        <v>6</v>
      </c>
      <c r="K99" s="12">
        <f>SUM(B99:J99)</f>
        <v>51</v>
      </c>
      <c r="N99" s="15"/>
      <c r="O99" s="15"/>
      <c r="P99" s="59"/>
      <c r="Q99" s="59"/>
      <c r="R99" s="59"/>
      <c r="S99" s="59"/>
      <c r="T99" s="59"/>
      <c r="W99" s="15"/>
      <c r="X99" s="15"/>
      <c r="Y99" s="15"/>
      <c r="Z99" s="15"/>
      <c r="AA99" s="15"/>
    </row>
    <row r="100" spans="1:27" s="16" customFormat="1" x14ac:dyDescent="0.2">
      <c r="A100" s="80">
        <f>A29</f>
        <v>8</v>
      </c>
      <c r="B100" s="18">
        <f>IF(AND(ISNUMBER($A94),ISNUMBER($A100)),IF((RANK(B$4,$B$4:$J$4,1))&lt;=($A100-$A94),1,0),"")</f>
        <v>0</v>
      </c>
      <c r="C100" s="6">
        <f t="shared" ref="C100:J101" si="43">IF(AND(ISNUMBER($A94),ISNUMBER($A100)),IF((RANK(C$4,$B$4:$J$4,1))&lt;=($A100-$A94),1,0),"")</f>
        <v>0</v>
      </c>
      <c r="D100" s="6">
        <f t="shared" si="43"/>
        <v>1</v>
      </c>
      <c r="E100" s="6">
        <f t="shared" si="43"/>
        <v>0</v>
      </c>
      <c r="F100" s="6">
        <f t="shared" si="43"/>
        <v>0</v>
      </c>
      <c r="G100" s="6">
        <f t="shared" si="43"/>
        <v>0</v>
      </c>
      <c r="H100" s="6">
        <f t="shared" si="43"/>
        <v>0</v>
      </c>
      <c r="I100" s="6">
        <f t="shared" si="43"/>
        <v>1</v>
      </c>
      <c r="J100" s="7">
        <f t="shared" si="43"/>
        <v>0</v>
      </c>
      <c r="K100" s="13">
        <f>SUM(B100:J100)</f>
        <v>2</v>
      </c>
      <c r="N100" s="15"/>
      <c r="O100" s="15"/>
      <c r="P100" s="59"/>
      <c r="Q100" s="59"/>
      <c r="R100" s="59"/>
      <c r="S100" s="59"/>
      <c r="T100" s="59"/>
      <c r="W100" s="15"/>
      <c r="X100" s="15"/>
      <c r="Y100" s="15"/>
      <c r="Z100" s="15"/>
      <c r="AA100" s="15"/>
    </row>
    <row r="101" spans="1:27" s="16" customFormat="1" x14ac:dyDescent="0.2">
      <c r="A101" s="80">
        <f>IF((A100-A94)&gt;9,(A100-A94-9),0)</f>
        <v>0</v>
      </c>
      <c r="B101" s="18">
        <f>IF(AND(ISNUMBER($A95),ISNUMBER($A101)),IF((RANK(B$4,$B$4:$J$4,1))&lt;=($A101-$A95),1,0),"")</f>
        <v>0</v>
      </c>
      <c r="C101" s="6">
        <f t="shared" si="43"/>
        <v>0</v>
      </c>
      <c r="D101" s="6">
        <f t="shared" si="43"/>
        <v>0</v>
      </c>
      <c r="E101" s="6">
        <f t="shared" si="43"/>
        <v>0</v>
      </c>
      <c r="F101" s="6">
        <f t="shared" si="43"/>
        <v>0</v>
      </c>
      <c r="G101" s="6">
        <f t="shared" si="43"/>
        <v>0</v>
      </c>
      <c r="H101" s="6">
        <f t="shared" si="43"/>
        <v>0</v>
      </c>
      <c r="I101" s="6">
        <f t="shared" si="43"/>
        <v>0</v>
      </c>
      <c r="J101" s="7">
        <f t="shared" si="43"/>
        <v>0</v>
      </c>
      <c r="K101" s="13">
        <f>SUM(B101:J101)</f>
        <v>0</v>
      </c>
      <c r="N101" s="15"/>
      <c r="O101" s="15"/>
      <c r="P101" s="59"/>
      <c r="Q101" s="59"/>
      <c r="R101" s="59"/>
      <c r="S101" s="59"/>
      <c r="T101" s="59"/>
      <c r="W101" s="15"/>
      <c r="X101" s="15"/>
      <c r="Y101" s="15"/>
      <c r="Z101" s="15"/>
      <c r="AA101" s="15"/>
    </row>
    <row r="102" spans="1:27" s="16" customFormat="1" x14ac:dyDescent="0.2">
      <c r="A102" s="80"/>
      <c r="B102" s="82">
        <f>IF(AND(ISNUMBER(B99),ISNUMBER(B100)),B99-B100-B101," ")</f>
        <v>5</v>
      </c>
      <c r="C102" s="83">
        <f t="shared" ref="C102:J102" si="44">IF(AND(ISNUMBER(C99),ISNUMBER(C100)),C99-C100-C101," ")</f>
        <v>5</v>
      </c>
      <c r="D102" s="83">
        <f t="shared" si="44"/>
        <v>5</v>
      </c>
      <c r="E102" s="83">
        <f t="shared" si="44"/>
        <v>5</v>
      </c>
      <c r="F102" s="83">
        <f t="shared" si="44"/>
        <v>8</v>
      </c>
      <c r="G102" s="83">
        <f t="shared" si="44"/>
        <v>5</v>
      </c>
      <c r="H102" s="83">
        <f t="shared" si="44"/>
        <v>7</v>
      </c>
      <c r="I102" s="83">
        <f t="shared" si="44"/>
        <v>3</v>
      </c>
      <c r="J102" s="84">
        <f t="shared" si="44"/>
        <v>6</v>
      </c>
      <c r="K102" s="13">
        <f>IF(ISNUMBER(FIND("Wins",K103)), 2, IF(ISNUMBER(FIND("Tie",K103)), 1, 0))</f>
        <v>0</v>
      </c>
      <c r="N102" s="15"/>
      <c r="O102" s="15"/>
      <c r="P102" s="59"/>
      <c r="Q102" s="59"/>
      <c r="R102" s="59"/>
      <c r="S102" s="59"/>
      <c r="T102" s="59"/>
      <c r="W102" s="15"/>
      <c r="X102" s="15"/>
      <c r="Y102" s="15"/>
      <c r="Z102" s="15"/>
      <c r="AA102" s="15"/>
    </row>
    <row r="103" spans="1:27" s="16" customFormat="1" ht="13.5" thickBot="1" x14ac:dyDescent="0.25">
      <c r="A103" s="81"/>
      <c r="B103" s="19">
        <f>IF(AND(ISNUMBER(B96),ISNUMBER(B102)),IF(B102&lt;B96, 0+1, (IF(B102&gt;B96, 0-1, 0)))," ")</f>
        <v>1</v>
      </c>
      <c r="C103" s="9">
        <f t="shared" ref="C103:J103" si="45">IF(AND(ISNUMBER(C96),ISNUMBER(C102)),IF(C102&lt;C96, +B103+1, (IF(C102&gt;C96, +B103-1, +B103)))," ")</f>
        <v>1</v>
      </c>
      <c r="D103" s="9">
        <f t="shared" si="45"/>
        <v>2</v>
      </c>
      <c r="E103" s="9">
        <f t="shared" si="45"/>
        <v>2</v>
      </c>
      <c r="F103" s="9">
        <f t="shared" si="45"/>
        <v>1</v>
      </c>
      <c r="G103" s="9">
        <f t="shared" si="45"/>
        <v>0</v>
      </c>
      <c r="H103" s="9">
        <f t="shared" si="45"/>
        <v>-1</v>
      </c>
      <c r="I103" s="9">
        <f t="shared" si="45"/>
        <v>0</v>
      </c>
      <c r="J103" s="10">
        <f t="shared" si="45"/>
        <v>-1</v>
      </c>
      <c r="K103" s="14" t="str">
        <f>IF(ISNUMBER(J103),IF(F103&gt;4,"Wins " &amp; F103 &amp; " &amp; 4",IF(G103&gt;3,"Wins " &amp; G103 &amp; " &amp; 3",IF(H103&gt;2,"Wins " &amp; H103 &amp; " &amp; 2",IF(I103&gt;1,"Wins " &amp; I103 &amp; " &amp; 1",IF(J103&gt;J97,"Wins " &amp; J103 &amp; " Up",IF(J103&lt;J97,"Loss","Tie"))))))," ")</f>
        <v>Loss</v>
      </c>
      <c r="N103" s="15"/>
      <c r="O103" s="15"/>
      <c r="P103" s="59"/>
      <c r="Q103" s="59"/>
      <c r="R103" s="59"/>
      <c r="S103" s="59"/>
      <c r="T103" s="59"/>
      <c r="W103" s="15"/>
      <c r="X103" s="15"/>
      <c r="Y103" s="15"/>
      <c r="Z103" s="15"/>
      <c r="AA103" s="15"/>
    </row>
    <row r="104" spans="1:27" s="16" customFormat="1" x14ac:dyDescent="0.2">
      <c r="A104" s="2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N104" s="15"/>
      <c r="O104" s="15"/>
      <c r="P104" s="59"/>
      <c r="Q104" s="59"/>
      <c r="R104" s="59"/>
      <c r="S104" s="59"/>
      <c r="T104" s="59"/>
      <c r="W104" s="15"/>
      <c r="X104" s="15"/>
      <c r="Y104" s="15"/>
      <c r="Z104" s="15"/>
      <c r="AA104" s="15"/>
    </row>
    <row r="105" spans="1:27" s="16" customFormat="1" ht="13.5" thickBot="1" x14ac:dyDescent="0.25">
      <c r="A105" s="24" t="s">
        <v>13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N105" s="15"/>
      <c r="O105" s="15"/>
      <c r="P105" s="59"/>
      <c r="Q105" s="59"/>
      <c r="R105" s="59"/>
      <c r="S105" s="59"/>
      <c r="T105" s="59"/>
      <c r="W105" s="15"/>
      <c r="X105" s="15"/>
      <c r="Y105" s="15"/>
      <c r="Z105" s="15"/>
      <c r="AA105" s="15"/>
    </row>
    <row r="106" spans="1:27" s="16" customFormat="1" x14ac:dyDescent="0.2">
      <c r="A106" s="29" t="str">
        <f t="shared" ref="A106:J106" si="46">A26</f>
        <v>Tommy</v>
      </c>
      <c r="B106" s="17">
        <f t="shared" si="46"/>
        <v>3</v>
      </c>
      <c r="C106" s="3">
        <f t="shared" si="46"/>
        <v>4</v>
      </c>
      <c r="D106" s="3">
        <f t="shared" si="46"/>
        <v>6</v>
      </c>
      <c r="E106" s="3">
        <f t="shared" si="46"/>
        <v>5</v>
      </c>
      <c r="F106" s="3">
        <f t="shared" si="46"/>
        <v>6</v>
      </c>
      <c r="G106" s="3">
        <f t="shared" si="46"/>
        <v>4</v>
      </c>
      <c r="H106" s="3">
        <f t="shared" si="46"/>
        <v>5</v>
      </c>
      <c r="I106" s="3">
        <f t="shared" si="46"/>
        <v>4</v>
      </c>
      <c r="J106" s="4">
        <f t="shared" si="46"/>
        <v>4</v>
      </c>
      <c r="K106" s="12">
        <f>SUM(B106:J106)</f>
        <v>41</v>
      </c>
      <c r="N106" s="15"/>
      <c r="O106" s="15"/>
      <c r="P106" s="59"/>
      <c r="Q106" s="59"/>
      <c r="R106" s="59"/>
      <c r="S106" s="59"/>
      <c r="T106" s="59"/>
      <c r="W106" s="15"/>
      <c r="X106" s="15"/>
      <c r="Y106" s="15"/>
      <c r="Z106" s="15"/>
      <c r="AA106" s="15"/>
    </row>
    <row r="107" spans="1:27" s="16" customFormat="1" x14ac:dyDescent="0.2">
      <c r="A107" s="30">
        <f>A27</f>
        <v>5</v>
      </c>
      <c r="B107" s="18">
        <f>IF(AND(ISNUMBER($A107),ISNUMBER($A113)),IF((RANK(B$4,$B$4:$J$4,1))&lt;=($A107-$A113),1,0),"")</f>
        <v>0</v>
      </c>
      <c r="C107" s="6">
        <f t="shared" ref="C107:J108" si="47">IF(AND(ISNUMBER($A107),ISNUMBER($A113)),IF((RANK(C$4,$B$4:$J$4,1))&lt;=($A107-$A113),1,0),"")</f>
        <v>0</v>
      </c>
      <c r="D107" s="6">
        <f t="shared" si="47"/>
        <v>0</v>
      </c>
      <c r="E107" s="6">
        <f t="shared" si="47"/>
        <v>0</v>
      </c>
      <c r="F107" s="6">
        <f t="shared" si="47"/>
        <v>0</v>
      </c>
      <c r="G107" s="6">
        <f t="shared" si="47"/>
        <v>0</v>
      </c>
      <c r="H107" s="6">
        <f t="shared" si="47"/>
        <v>0</v>
      </c>
      <c r="I107" s="6">
        <f t="shared" si="47"/>
        <v>0</v>
      </c>
      <c r="J107" s="7">
        <f t="shared" si="47"/>
        <v>0</v>
      </c>
      <c r="K107" s="13">
        <f>SUM(B107:J107)</f>
        <v>0</v>
      </c>
      <c r="N107" s="15"/>
      <c r="O107" s="15"/>
      <c r="P107" s="59"/>
      <c r="Q107" s="59"/>
      <c r="R107" s="59"/>
      <c r="S107" s="59"/>
      <c r="T107" s="59"/>
      <c r="W107" s="15"/>
      <c r="X107" s="15"/>
      <c r="Y107" s="15"/>
      <c r="Z107" s="15"/>
      <c r="AA107" s="15"/>
    </row>
    <row r="108" spans="1:27" s="16" customFormat="1" x14ac:dyDescent="0.2">
      <c r="A108" s="30">
        <f>IF((A107-A113)&gt;9,(A107-A113-9),0)</f>
        <v>0</v>
      </c>
      <c r="B108" s="18">
        <f>IF(AND(ISNUMBER($A108),ISNUMBER($A114)),IF((RANK(B$4,$B$4:$J$4,1))&lt;=($A108-$A114),1,0),"")</f>
        <v>0</v>
      </c>
      <c r="C108" s="6">
        <f t="shared" si="47"/>
        <v>0</v>
      </c>
      <c r="D108" s="6">
        <f t="shared" si="47"/>
        <v>0</v>
      </c>
      <c r="E108" s="6">
        <f t="shared" si="47"/>
        <v>0</v>
      </c>
      <c r="F108" s="6">
        <f t="shared" si="47"/>
        <v>0</v>
      </c>
      <c r="G108" s="6">
        <f t="shared" si="47"/>
        <v>0</v>
      </c>
      <c r="H108" s="6">
        <f t="shared" si="47"/>
        <v>0</v>
      </c>
      <c r="I108" s="6">
        <f t="shared" si="47"/>
        <v>0</v>
      </c>
      <c r="J108" s="7">
        <f t="shared" si="47"/>
        <v>0</v>
      </c>
      <c r="K108" s="13">
        <f>SUM(B108:J108)</f>
        <v>0</v>
      </c>
      <c r="N108" s="15"/>
      <c r="O108" s="15"/>
      <c r="P108" s="59"/>
      <c r="Q108" s="59"/>
      <c r="R108" s="59"/>
      <c r="S108" s="59"/>
      <c r="T108" s="59"/>
      <c r="W108" s="15"/>
      <c r="X108" s="15"/>
      <c r="Y108" s="15"/>
      <c r="Z108" s="15"/>
      <c r="AA108" s="15"/>
    </row>
    <row r="109" spans="1:27" s="16" customFormat="1" x14ac:dyDescent="0.2">
      <c r="A109" s="30"/>
      <c r="B109" s="82">
        <f>IF(AND(ISNUMBER(B106),ISNUMBER(B107)),B106-B107-B108," ")</f>
        <v>3</v>
      </c>
      <c r="C109" s="83">
        <f t="shared" ref="C109:J109" si="48">IF(AND(ISNUMBER(C106),ISNUMBER(C107)),C106-C107-C108," ")</f>
        <v>4</v>
      </c>
      <c r="D109" s="83">
        <f t="shared" si="48"/>
        <v>6</v>
      </c>
      <c r="E109" s="83">
        <f t="shared" si="48"/>
        <v>5</v>
      </c>
      <c r="F109" s="83">
        <f t="shared" si="48"/>
        <v>6</v>
      </c>
      <c r="G109" s="83">
        <f t="shared" si="48"/>
        <v>4</v>
      </c>
      <c r="H109" s="83">
        <f t="shared" si="48"/>
        <v>5</v>
      </c>
      <c r="I109" s="83">
        <f t="shared" si="48"/>
        <v>4</v>
      </c>
      <c r="J109" s="84">
        <f t="shared" si="48"/>
        <v>4</v>
      </c>
      <c r="K109" s="13">
        <f>IF(ISNUMBER(FIND("Wins",K110)), 2, IF(ISNUMBER(FIND("Tie",K110)), 1, 0))</f>
        <v>2</v>
      </c>
      <c r="N109" s="15"/>
      <c r="O109" s="15"/>
      <c r="P109" s="59"/>
      <c r="Q109" s="59"/>
      <c r="R109" s="59"/>
      <c r="S109" s="59"/>
      <c r="T109" s="59"/>
      <c r="W109" s="15"/>
      <c r="X109" s="15"/>
      <c r="Y109" s="15"/>
      <c r="Z109" s="15"/>
      <c r="AA109" s="15"/>
    </row>
    <row r="110" spans="1:27" s="16" customFormat="1" ht="13.5" thickBot="1" x14ac:dyDescent="0.25">
      <c r="A110" s="31"/>
      <c r="B110" s="19">
        <f>IF(AND(ISNUMBER(B109),ISNUMBER(B115)),IF(B109&lt;B115, 0+1, (IF(B109&gt;B115, 0-1, 0)))," ")</f>
        <v>1</v>
      </c>
      <c r="C110" s="9">
        <f t="shared" ref="C110:J110" si="49">IF(AND(ISNUMBER(C109),ISNUMBER(C115)),IF(C109&lt;C115, +B110+1, (IF(C109&gt;C115, +B110-1, +B110)))," ")</f>
        <v>1</v>
      </c>
      <c r="D110" s="9">
        <f t="shared" si="49"/>
        <v>0</v>
      </c>
      <c r="E110" s="9">
        <f t="shared" si="49"/>
        <v>-1</v>
      </c>
      <c r="F110" s="9">
        <f t="shared" si="49"/>
        <v>0</v>
      </c>
      <c r="G110" s="9">
        <f t="shared" si="49"/>
        <v>1</v>
      </c>
      <c r="H110" s="9">
        <f t="shared" si="49"/>
        <v>1</v>
      </c>
      <c r="I110" s="9">
        <f t="shared" si="49"/>
        <v>2</v>
      </c>
      <c r="J110" s="10">
        <f t="shared" si="49"/>
        <v>3</v>
      </c>
      <c r="K110" s="14" t="str">
        <f>IF(ISNUMBER(J110),IF(F110&gt;4,"Wins " &amp; F110 &amp; " &amp; 4",IF(G110&gt;3,"Wins " &amp; G110 &amp; " &amp; 3",IF(H110&gt;2,"Wins " &amp; H110 &amp; " &amp; 2",IF(I110&gt;1,"Wins " &amp; I110 &amp; " &amp; 1",IF(J110&gt;J116,"Wins " &amp; J110 &amp; " Up",IF(J110&lt;J116,"Loss","Tie"))))))," ")</f>
        <v>Wins 2 &amp; 1</v>
      </c>
      <c r="N110" s="15"/>
      <c r="O110" s="15"/>
      <c r="P110" s="59"/>
      <c r="Q110" s="59"/>
      <c r="R110" s="59"/>
      <c r="S110" s="59"/>
      <c r="T110" s="59"/>
      <c r="W110" s="15"/>
      <c r="X110" s="15"/>
      <c r="Y110" s="15"/>
      <c r="Z110" s="15"/>
      <c r="AA110" s="15"/>
    </row>
    <row r="111" spans="1:27" s="16" customFormat="1" ht="13.5" thickBot="1" x14ac:dyDescent="0.25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N111" s="15"/>
      <c r="O111" s="15"/>
      <c r="P111" s="59"/>
      <c r="Q111" s="59"/>
      <c r="R111" s="59"/>
      <c r="S111" s="59"/>
      <c r="T111" s="59"/>
      <c r="W111" s="15"/>
      <c r="X111" s="15"/>
      <c r="Y111" s="15"/>
      <c r="Z111" s="15"/>
      <c r="AA111" s="15"/>
    </row>
    <row r="112" spans="1:27" s="16" customFormat="1" x14ac:dyDescent="0.2">
      <c r="A112" s="79" t="str">
        <f t="shared" ref="A112:J112" si="50">A24</f>
        <v>Tony W</v>
      </c>
      <c r="B112" s="17">
        <f t="shared" si="50"/>
        <v>9</v>
      </c>
      <c r="C112" s="3">
        <f t="shared" si="50"/>
        <v>4</v>
      </c>
      <c r="D112" s="3">
        <f t="shared" si="50"/>
        <v>6</v>
      </c>
      <c r="E112" s="3">
        <f t="shared" si="50"/>
        <v>5</v>
      </c>
      <c r="F112" s="3">
        <f t="shared" si="50"/>
        <v>7</v>
      </c>
      <c r="G112" s="3">
        <f t="shared" si="50"/>
        <v>5</v>
      </c>
      <c r="H112" s="3">
        <f t="shared" si="50"/>
        <v>5</v>
      </c>
      <c r="I112" s="3">
        <f t="shared" si="50"/>
        <v>8</v>
      </c>
      <c r="J112" s="4">
        <f t="shared" si="50"/>
        <v>8</v>
      </c>
      <c r="K112" s="12">
        <f>SUM(B112:J112)</f>
        <v>57</v>
      </c>
      <c r="N112" s="15"/>
      <c r="O112" s="15"/>
      <c r="P112" s="59"/>
      <c r="Q112" s="59"/>
      <c r="R112" s="59"/>
      <c r="S112" s="59"/>
      <c r="T112" s="59"/>
      <c r="W112" s="15"/>
      <c r="X112" s="15"/>
      <c r="Y112" s="15"/>
      <c r="Z112" s="15"/>
      <c r="AA112" s="15"/>
    </row>
    <row r="113" spans="1:27" s="16" customFormat="1" x14ac:dyDescent="0.2">
      <c r="A113" s="80">
        <f>A25</f>
        <v>10</v>
      </c>
      <c r="B113" s="18">
        <f>IF(AND(ISNUMBER($A107),ISNUMBER($A113)),IF((RANK(B$4,$B$4:$J$4,1))&lt;=($A113-$A107),1,0),"")</f>
        <v>1</v>
      </c>
      <c r="C113" s="6">
        <f t="shared" ref="C113:J114" si="51">IF(AND(ISNUMBER($A107),ISNUMBER($A113)),IF((RANK(C$4,$B$4:$J$4,1))&lt;=($A113-$A107),1,0),"")</f>
        <v>0</v>
      </c>
      <c r="D113" s="6">
        <f t="shared" si="51"/>
        <v>1</v>
      </c>
      <c r="E113" s="6">
        <f t="shared" si="51"/>
        <v>1</v>
      </c>
      <c r="F113" s="6">
        <f t="shared" si="51"/>
        <v>0</v>
      </c>
      <c r="G113" s="6">
        <f t="shared" si="51"/>
        <v>0</v>
      </c>
      <c r="H113" s="6">
        <f t="shared" si="51"/>
        <v>0</v>
      </c>
      <c r="I113" s="6">
        <f t="shared" si="51"/>
        <v>1</v>
      </c>
      <c r="J113" s="7">
        <f t="shared" si="51"/>
        <v>1</v>
      </c>
      <c r="K113" s="13">
        <f>SUM(B113:J113)</f>
        <v>5</v>
      </c>
      <c r="N113" s="15"/>
      <c r="O113" s="15"/>
      <c r="P113" s="59"/>
      <c r="Q113" s="59"/>
      <c r="R113" s="59"/>
      <c r="S113" s="59"/>
      <c r="T113" s="59"/>
      <c r="W113" s="15"/>
      <c r="X113" s="15"/>
      <c r="Y113" s="15"/>
      <c r="Z113" s="15"/>
      <c r="AA113" s="15"/>
    </row>
    <row r="114" spans="1:27" s="16" customFormat="1" x14ac:dyDescent="0.2">
      <c r="A114" s="80">
        <f>IF((A113-A107)&gt;9,(A113-A107-9),0)</f>
        <v>0</v>
      </c>
      <c r="B114" s="18">
        <f>IF(AND(ISNUMBER($A108),ISNUMBER($A114)),IF((RANK(B$4,$B$4:$J$4,1))&lt;=($A114-$A108),1,0),"")</f>
        <v>0</v>
      </c>
      <c r="C114" s="6">
        <f t="shared" si="51"/>
        <v>0</v>
      </c>
      <c r="D114" s="6">
        <f t="shared" si="51"/>
        <v>0</v>
      </c>
      <c r="E114" s="6">
        <f t="shared" si="51"/>
        <v>0</v>
      </c>
      <c r="F114" s="6">
        <f t="shared" si="51"/>
        <v>0</v>
      </c>
      <c r="G114" s="6">
        <f t="shared" si="51"/>
        <v>0</v>
      </c>
      <c r="H114" s="6">
        <f t="shared" si="51"/>
        <v>0</v>
      </c>
      <c r="I114" s="6">
        <f t="shared" si="51"/>
        <v>0</v>
      </c>
      <c r="J114" s="7">
        <f t="shared" si="51"/>
        <v>0</v>
      </c>
      <c r="K114" s="13">
        <f>SUM(B114:J114)</f>
        <v>0</v>
      </c>
      <c r="N114" s="15"/>
      <c r="O114" s="15"/>
      <c r="P114" s="59"/>
      <c r="Q114" s="59"/>
      <c r="R114" s="59"/>
      <c r="S114" s="59"/>
      <c r="T114" s="59"/>
      <c r="W114" s="15"/>
      <c r="X114" s="15"/>
      <c r="Y114" s="15"/>
      <c r="Z114" s="15"/>
      <c r="AA114" s="15"/>
    </row>
    <row r="115" spans="1:27" s="16" customFormat="1" x14ac:dyDescent="0.2">
      <c r="A115" s="80"/>
      <c r="B115" s="82">
        <f>IF(AND(ISNUMBER(B112),ISNUMBER(B113)),B112-B113-B114," ")</f>
        <v>8</v>
      </c>
      <c r="C115" s="83">
        <f t="shared" ref="C115:J115" si="52">IF(AND(ISNUMBER(C112),ISNUMBER(C113)),C112-C113-C114," ")</f>
        <v>4</v>
      </c>
      <c r="D115" s="83">
        <f t="shared" si="52"/>
        <v>5</v>
      </c>
      <c r="E115" s="83">
        <f t="shared" si="52"/>
        <v>4</v>
      </c>
      <c r="F115" s="83">
        <f t="shared" si="52"/>
        <v>7</v>
      </c>
      <c r="G115" s="83">
        <f t="shared" si="52"/>
        <v>5</v>
      </c>
      <c r="H115" s="83">
        <f t="shared" si="52"/>
        <v>5</v>
      </c>
      <c r="I115" s="83">
        <f t="shared" si="52"/>
        <v>7</v>
      </c>
      <c r="J115" s="84">
        <f t="shared" si="52"/>
        <v>7</v>
      </c>
      <c r="K115" s="13">
        <f>IF(ISNUMBER(FIND("Wins",K116)), 2, IF(ISNUMBER(FIND("Tie",K116)), 1, 0))</f>
        <v>0</v>
      </c>
      <c r="N115" s="15"/>
      <c r="O115" s="15"/>
      <c r="P115" s="59"/>
      <c r="Q115" s="59"/>
      <c r="R115" s="59"/>
      <c r="S115" s="59"/>
      <c r="T115" s="59"/>
      <c r="W115" s="15"/>
      <c r="X115" s="15"/>
      <c r="Y115" s="15"/>
      <c r="Z115" s="15"/>
      <c r="AA115" s="15"/>
    </row>
    <row r="116" spans="1:27" s="16" customFormat="1" ht="13.5" thickBot="1" x14ac:dyDescent="0.25">
      <c r="A116" s="81"/>
      <c r="B116" s="19">
        <f>IF(AND(ISNUMBER(B109),ISNUMBER(B115)),IF(B115&lt;B109, 0+1, (IF(B115&gt;B109, 0-1, 0)))," ")</f>
        <v>-1</v>
      </c>
      <c r="C116" s="9">
        <f t="shared" ref="C116:J116" si="53">IF(AND(ISNUMBER(C109),ISNUMBER(C115)),IF(C115&lt;C109, +B116+1, (IF(C115&gt;C109, +B116-1, +B116)))," ")</f>
        <v>-1</v>
      </c>
      <c r="D116" s="9">
        <f t="shared" si="53"/>
        <v>0</v>
      </c>
      <c r="E116" s="9">
        <f t="shared" si="53"/>
        <v>1</v>
      </c>
      <c r="F116" s="9">
        <f t="shared" si="53"/>
        <v>0</v>
      </c>
      <c r="G116" s="9">
        <f t="shared" si="53"/>
        <v>-1</v>
      </c>
      <c r="H116" s="9">
        <f t="shared" si="53"/>
        <v>-1</v>
      </c>
      <c r="I116" s="9">
        <f t="shared" si="53"/>
        <v>-2</v>
      </c>
      <c r="J116" s="10">
        <f t="shared" si="53"/>
        <v>-3</v>
      </c>
      <c r="K116" s="14" t="str">
        <f>IF(ISNUMBER(J116),IF(F116&gt;4,"Wins " &amp; F116 &amp; " &amp; 4",IF(G116&gt;3,"Wins " &amp; G116 &amp; " &amp; 3",IF(H116&gt;2,"Wins " &amp; H116 &amp; " &amp; 2",IF(I116&gt;1,"Wins " &amp; I116 &amp; " &amp; 1",IF(J116&gt;J110,"Wins " &amp; J116 &amp; " Up",IF(J116&lt;J110,"Loss","Tie"))))))," ")</f>
        <v>Loss</v>
      </c>
      <c r="N116" s="15"/>
      <c r="O116" s="15"/>
      <c r="P116" s="59"/>
      <c r="Q116" s="59"/>
      <c r="R116" s="59"/>
      <c r="S116" s="59"/>
      <c r="T116" s="59"/>
      <c r="W116" s="15"/>
      <c r="X116" s="15"/>
      <c r="Y116" s="15"/>
      <c r="Z116" s="15"/>
      <c r="AA116" s="15"/>
    </row>
    <row r="117" spans="1:27" s="16" customFormat="1" x14ac:dyDescent="0.2">
      <c r="A117" s="26"/>
      <c r="B117" s="85"/>
      <c r="C117" s="85"/>
      <c r="D117" s="85"/>
      <c r="E117" s="85"/>
      <c r="F117" s="85"/>
      <c r="G117" s="85"/>
      <c r="H117" s="85"/>
      <c r="I117" s="85"/>
      <c r="J117" s="85"/>
      <c r="K117" s="15"/>
      <c r="N117" s="15"/>
      <c r="O117" s="15"/>
      <c r="P117" s="59"/>
      <c r="Q117" s="59"/>
      <c r="R117" s="59"/>
      <c r="S117" s="59"/>
      <c r="T117" s="59"/>
      <c r="W117" s="15"/>
      <c r="X117" s="15"/>
      <c r="Y117" s="15"/>
      <c r="Z117" s="15"/>
      <c r="AA117" s="15"/>
    </row>
    <row r="118" spans="1:27" ht="13.5" thickBot="1" x14ac:dyDescent="0.25">
      <c r="A118" s="24" t="s">
        <v>82</v>
      </c>
    </row>
    <row r="119" spans="1:27" x14ac:dyDescent="0.2">
      <c r="A119" s="79" t="str">
        <f t="shared" ref="A119:J119" si="54">A30</f>
        <v>Mil</v>
      </c>
      <c r="B119" s="17">
        <f t="shared" si="54"/>
        <v>4</v>
      </c>
      <c r="C119" s="3">
        <f t="shared" si="54"/>
        <v>4</v>
      </c>
      <c r="D119" s="3">
        <f t="shared" si="54"/>
        <v>5</v>
      </c>
      <c r="E119" s="3">
        <f t="shared" si="54"/>
        <v>5</v>
      </c>
      <c r="F119" s="3">
        <f t="shared" si="54"/>
        <v>8</v>
      </c>
      <c r="G119" s="3">
        <f t="shared" si="54"/>
        <v>5</v>
      </c>
      <c r="H119" s="3">
        <f t="shared" si="54"/>
        <v>5</v>
      </c>
      <c r="I119" s="3">
        <f t="shared" si="54"/>
        <v>7</v>
      </c>
      <c r="J119" s="4">
        <f t="shared" si="54"/>
        <v>7</v>
      </c>
      <c r="K119" s="12">
        <f>SUM(B119:J119)</f>
        <v>50</v>
      </c>
    </row>
    <row r="120" spans="1:27" x14ac:dyDescent="0.2">
      <c r="A120" s="80">
        <f>A31</f>
        <v>6</v>
      </c>
      <c r="B120" s="18">
        <f>IF(AND(ISNUMBER($A120),ISNUMBER($A126)),IF((RANK(B$4,$B$4:$J$4,1))&lt;=($A120-$A126),1,0),"")</f>
        <v>0</v>
      </c>
      <c r="C120" s="6">
        <f t="shared" ref="C120:J120" si="55">IF(AND(ISNUMBER($A120),ISNUMBER($A126)),IF((RANK(C$4,$B$4:$J$4,1))&lt;=($A120-$A126),1,0),"")</f>
        <v>0</v>
      </c>
      <c r="D120" s="6">
        <f t="shared" si="55"/>
        <v>0</v>
      </c>
      <c r="E120" s="6">
        <f t="shared" si="55"/>
        <v>0</v>
      </c>
      <c r="F120" s="6">
        <f t="shared" si="55"/>
        <v>0</v>
      </c>
      <c r="G120" s="6">
        <f t="shared" si="55"/>
        <v>0</v>
      </c>
      <c r="H120" s="6">
        <f t="shared" si="55"/>
        <v>0</v>
      </c>
      <c r="I120" s="6">
        <f t="shared" si="55"/>
        <v>0</v>
      </c>
      <c r="J120" s="7">
        <f t="shared" si="55"/>
        <v>0</v>
      </c>
      <c r="K120" s="13">
        <f>SUM(B120:J120)</f>
        <v>0</v>
      </c>
    </row>
    <row r="121" spans="1:27" x14ac:dyDescent="0.2">
      <c r="A121" s="80">
        <f>IF((A120-A126)&gt;9,(A120-A126-9),0)</f>
        <v>0</v>
      </c>
      <c r="B121" s="18">
        <f>IF(AND(ISNUMBER($A121),ISNUMBER($A127)),IF((RANK(B$4,$B$4:$J$4,1))&lt;=($A121-$A127),1,0),"")</f>
        <v>0</v>
      </c>
      <c r="C121" s="6">
        <f t="shared" ref="C121:J121" si="56">IF(AND(ISNUMBER($A121),ISNUMBER($A127)),IF((RANK(C$4,$B$4:$J$4,1))&lt;=($A121-$A127),1,0),"")</f>
        <v>0</v>
      </c>
      <c r="D121" s="6">
        <f t="shared" si="56"/>
        <v>0</v>
      </c>
      <c r="E121" s="6">
        <f t="shared" si="56"/>
        <v>0</v>
      </c>
      <c r="F121" s="6">
        <f t="shared" si="56"/>
        <v>0</v>
      </c>
      <c r="G121" s="6">
        <f t="shared" si="56"/>
        <v>0</v>
      </c>
      <c r="H121" s="6">
        <f t="shared" si="56"/>
        <v>0</v>
      </c>
      <c r="I121" s="6">
        <f t="shared" si="56"/>
        <v>0</v>
      </c>
      <c r="J121" s="7">
        <f t="shared" si="56"/>
        <v>0</v>
      </c>
      <c r="K121" s="13">
        <f>SUM(B121:J121)</f>
        <v>0</v>
      </c>
    </row>
    <row r="122" spans="1:27" x14ac:dyDescent="0.2">
      <c r="A122" s="80"/>
      <c r="B122" s="82">
        <f>IF(AND(ISNUMBER(B119),ISNUMBER(B120)),B119-B120-B121," ")</f>
        <v>4</v>
      </c>
      <c r="C122" s="83">
        <f t="shared" ref="C122:J122" si="57">IF(AND(ISNUMBER(C119),ISNUMBER(C120)),C119-C120-C121," ")</f>
        <v>4</v>
      </c>
      <c r="D122" s="83">
        <f t="shared" si="57"/>
        <v>5</v>
      </c>
      <c r="E122" s="83">
        <f t="shared" si="57"/>
        <v>5</v>
      </c>
      <c r="F122" s="83">
        <f t="shared" si="57"/>
        <v>8</v>
      </c>
      <c r="G122" s="83">
        <f t="shared" si="57"/>
        <v>5</v>
      </c>
      <c r="H122" s="83">
        <f t="shared" si="57"/>
        <v>5</v>
      </c>
      <c r="I122" s="83">
        <f t="shared" si="57"/>
        <v>7</v>
      </c>
      <c r="J122" s="84">
        <f t="shared" si="57"/>
        <v>7</v>
      </c>
      <c r="K122" s="13">
        <f>IF(ISNUMBER(FIND("Wins",K123)), 2, IF(ISNUMBER(FIND("Tie",K123)), 1, 0))</f>
        <v>2</v>
      </c>
    </row>
    <row r="123" spans="1:27" ht="13.5" thickBot="1" x14ac:dyDescent="0.25">
      <c r="A123" s="81"/>
      <c r="B123" s="19">
        <f>IF(AND(ISNUMBER(B122),ISNUMBER(B128)),IF(B122&lt;B128, 0+1, (IF(B122&gt;B128, 0-1, 0)))," ")</f>
        <v>1</v>
      </c>
      <c r="C123" s="9">
        <f t="shared" ref="C123:J123" si="58">IF(AND(ISNUMBER(C122),ISNUMBER(C128)),IF(C122&lt;C128, +B123+1, (IF(C122&gt;C128, +B123-1, +B123)))," ")</f>
        <v>2</v>
      </c>
      <c r="D123" s="9">
        <f t="shared" si="58"/>
        <v>1</v>
      </c>
      <c r="E123" s="9">
        <f t="shared" si="58"/>
        <v>2</v>
      </c>
      <c r="F123" s="9">
        <f t="shared" si="58"/>
        <v>1</v>
      </c>
      <c r="G123" s="9">
        <f t="shared" si="58"/>
        <v>2</v>
      </c>
      <c r="H123" s="9">
        <f t="shared" si="58"/>
        <v>3</v>
      </c>
      <c r="I123" s="9">
        <f t="shared" si="58"/>
        <v>2</v>
      </c>
      <c r="J123" s="10">
        <f t="shared" si="58"/>
        <v>1</v>
      </c>
      <c r="K123" s="14" t="str">
        <f>IF(ISNUMBER(J123),IF(F123&gt;4,"Wins " &amp; F123 &amp; " &amp; 4",IF(G123&gt;3,"Wins " &amp; G123 &amp; " &amp; 3",IF(H123&gt;2,"Wins " &amp; H123 &amp; " &amp; 2",IF(I123&gt;1,"Wins " &amp; I123 &amp; " &amp; 1",IF(J123&gt;J129,"Wins " &amp; J123 &amp; " Up",IF(J123&lt;J129,"Loss","Tie"))))))," ")</f>
        <v>Wins 3 &amp; 2</v>
      </c>
    </row>
    <row r="124" spans="1:27" ht="13.5" thickBot="1" x14ac:dyDescent="0.25">
      <c r="A124" s="32"/>
    </row>
    <row r="125" spans="1:27" x14ac:dyDescent="0.2">
      <c r="A125" s="79" t="str">
        <f t="shared" ref="A125:J125" si="59">A36</f>
        <v>Gerald C</v>
      </c>
      <c r="B125" s="17">
        <f t="shared" si="59"/>
        <v>9</v>
      </c>
      <c r="C125" s="3">
        <f t="shared" si="59"/>
        <v>5</v>
      </c>
      <c r="D125" s="3">
        <f t="shared" si="59"/>
        <v>5</v>
      </c>
      <c r="E125" s="3">
        <f t="shared" si="59"/>
        <v>7</v>
      </c>
      <c r="F125" s="3">
        <f t="shared" si="59"/>
        <v>6</v>
      </c>
      <c r="G125" s="3">
        <f t="shared" si="59"/>
        <v>7</v>
      </c>
      <c r="H125" s="3">
        <f t="shared" si="59"/>
        <v>6</v>
      </c>
      <c r="I125" s="3">
        <f t="shared" si="59"/>
        <v>6</v>
      </c>
      <c r="J125" s="4">
        <f t="shared" si="59"/>
        <v>6</v>
      </c>
      <c r="K125" s="12">
        <f>SUM(B125:J125)</f>
        <v>57</v>
      </c>
    </row>
    <row r="126" spans="1:27" x14ac:dyDescent="0.2">
      <c r="A126" s="80">
        <f>A37</f>
        <v>12</v>
      </c>
      <c r="B126" s="18">
        <f>IF(AND(ISNUMBER($A120),ISNUMBER($A126)),IF((RANK(B$4,$B$4:$J$4,1))&lt;=($A126-$A120),1,0),"")</f>
        <v>1</v>
      </c>
      <c r="C126" s="6">
        <f t="shared" ref="C126:J126" si="60">IF(AND(ISNUMBER($A120),ISNUMBER($A126)),IF((RANK(C$4,$B$4:$J$4,1))&lt;=($A126-$A120),1,0),"")</f>
        <v>0</v>
      </c>
      <c r="D126" s="6">
        <f t="shared" si="60"/>
        <v>1</v>
      </c>
      <c r="E126" s="6">
        <f t="shared" si="60"/>
        <v>1</v>
      </c>
      <c r="F126" s="6">
        <f t="shared" si="60"/>
        <v>1</v>
      </c>
      <c r="G126" s="6">
        <f t="shared" si="60"/>
        <v>0</v>
      </c>
      <c r="H126" s="6">
        <f t="shared" si="60"/>
        <v>0</v>
      </c>
      <c r="I126" s="6">
        <f t="shared" si="60"/>
        <v>1</v>
      </c>
      <c r="J126" s="7">
        <f t="shared" si="60"/>
        <v>1</v>
      </c>
      <c r="K126" s="13">
        <f>SUM(B126:J126)</f>
        <v>6</v>
      </c>
    </row>
    <row r="127" spans="1:27" x14ac:dyDescent="0.2">
      <c r="A127" s="80">
        <f>IF((A126-A120)&gt;9,(A126-A120-9),0)</f>
        <v>0</v>
      </c>
      <c r="B127" s="18">
        <f>IF(AND(ISNUMBER($A121),ISNUMBER($A127)),IF((RANK(B$4,$B$4:$J$4,1))&lt;=($A127-$A121),1,0),"")</f>
        <v>0</v>
      </c>
      <c r="C127" s="6">
        <f t="shared" ref="C127:J127" si="61">IF(AND(ISNUMBER($A121),ISNUMBER($A127)),IF((RANK(C$4,$B$4:$J$4,1))&lt;=($A127-$A121),1,0),"")</f>
        <v>0</v>
      </c>
      <c r="D127" s="6">
        <f t="shared" si="61"/>
        <v>0</v>
      </c>
      <c r="E127" s="6">
        <f t="shared" si="61"/>
        <v>0</v>
      </c>
      <c r="F127" s="6">
        <f t="shared" si="61"/>
        <v>0</v>
      </c>
      <c r="G127" s="6">
        <f t="shared" si="61"/>
        <v>0</v>
      </c>
      <c r="H127" s="6">
        <f t="shared" si="61"/>
        <v>0</v>
      </c>
      <c r="I127" s="6">
        <f t="shared" si="61"/>
        <v>0</v>
      </c>
      <c r="J127" s="7">
        <f t="shared" si="61"/>
        <v>0</v>
      </c>
      <c r="K127" s="13">
        <f>SUM(B127:J127)</f>
        <v>0</v>
      </c>
    </row>
    <row r="128" spans="1:27" x14ac:dyDescent="0.2">
      <c r="A128" s="80"/>
      <c r="B128" s="82">
        <f>IF(AND(ISNUMBER(B125),ISNUMBER(B126)),B125-B126-B127," ")</f>
        <v>8</v>
      </c>
      <c r="C128" s="83">
        <f t="shared" ref="C128:J128" si="62">IF(AND(ISNUMBER(C125),ISNUMBER(C126)),C125-C126-C127," ")</f>
        <v>5</v>
      </c>
      <c r="D128" s="83">
        <f t="shared" si="62"/>
        <v>4</v>
      </c>
      <c r="E128" s="83">
        <f t="shared" si="62"/>
        <v>6</v>
      </c>
      <c r="F128" s="83">
        <f t="shared" si="62"/>
        <v>5</v>
      </c>
      <c r="G128" s="83">
        <f t="shared" si="62"/>
        <v>7</v>
      </c>
      <c r="H128" s="83">
        <f t="shared" si="62"/>
        <v>6</v>
      </c>
      <c r="I128" s="83">
        <f t="shared" si="62"/>
        <v>5</v>
      </c>
      <c r="J128" s="84">
        <f t="shared" si="62"/>
        <v>5</v>
      </c>
      <c r="K128" s="13">
        <f>IF(ISNUMBER(FIND("Wins",K129)), 2, IF(ISNUMBER(FIND("Tie",K129)), 1, 0))</f>
        <v>0</v>
      </c>
    </row>
    <row r="129" spans="1:11" ht="13.5" thickBot="1" x14ac:dyDescent="0.25">
      <c r="A129" s="81"/>
      <c r="B129" s="19">
        <f>IF(AND(ISNUMBER(B122),ISNUMBER(B128)),IF(B128&lt;B122, 0+1, (IF(B128&gt;B122, 0-1, 0)))," ")</f>
        <v>-1</v>
      </c>
      <c r="C129" s="9">
        <f t="shared" ref="C129:J129" si="63">IF(AND(ISNUMBER(C122),ISNUMBER(C128)),IF(C128&lt;C122, +B129+1, (IF(C128&gt;C122, +B129-1, +B129)))," ")</f>
        <v>-2</v>
      </c>
      <c r="D129" s="9">
        <f t="shared" si="63"/>
        <v>-1</v>
      </c>
      <c r="E129" s="9">
        <f t="shared" si="63"/>
        <v>-2</v>
      </c>
      <c r="F129" s="9">
        <f t="shared" si="63"/>
        <v>-1</v>
      </c>
      <c r="G129" s="9">
        <f t="shared" si="63"/>
        <v>-2</v>
      </c>
      <c r="H129" s="9">
        <f t="shared" si="63"/>
        <v>-3</v>
      </c>
      <c r="I129" s="9">
        <f t="shared" si="63"/>
        <v>-2</v>
      </c>
      <c r="J129" s="10">
        <f t="shared" si="63"/>
        <v>-1</v>
      </c>
      <c r="K129" s="14" t="str">
        <f>IF(ISNUMBER(J129),IF(F129&gt;4,"Wins " &amp; F129 &amp; " &amp; 4",IF(G129&gt;3,"Wins " &amp; G129 &amp; " &amp; 3",IF(H129&gt;2,"Wins " &amp; H129 &amp; " &amp; 2",IF(I129&gt;1,"Wins " &amp; I129 &amp; " &amp; 1",IF(J129&gt;J123,"Wins " &amp; J129 &amp; " Up",IF(J129&lt;J123,"Loss","Tie"))))))," ")</f>
        <v>Loss</v>
      </c>
    </row>
    <row r="130" spans="1:11" x14ac:dyDescent="0.2">
      <c r="A130" s="26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ht="13.5" thickBot="1" x14ac:dyDescent="0.25">
      <c r="A131" s="24" t="s">
        <v>133</v>
      </c>
    </row>
    <row r="132" spans="1:11" x14ac:dyDescent="0.2">
      <c r="A132" s="29" t="str">
        <f t="shared" ref="A132:J132" si="64">A32</f>
        <v>Brian S</v>
      </c>
      <c r="B132" s="17">
        <f t="shared" si="64"/>
        <v>6</v>
      </c>
      <c r="C132" s="3">
        <f t="shared" si="64"/>
        <v>3</v>
      </c>
      <c r="D132" s="3">
        <f t="shared" si="64"/>
        <v>7</v>
      </c>
      <c r="E132" s="3">
        <f t="shared" si="64"/>
        <v>6</v>
      </c>
      <c r="F132" s="3">
        <f t="shared" si="64"/>
        <v>6</v>
      </c>
      <c r="G132" s="3">
        <f t="shared" si="64"/>
        <v>5</v>
      </c>
      <c r="H132" s="3">
        <f t="shared" si="64"/>
        <v>6</v>
      </c>
      <c r="I132" s="3">
        <f t="shared" si="64"/>
        <v>5</v>
      </c>
      <c r="J132" s="4">
        <f t="shared" si="64"/>
        <v>7</v>
      </c>
      <c r="K132" s="12">
        <f>SUM(B132:J132)</f>
        <v>51</v>
      </c>
    </row>
    <row r="133" spans="1:11" x14ac:dyDescent="0.2">
      <c r="A133" s="30">
        <f>A33</f>
        <v>13</v>
      </c>
      <c r="B133" s="18">
        <f>IF(AND(ISNUMBER($A133),ISNUMBER($A139)),IF((RANK(B$4,$B$4:$J$4,1))&lt;=($A133-$A139),1,0),"")</f>
        <v>0</v>
      </c>
      <c r="C133" s="6">
        <f t="shared" ref="C133:J133" si="65">IF(AND(ISNUMBER($A133),ISNUMBER($A139)),IF((RANK(C$4,$B$4:$J$4,1))&lt;=($A133-$A139),1,0),"")</f>
        <v>0</v>
      </c>
      <c r="D133" s="6">
        <f t="shared" si="65"/>
        <v>0</v>
      </c>
      <c r="E133" s="6">
        <f t="shared" si="65"/>
        <v>0</v>
      </c>
      <c r="F133" s="6">
        <f t="shared" si="65"/>
        <v>0</v>
      </c>
      <c r="G133" s="6">
        <f t="shared" si="65"/>
        <v>0</v>
      </c>
      <c r="H133" s="6">
        <f t="shared" si="65"/>
        <v>0</v>
      </c>
      <c r="I133" s="6">
        <f t="shared" si="65"/>
        <v>0</v>
      </c>
      <c r="J133" s="7">
        <f t="shared" si="65"/>
        <v>0</v>
      </c>
      <c r="K133" s="13">
        <f>SUM(B133:J133)</f>
        <v>0</v>
      </c>
    </row>
    <row r="134" spans="1:11" x14ac:dyDescent="0.2">
      <c r="A134" s="30">
        <f>IF((A133-A139)&gt;9,(A133-A139-9),0)</f>
        <v>0</v>
      </c>
      <c r="B134" s="18">
        <f>IF(AND(ISNUMBER($A134),ISNUMBER($A140)),IF((RANK(B$4,$B$4:$J$4,1))&lt;=($A134-$A140),1,0),"")</f>
        <v>0</v>
      </c>
      <c r="C134" s="6">
        <f t="shared" ref="C134:J134" si="66">IF(AND(ISNUMBER($A134),ISNUMBER($A140)),IF((RANK(C$4,$B$4:$J$4,1))&lt;=($A134-$A140),1,0),"")</f>
        <v>0</v>
      </c>
      <c r="D134" s="6">
        <f t="shared" si="66"/>
        <v>0</v>
      </c>
      <c r="E134" s="6">
        <f t="shared" si="66"/>
        <v>0</v>
      </c>
      <c r="F134" s="6">
        <f t="shared" si="66"/>
        <v>0</v>
      </c>
      <c r="G134" s="6">
        <f t="shared" si="66"/>
        <v>0</v>
      </c>
      <c r="H134" s="6">
        <f t="shared" si="66"/>
        <v>0</v>
      </c>
      <c r="I134" s="6">
        <f t="shared" si="66"/>
        <v>0</v>
      </c>
      <c r="J134" s="7">
        <f t="shared" si="66"/>
        <v>0</v>
      </c>
      <c r="K134" s="13">
        <f>SUM(B134:J134)</f>
        <v>0</v>
      </c>
    </row>
    <row r="135" spans="1:11" x14ac:dyDescent="0.2">
      <c r="A135" s="30"/>
      <c r="B135" s="82">
        <f>IF(AND(ISNUMBER(B132),ISNUMBER(B133)),B132-B133-B134," ")</f>
        <v>6</v>
      </c>
      <c r="C135" s="83">
        <f t="shared" ref="C135:J135" si="67">IF(AND(ISNUMBER(C132),ISNUMBER(C133)),C132-C133-C134," ")</f>
        <v>3</v>
      </c>
      <c r="D135" s="83">
        <f t="shared" si="67"/>
        <v>7</v>
      </c>
      <c r="E135" s="83">
        <f t="shared" si="67"/>
        <v>6</v>
      </c>
      <c r="F135" s="83">
        <f t="shared" si="67"/>
        <v>6</v>
      </c>
      <c r="G135" s="83">
        <f t="shared" si="67"/>
        <v>5</v>
      </c>
      <c r="H135" s="83">
        <f t="shared" si="67"/>
        <v>6</v>
      </c>
      <c r="I135" s="83">
        <f t="shared" si="67"/>
        <v>5</v>
      </c>
      <c r="J135" s="84">
        <f t="shared" si="67"/>
        <v>7</v>
      </c>
      <c r="K135" s="13">
        <f>IF(ISNUMBER(FIND("Wins",K136)), 2, IF(ISNUMBER(FIND("Tie",K136)), 1, 0))</f>
        <v>2</v>
      </c>
    </row>
    <row r="136" spans="1:11" ht="13.5" thickBot="1" x14ac:dyDescent="0.25">
      <c r="A136" s="31"/>
      <c r="B136" s="19">
        <f>IF(AND(ISNUMBER(B135),ISNUMBER(B141)),IF(B135&lt;B141, 0+1, (IF(B135&gt;B141, 0-1, 0)))," ")</f>
        <v>1</v>
      </c>
      <c r="C136" s="9">
        <f t="shared" ref="C136:J136" si="68">IF(AND(ISNUMBER(C135),ISNUMBER(C141)),IF(C135&lt;C141, +B136+1, (IF(C135&gt;C141, +B136-1, +B136)))," ")</f>
        <v>2</v>
      </c>
      <c r="D136" s="9">
        <f t="shared" si="68"/>
        <v>2</v>
      </c>
      <c r="E136" s="9">
        <f t="shared" si="68"/>
        <v>3</v>
      </c>
      <c r="F136" s="9">
        <f t="shared" si="68"/>
        <v>4</v>
      </c>
      <c r="G136" s="9">
        <f t="shared" si="68"/>
        <v>5</v>
      </c>
      <c r="H136" s="9">
        <f t="shared" si="68"/>
        <v>5</v>
      </c>
      <c r="I136" s="9">
        <f t="shared" si="68"/>
        <v>6</v>
      </c>
      <c r="J136" s="10">
        <f t="shared" si="68"/>
        <v>7</v>
      </c>
      <c r="K136" s="14" t="str">
        <f>IF(ISNUMBER(J136),IF(F136&gt;4,"Wins " &amp; F136 &amp; " &amp; 4",IF(G136&gt;3,"Wins " &amp; G136 &amp; " &amp; 3",IF(H136&gt;2,"Wins " &amp; H136 &amp; " &amp; 2",IF(I136&gt;1,"Wins " &amp; I136 &amp; " &amp; 1",IF(J136&gt;J142,"Wins " &amp; J136 &amp; " Up",IF(J136&lt;J142,"Loss","Tie"))))))," ")</f>
        <v>Wins 5 &amp; 3</v>
      </c>
    </row>
    <row r="137" spans="1:11" ht="13.5" thickBot="1" x14ac:dyDescent="0.25">
      <c r="A137" s="32"/>
    </row>
    <row r="138" spans="1:11" x14ac:dyDescent="0.2">
      <c r="A138" s="79" t="str">
        <f t="shared" ref="A138:J138" si="69">A34</f>
        <v>Keith</v>
      </c>
      <c r="B138" s="17">
        <f t="shared" si="69"/>
        <v>7</v>
      </c>
      <c r="C138" s="3">
        <f t="shared" si="69"/>
        <v>4</v>
      </c>
      <c r="D138" s="3">
        <f t="shared" si="69"/>
        <v>8</v>
      </c>
      <c r="E138" s="3">
        <f t="shared" si="69"/>
        <v>8</v>
      </c>
      <c r="F138" s="3">
        <f t="shared" si="69"/>
        <v>9</v>
      </c>
      <c r="G138" s="3">
        <f t="shared" si="69"/>
        <v>6</v>
      </c>
      <c r="H138" s="3">
        <f t="shared" si="69"/>
        <v>6</v>
      </c>
      <c r="I138" s="3">
        <f t="shared" si="69"/>
        <v>7</v>
      </c>
      <c r="J138" s="4">
        <f t="shared" si="69"/>
        <v>9</v>
      </c>
      <c r="K138" s="12">
        <f>SUM(B138:J138)</f>
        <v>64</v>
      </c>
    </row>
    <row r="139" spans="1:11" x14ac:dyDescent="0.2">
      <c r="A139" s="80">
        <f>A35</f>
        <v>16</v>
      </c>
      <c r="B139" s="18">
        <f>IF(AND(ISNUMBER($A133),ISNUMBER($A139)),IF((RANK(B$4,$B$4:$J$4,1))&lt;=($A139-$A133),1,0),"")</f>
        <v>0</v>
      </c>
      <c r="C139" s="6">
        <f t="shared" ref="C139:J139" si="70">IF(AND(ISNUMBER($A133),ISNUMBER($A139)),IF((RANK(C$4,$B$4:$J$4,1))&lt;=($A139-$A133),1,0),"")</f>
        <v>0</v>
      </c>
      <c r="D139" s="6">
        <f t="shared" si="70"/>
        <v>1</v>
      </c>
      <c r="E139" s="6">
        <f t="shared" si="70"/>
        <v>1</v>
      </c>
      <c r="F139" s="6">
        <f t="shared" si="70"/>
        <v>0</v>
      </c>
      <c r="G139" s="6">
        <f t="shared" si="70"/>
        <v>0</v>
      </c>
      <c r="H139" s="6">
        <f t="shared" si="70"/>
        <v>0</v>
      </c>
      <c r="I139" s="6">
        <f t="shared" si="70"/>
        <v>1</v>
      </c>
      <c r="J139" s="7">
        <f t="shared" si="70"/>
        <v>0</v>
      </c>
      <c r="K139" s="13">
        <f>SUM(B139:J139)</f>
        <v>3</v>
      </c>
    </row>
    <row r="140" spans="1:11" x14ac:dyDescent="0.2">
      <c r="A140" s="80">
        <f>IF((A139-A133)&gt;9,(A139-A133-9),0)</f>
        <v>0</v>
      </c>
      <c r="B140" s="18">
        <f>IF(AND(ISNUMBER($A134),ISNUMBER($A140)),IF((RANK(B$4,$B$4:$J$4,1))&lt;=($A140-$A134),1,0),"")</f>
        <v>0</v>
      </c>
      <c r="C140" s="6">
        <f t="shared" ref="C140:J140" si="71">IF(AND(ISNUMBER($A134),ISNUMBER($A140)),IF((RANK(C$4,$B$4:$J$4,1))&lt;=($A140-$A134),1,0),"")</f>
        <v>0</v>
      </c>
      <c r="D140" s="6">
        <f t="shared" si="71"/>
        <v>0</v>
      </c>
      <c r="E140" s="6">
        <f t="shared" si="71"/>
        <v>0</v>
      </c>
      <c r="F140" s="6">
        <f t="shared" si="71"/>
        <v>0</v>
      </c>
      <c r="G140" s="6">
        <f t="shared" si="71"/>
        <v>0</v>
      </c>
      <c r="H140" s="6">
        <f t="shared" si="71"/>
        <v>0</v>
      </c>
      <c r="I140" s="6">
        <f t="shared" si="71"/>
        <v>0</v>
      </c>
      <c r="J140" s="7">
        <f t="shared" si="71"/>
        <v>0</v>
      </c>
      <c r="K140" s="13">
        <f>SUM(B140:J140)</f>
        <v>0</v>
      </c>
    </row>
    <row r="141" spans="1:11" x14ac:dyDescent="0.2">
      <c r="A141" s="80"/>
      <c r="B141" s="82">
        <f>IF(AND(ISNUMBER(B138),ISNUMBER(B139)),B138-B139-B140," ")</f>
        <v>7</v>
      </c>
      <c r="C141" s="83">
        <f t="shared" ref="C141:J141" si="72">IF(AND(ISNUMBER(C138),ISNUMBER(C139)),C138-C139-C140," ")</f>
        <v>4</v>
      </c>
      <c r="D141" s="83">
        <f t="shared" si="72"/>
        <v>7</v>
      </c>
      <c r="E141" s="83">
        <f t="shared" si="72"/>
        <v>7</v>
      </c>
      <c r="F141" s="83">
        <f t="shared" si="72"/>
        <v>9</v>
      </c>
      <c r="G141" s="83">
        <f t="shared" si="72"/>
        <v>6</v>
      </c>
      <c r="H141" s="83">
        <f t="shared" si="72"/>
        <v>6</v>
      </c>
      <c r="I141" s="83">
        <f t="shared" si="72"/>
        <v>6</v>
      </c>
      <c r="J141" s="84">
        <f t="shared" si="72"/>
        <v>9</v>
      </c>
      <c r="K141" s="13">
        <f>IF(ISNUMBER(FIND("Wins",K142)), 2, IF(ISNUMBER(FIND("Tie",K142)), 1, 0))</f>
        <v>0</v>
      </c>
    </row>
    <row r="142" spans="1:11" ht="13.5" thickBot="1" x14ac:dyDescent="0.25">
      <c r="A142" s="81"/>
      <c r="B142" s="19">
        <f>IF(AND(ISNUMBER(B135),ISNUMBER(B141)),IF(B141&lt;B135, 0+1, (IF(B141&gt;B135, 0-1, 0)))," ")</f>
        <v>-1</v>
      </c>
      <c r="C142" s="9">
        <f t="shared" ref="C142:J142" si="73">IF(AND(ISNUMBER(C135),ISNUMBER(C141)),IF(C141&lt;C135, +B142+1, (IF(C141&gt;C135, +B142-1, +B142)))," ")</f>
        <v>-2</v>
      </c>
      <c r="D142" s="9">
        <f t="shared" si="73"/>
        <v>-2</v>
      </c>
      <c r="E142" s="9">
        <f t="shared" si="73"/>
        <v>-3</v>
      </c>
      <c r="F142" s="9">
        <f t="shared" si="73"/>
        <v>-4</v>
      </c>
      <c r="G142" s="9">
        <f t="shared" si="73"/>
        <v>-5</v>
      </c>
      <c r="H142" s="9">
        <f t="shared" si="73"/>
        <v>-5</v>
      </c>
      <c r="I142" s="9">
        <f t="shared" si="73"/>
        <v>-6</v>
      </c>
      <c r="J142" s="10">
        <f t="shared" si="73"/>
        <v>-7</v>
      </c>
      <c r="K142" s="14" t="str">
        <f>IF(ISNUMBER(J142),IF(F142&gt;4,"Wins " &amp; F142 &amp; " &amp; 4",IF(G142&gt;3,"Wins " &amp; G142 &amp; " &amp; 3",IF(H142&gt;2,"Wins " &amp; H142 &amp; " &amp; 2",IF(I142&gt;1,"Wins " &amp; I142 &amp; " &amp; 1",IF(J142&gt;J136,"Wins " &amp; J142 &amp; " Up",IF(J142&lt;J136,"Loss","Tie"))))))," ")</f>
        <v>Loss</v>
      </c>
    </row>
    <row r="143" spans="1:11" x14ac:dyDescent="0.2">
      <c r="A143" s="26"/>
      <c r="B143" s="85"/>
      <c r="C143" s="85"/>
      <c r="D143" s="85"/>
      <c r="E143" s="85"/>
      <c r="F143" s="85"/>
      <c r="G143" s="85"/>
      <c r="H143" s="85"/>
      <c r="I143" s="85"/>
      <c r="J143" s="85"/>
      <c r="K143" s="15"/>
    </row>
  </sheetData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43"/>
  <sheetViews>
    <sheetView zoomScaleNormal="100" workbookViewId="0">
      <selection activeCell="S36" sqref="S36"/>
    </sheetView>
  </sheetViews>
  <sheetFormatPr defaultColWidth="9.140625" defaultRowHeight="12.75" x14ac:dyDescent="0.2"/>
  <cols>
    <col min="1" max="1" width="19.7109375" style="20" customWidth="1"/>
    <col min="2" max="10" width="9.140625" style="2"/>
    <col min="11" max="11" width="13.42578125" style="2" customWidth="1"/>
    <col min="12" max="12" width="9.140625" style="1"/>
    <col min="13" max="13" width="11.140625" style="1" customWidth="1"/>
    <col min="14" max="15" width="11.140625" style="2" customWidth="1"/>
    <col min="16" max="20" width="11.85546875" style="52" customWidth="1"/>
    <col min="21" max="22" width="9.140625" style="1"/>
    <col min="23" max="26" width="9.140625" style="2"/>
    <col min="27" max="27" width="9.85546875" style="2" customWidth="1"/>
    <col min="28" max="16384" width="9.140625" style="1"/>
  </cols>
  <sheetData>
    <row r="1" spans="1:27" ht="13.5" thickBot="1" x14ac:dyDescent="0.25"/>
    <row r="2" spans="1:27" x14ac:dyDescent="0.2">
      <c r="A2" s="47" t="s">
        <v>1</v>
      </c>
      <c r="B2" s="76">
        <f>Courses!C36</f>
        <v>1</v>
      </c>
      <c r="C2" s="34">
        <f>Courses!D36</f>
        <v>2</v>
      </c>
      <c r="D2" s="34">
        <f>Courses!E36</f>
        <v>3</v>
      </c>
      <c r="E2" s="34">
        <f>Courses!F36</f>
        <v>4</v>
      </c>
      <c r="F2" s="34">
        <f>Courses!G36</f>
        <v>5</v>
      </c>
      <c r="G2" s="34">
        <f>Courses!H36</f>
        <v>6</v>
      </c>
      <c r="H2" s="34">
        <f>Courses!I36</f>
        <v>7</v>
      </c>
      <c r="I2" s="34">
        <f>Courses!J36</f>
        <v>8</v>
      </c>
      <c r="J2" s="35">
        <f>Courses!K36</f>
        <v>9</v>
      </c>
      <c r="K2" s="73"/>
    </row>
    <row r="3" spans="1:27" x14ac:dyDescent="0.2">
      <c r="A3" s="48" t="s">
        <v>2</v>
      </c>
      <c r="B3" s="77">
        <f>Courses!C37</f>
        <v>4</v>
      </c>
      <c r="C3" s="39">
        <f>Courses!D37</f>
        <v>4</v>
      </c>
      <c r="D3" s="39">
        <f>Courses!E37</f>
        <v>3</v>
      </c>
      <c r="E3" s="39">
        <f>Courses!F37</f>
        <v>4</v>
      </c>
      <c r="F3" s="39">
        <f>Courses!G37</f>
        <v>3</v>
      </c>
      <c r="G3" s="39">
        <f>Courses!H37</f>
        <v>4</v>
      </c>
      <c r="H3" s="39">
        <f>Courses!I37</f>
        <v>5</v>
      </c>
      <c r="I3" s="39">
        <f>Courses!J37</f>
        <v>4</v>
      </c>
      <c r="J3" s="40">
        <f>Courses!K37</f>
        <v>5</v>
      </c>
      <c r="K3" s="74">
        <f>SUM(B3:J3)</f>
        <v>36</v>
      </c>
      <c r="P3" s="55" t="s">
        <v>32</v>
      </c>
    </row>
    <row r="4" spans="1:27" ht="13.5" thickBot="1" x14ac:dyDescent="0.25">
      <c r="A4" s="236" t="s">
        <v>3</v>
      </c>
      <c r="B4" s="78">
        <f>Courses!C38</f>
        <v>1</v>
      </c>
      <c r="C4" s="44">
        <f>Courses!D38</f>
        <v>5</v>
      </c>
      <c r="D4" s="44">
        <f>Courses!E38</f>
        <v>17</v>
      </c>
      <c r="E4" s="44">
        <f>Courses!F38</f>
        <v>7</v>
      </c>
      <c r="F4" s="44">
        <f>Courses!G38</f>
        <v>13</v>
      </c>
      <c r="G4" s="44">
        <f>Courses!H38</f>
        <v>11</v>
      </c>
      <c r="H4" s="44">
        <f>Courses!I38</f>
        <v>15</v>
      </c>
      <c r="I4" s="44">
        <f>Courses!J38</f>
        <v>9</v>
      </c>
      <c r="J4" s="45">
        <f>Courses!K38</f>
        <v>3</v>
      </c>
      <c r="K4" s="75"/>
      <c r="P4" s="52" t="s">
        <v>34</v>
      </c>
      <c r="Q4" s="52" t="s">
        <v>128</v>
      </c>
      <c r="R4" s="52" t="s">
        <v>33</v>
      </c>
      <c r="T4" s="52" t="s">
        <v>129</v>
      </c>
    </row>
    <row r="5" spans="1:27" ht="13.5" thickBot="1" x14ac:dyDescent="0.25">
      <c r="A5" s="26"/>
      <c r="M5" s="167" t="s">
        <v>16</v>
      </c>
      <c r="N5" s="232" t="s">
        <v>17</v>
      </c>
      <c r="O5" s="232" t="s">
        <v>36</v>
      </c>
      <c r="P5" s="161" t="str">
        <f>Results!C40</f>
        <v>Long Drive</v>
      </c>
      <c r="Q5" s="50" t="str">
        <f>Results!D40</f>
        <v>Closest to Pin</v>
      </c>
      <c r="R5" s="50" t="str">
        <f>Results!E40</f>
        <v>Long Putt</v>
      </c>
      <c r="S5" s="50" t="str">
        <f>Results!F40</f>
        <v>Secret Snowman</v>
      </c>
      <c r="T5" s="51" t="str">
        <f>Results!G40</f>
        <v>Closest to Pin</v>
      </c>
      <c r="V5" s="2">
        <v>1</v>
      </c>
      <c r="W5" s="2">
        <v>2</v>
      </c>
      <c r="X5" s="2">
        <v>3</v>
      </c>
      <c r="Y5" s="2">
        <v>4</v>
      </c>
      <c r="Z5" s="2">
        <v>5</v>
      </c>
    </row>
    <row r="6" spans="1:27" x14ac:dyDescent="0.2">
      <c r="A6" s="21" t="str">
        <f>Matchups!F3</f>
        <v>Dave</v>
      </c>
      <c r="B6" s="115">
        <v>5</v>
      </c>
      <c r="C6" s="116">
        <v>5</v>
      </c>
      <c r="D6" s="116">
        <v>4</v>
      </c>
      <c r="E6" s="116">
        <v>5</v>
      </c>
      <c r="F6" s="116">
        <v>4</v>
      </c>
      <c r="G6" s="116">
        <v>6</v>
      </c>
      <c r="H6" s="116">
        <v>5</v>
      </c>
      <c r="I6" s="116">
        <v>6</v>
      </c>
      <c r="J6" s="117">
        <v>6</v>
      </c>
      <c r="K6" s="5">
        <f>SUM(B6:J6)</f>
        <v>46</v>
      </c>
      <c r="M6" s="90" t="str">
        <f>A14</f>
        <v>Mil</v>
      </c>
      <c r="N6" s="5">
        <f>K14</f>
        <v>45</v>
      </c>
      <c r="O6" s="5">
        <f>K70</f>
        <v>1</v>
      </c>
      <c r="P6" s="162"/>
      <c r="Q6" s="65"/>
      <c r="R6" s="65"/>
      <c r="S6" s="65"/>
      <c r="T6" s="153"/>
      <c r="V6" s="2">
        <f t="shared" ref="V6:V37" si="0">IF($S$39=V$5,S6*V$5,"")</f>
        <v>0</v>
      </c>
      <c r="W6" s="2" t="str">
        <f t="shared" ref="W6:W37" si="1">IF($S$39=W$5,S6*W$5,"")</f>
        <v/>
      </c>
      <c r="X6" s="2" t="str">
        <f t="shared" ref="X6:X37" si="2">IF($S$39=X$5,S6*X$5,"")</f>
        <v/>
      </c>
      <c r="Y6" s="2" t="str">
        <f t="shared" ref="Y6:Y37" si="3">IF($S$39=Y$5,S6*Y$5,"")</f>
        <v/>
      </c>
      <c r="Z6" s="2" t="str">
        <f t="shared" ref="Z6:Z37" si="4">IF($S$39=Z$5,S6*Z$5,"")</f>
        <v/>
      </c>
      <c r="AA6" s="144">
        <f>IF(SUM(V6:Z6)=0,0,Setup!F$44/SUM(V6:Z6))</f>
        <v>0</v>
      </c>
    </row>
    <row r="7" spans="1:27" hidden="1" x14ac:dyDescent="0.2">
      <c r="A7" s="22">
        <f>Matchups!F4</f>
        <v>5</v>
      </c>
      <c r="B7" s="118"/>
      <c r="C7" s="119"/>
      <c r="D7" s="119"/>
      <c r="E7" s="119"/>
      <c r="F7" s="119"/>
      <c r="G7" s="119"/>
      <c r="H7" s="119"/>
      <c r="I7" s="119"/>
      <c r="J7" s="120"/>
      <c r="K7" s="8"/>
      <c r="M7" s="91"/>
      <c r="N7" s="8"/>
      <c r="O7" s="8"/>
      <c r="P7" s="164"/>
      <c r="Q7" s="66"/>
      <c r="R7" s="66"/>
      <c r="S7" s="66"/>
      <c r="T7" s="154"/>
      <c r="V7" s="2">
        <f t="shared" si="0"/>
        <v>0</v>
      </c>
      <c r="W7" s="2" t="str">
        <f t="shared" si="1"/>
        <v/>
      </c>
      <c r="X7" s="2" t="str">
        <f t="shared" si="2"/>
        <v/>
      </c>
      <c r="Y7" s="2" t="str">
        <f t="shared" si="3"/>
        <v/>
      </c>
      <c r="Z7" s="2" t="str">
        <f t="shared" si="4"/>
        <v/>
      </c>
      <c r="AA7" s="144">
        <f>IF(SUM(V7:Z7)=0,0,Setup!F$44/SUM(V7:Z7))</f>
        <v>0</v>
      </c>
    </row>
    <row r="8" spans="1:27" x14ac:dyDescent="0.2">
      <c r="A8" s="22" t="str">
        <f>Matchups!F5</f>
        <v>Rick</v>
      </c>
      <c r="B8" s="118">
        <v>4</v>
      </c>
      <c r="C8" s="119">
        <v>4</v>
      </c>
      <c r="D8" s="119">
        <v>3</v>
      </c>
      <c r="E8" s="119">
        <v>5</v>
      </c>
      <c r="F8" s="119">
        <v>5</v>
      </c>
      <c r="G8" s="119">
        <v>4</v>
      </c>
      <c r="H8" s="119">
        <v>5</v>
      </c>
      <c r="I8" s="119">
        <v>5</v>
      </c>
      <c r="J8" s="120">
        <v>5</v>
      </c>
      <c r="K8" s="8">
        <f t="shared" ref="K8:K28" si="5">SUM(B8:J8)</f>
        <v>40</v>
      </c>
      <c r="M8" s="91" t="str">
        <f>A32</f>
        <v>John</v>
      </c>
      <c r="N8" s="8">
        <f>K32</f>
        <v>46</v>
      </c>
      <c r="O8" s="8">
        <f>K128</f>
        <v>2</v>
      </c>
      <c r="P8" s="164"/>
      <c r="Q8" s="66"/>
      <c r="R8" s="66"/>
      <c r="S8" s="66"/>
      <c r="T8" s="154"/>
      <c r="V8" s="2">
        <f t="shared" si="0"/>
        <v>0</v>
      </c>
      <c r="W8" s="2" t="str">
        <f t="shared" si="1"/>
        <v/>
      </c>
      <c r="X8" s="2" t="str">
        <f t="shared" si="2"/>
        <v/>
      </c>
      <c r="Y8" s="2" t="str">
        <f t="shared" si="3"/>
        <v/>
      </c>
      <c r="Z8" s="2" t="str">
        <f t="shared" si="4"/>
        <v/>
      </c>
      <c r="AA8" s="144">
        <f>IF(SUM(V8:Z8)=0,0,Setup!F$44/SUM(V8:Z8))</f>
        <v>0</v>
      </c>
    </row>
    <row r="9" spans="1:27" hidden="1" x14ac:dyDescent="0.2">
      <c r="A9" s="22">
        <f>Matchups!F6</f>
        <v>7</v>
      </c>
      <c r="B9" s="118"/>
      <c r="C9" s="119"/>
      <c r="D9" s="119"/>
      <c r="E9" s="119"/>
      <c r="F9" s="119"/>
      <c r="G9" s="119"/>
      <c r="H9" s="119"/>
      <c r="I9" s="119"/>
      <c r="J9" s="120"/>
      <c r="K9" s="8"/>
      <c r="M9" s="91"/>
      <c r="N9" s="8"/>
      <c r="O9" s="8"/>
      <c r="P9" s="164"/>
      <c r="Q9" s="66"/>
      <c r="R9" s="66"/>
      <c r="S9" s="66"/>
      <c r="T9" s="154"/>
      <c r="V9" s="2">
        <f t="shared" si="0"/>
        <v>0</v>
      </c>
      <c r="W9" s="2" t="str">
        <f t="shared" si="1"/>
        <v/>
      </c>
      <c r="X9" s="2" t="str">
        <f t="shared" si="2"/>
        <v/>
      </c>
      <c r="Y9" s="2" t="str">
        <f t="shared" si="3"/>
        <v/>
      </c>
      <c r="Z9" s="2" t="str">
        <f t="shared" si="4"/>
        <v/>
      </c>
      <c r="AA9" s="144">
        <f>IF(SUM(V9:Z9)=0,0,Setup!F$44/SUM(V9:Z9))</f>
        <v>0</v>
      </c>
    </row>
    <row r="10" spans="1:27" x14ac:dyDescent="0.2">
      <c r="A10" s="22" t="str">
        <f>Matchups!F7</f>
        <v>Brian S</v>
      </c>
      <c r="B10" s="118">
        <v>5</v>
      </c>
      <c r="C10" s="119">
        <v>8</v>
      </c>
      <c r="D10" s="119">
        <v>4</v>
      </c>
      <c r="E10" s="119">
        <v>5</v>
      </c>
      <c r="F10" s="119">
        <v>4</v>
      </c>
      <c r="G10" s="119">
        <v>5</v>
      </c>
      <c r="H10" s="119">
        <v>10</v>
      </c>
      <c r="I10" s="119">
        <v>7</v>
      </c>
      <c r="J10" s="120">
        <v>9</v>
      </c>
      <c r="K10" s="8">
        <f t="shared" si="5"/>
        <v>57</v>
      </c>
      <c r="M10" s="91" t="str">
        <f>A26</f>
        <v>Brian P</v>
      </c>
      <c r="N10" s="8">
        <f>K26</f>
        <v>47</v>
      </c>
      <c r="O10" s="8">
        <f>K109</f>
        <v>0</v>
      </c>
      <c r="P10" s="164"/>
      <c r="Q10" s="66"/>
      <c r="R10" s="66"/>
      <c r="S10" s="66"/>
      <c r="T10" s="154"/>
      <c r="V10" s="2">
        <f t="shared" si="0"/>
        <v>0</v>
      </c>
      <c r="W10" s="2" t="str">
        <f t="shared" si="1"/>
        <v/>
      </c>
      <c r="X10" s="2" t="str">
        <f t="shared" si="2"/>
        <v/>
      </c>
      <c r="Y10" s="2" t="str">
        <f t="shared" si="3"/>
        <v/>
      </c>
      <c r="Z10" s="2" t="str">
        <f t="shared" si="4"/>
        <v/>
      </c>
      <c r="AA10" s="144">
        <f>IF(SUM(V10:Z10)=0,0,Setup!F$44/SUM(V10:Z10))</f>
        <v>0</v>
      </c>
    </row>
    <row r="11" spans="1:27" hidden="1" x14ac:dyDescent="0.2">
      <c r="A11" s="22">
        <f>Matchups!F8</f>
        <v>13</v>
      </c>
      <c r="B11" s="118"/>
      <c r="C11" s="119"/>
      <c r="D11" s="119"/>
      <c r="E11" s="119"/>
      <c r="F11" s="119"/>
      <c r="G11" s="119"/>
      <c r="H11" s="119"/>
      <c r="I11" s="119"/>
      <c r="J11" s="120"/>
      <c r="K11" s="8"/>
      <c r="M11" s="91"/>
      <c r="N11" s="8"/>
      <c r="O11" s="8"/>
      <c r="P11" s="164"/>
      <c r="Q11" s="66"/>
      <c r="R11" s="66"/>
      <c r="S11" s="66"/>
      <c r="T11" s="154"/>
      <c r="V11" s="2">
        <f t="shared" si="0"/>
        <v>0</v>
      </c>
      <c r="W11" s="2" t="str">
        <f t="shared" si="1"/>
        <v/>
      </c>
      <c r="X11" s="2" t="str">
        <f t="shared" si="2"/>
        <v/>
      </c>
      <c r="Y11" s="2" t="str">
        <f t="shared" si="3"/>
        <v/>
      </c>
      <c r="Z11" s="2" t="str">
        <f t="shared" si="4"/>
        <v/>
      </c>
      <c r="AA11" s="144">
        <f>IF(SUM(V11:Z11)=0,0,Setup!F$44/SUM(V11:Z11))</f>
        <v>0</v>
      </c>
    </row>
    <row r="12" spans="1:27" ht="13.5" thickBot="1" x14ac:dyDescent="0.25">
      <c r="A12" s="23" t="str">
        <f>Matchups!F9</f>
        <v xml:space="preserve">Pat </v>
      </c>
      <c r="B12" s="121">
        <v>5</v>
      </c>
      <c r="C12" s="122">
        <v>5</v>
      </c>
      <c r="D12" s="122">
        <v>4</v>
      </c>
      <c r="E12" s="122">
        <v>5</v>
      </c>
      <c r="F12" s="122">
        <v>4</v>
      </c>
      <c r="G12" s="122">
        <v>6</v>
      </c>
      <c r="H12" s="122">
        <v>5</v>
      </c>
      <c r="I12" s="122">
        <v>6</v>
      </c>
      <c r="J12" s="123">
        <v>6</v>
      </c>
      <c r="K12" s="11">
        <f t="shared" si="5"/>
        <v>46</v>
      </c>
      <c r="M12" s="91" t="str">
        <f>A12</f>
        <v xml:space="preserve">Pat </v>
      </c>
      <c r="N12" s="8">
        <f>K12</f>
        <v>46</v>
      </c>
      <c r="O12" s="8">
        <f>K63</f>
        <v>0</v>
      </c>
      <c r="P12" s="164"/>
      <c r="Q12" s="66"/>
      <c r="R12" s="66"/>
      <c r="S12" s="66"/>
      <c r="T12" s="154"/>
      <c r="V12" s="2">
        <f t="shared" si="0"/>
        <v>0</v>
      </c>
      <c r="W12" s="2" t="str">
        <f t="shared" si="1"/>
        <v/>
      </c>
      <c r="X12" s="2" t="str">
        <f t="shared" si="2"/>
        <v/>
      </c>
      <c r="Y12" s="2" t="str">
        <f t="shared" si="3"/>
        <v/>
      </c>
      <c r="Z12" s="2" t="str">
        <f t="shared" si="4"/>
        <v/>
      </c>
      <c r="AA12" s="144">
        <f>IF(SUM(V12:Z12)=0,0,Setup!F$44/SUM(V12:Z12))</f>
        <v>0</v>
      </c>
    </row>
    <row r="13" spans="1:27" ht="13.5" hidden="1" thickBot="1" x14ac:dyDescent="0.25">
      <c r="A13" s="686">
        <f>Matchups!F10</f>
        <v>6</v>
      </c>
      <c r="B13" s="124"/>
      <c r="C13" s="125"/>
      <c r="D13" s="125"/>
      <c r="E13" s="125"/>
      <c r="F13" s="125"/>
      <c r="G13" s="125"/>
      <c r="H13" s="125"/>
      <c r="I13" s="125"/>
      <c r="J13" s="126"/>
      <c r="K13" s="89"/>
      <c r="M13" s="133"/>
      <c r="N13" s="70"/>
      <c r="O13" s="70"/>
      <c r="P13" s="165"/>
      <c r="Q13" s="155"/>
      <c r="R13" s="155"/>
      <c r="S13" s="155"/>
      <c r="T13" s="156"/>
      <c r="V13" s="2">
        <f t="shared" si="0"/>
        <v>0</v>
      </c>
      <c r="W13" s="2" t="str">
        <f t="shared" si="1"/>
        <v/>
      </c>
      <c r="X13" s="2" t="str">
        <f t="shared" si="2"/>
        <v/>
      </c>
      <c r="Y13" s="2" t="str">
        <f t="shared" si="3"/>
        <v/>
      </c>
      <c r="Z13" s="2" t="str">
        <f t="shared" si="4"/>
        <v/>
      </c>
      <c r="AA13" s="144">
        <f>IF(SUM(V13:Z13)=0,0,Setup!F$44/SUM(V13:Z13))</f>
        <v>0</v>
      </c>
    </row>
    <row r="14" spans="1:27" x14ac:dyDescent="0.2">
      <c r="A14" s="21" t="str">
        <f>Matchups!F11</f>
        <v>Mil</v>
      </c>
      <c r="B14" s="339">
        <v>5</v>
      </c>
      <c r="C14" s="116">
        <v>5</v>
      </c>
      <c r="D14" s="116">
        <v>3</v>
      </c>
      <c r="E14" s="116">
        <v>8</v>
      </c>
      <c r="F14" s="116">
        <v>3</v>
      </c>
      <c r="G14" s="116">
        <v>4</v>
      </c>
      <c r="H14" s="116">
        <v>6</v>
      </c>
      <c r="I14" s="116">
        <v>6</v>
      </c>
      <c r="J14" s="117">
        <v>5</v>
      </c>
      <c r="K14" s="12">
        <f t="shared" si="5"/>
        <v>45</v>
      </c>
      <c r="M14" s="226" t="str">
        <f>A8</f>
        <v>Rick</v>
      </c>
      <c r="N14" s="5">
        <f>K8</f>
        <v>40</v>
      </c>
      <c r="O14" s="12">
        <f>K50</f>
        <v>2</v>
      </c>
      <c r="P14" s="297"/>
      <c r="Q14" s="65"/>
      <c r="R14" s="65"/>
      <c r="S14" s="65"/>
      <c r="T14" s="153"/>
      <c r="V14" s="2">
        <f t="shared" si="0"/>
        <v>0</v>
      </c>
      <c r="W14" s="2" t="str">
        <f t="shared" si="1"/>
        <v/>
      </c>
      <c r="X14" s="2" t="str">
        <f t="shared" si="2"/>
        <v/>
      </c>
      <c r="Y14" s="2" t="str">
        <f t="shared" si="3"/>
        <v/>
      </c>
      <c r="Z14" s="2" t="str">
        <f t="shared" si="4"/>
        <v/>
      </c>
      <c r="AA14" s="144">
        <f>IF(SUM(V14:Z14)=0,0,Setup!F$44/SUM(V14:Z14))</f>
        <v>0</v>
      </c>
    </row>
    <row r="15" spans="1:27" hidden="1" x14ac:dyDescent="0.2">
      <c r="A15" s="22">
        <f>Matchups!F12</f>
        <v>6</v>
      </c>
      <c r="B15" s="341"/>
      <c r="C15" s="119"/>
      <c r="D15" s="119"/>
      <c r="E15" s="119"/>
      <c r="F15" s="119"/>
      <c r="G15" s="119"/>
      <c r="H15" s="119"/>
      <c r="I15" s="119"/>
      <c r="J15" s="120"/>
      <c r="K15" s="13"/>
      <c r="M15" s="227"/>
      <c r="N15" s="8"/>
      <c r="O15" s="13"/>
      <c r="P15" s="191"/>
      <c r="Q15" s="66"/>
      <c r="R15" s="66"/>
      <c r="S15" s="66"/>
      <c r="T15" s="154"/>
      <c r="V15" s="2">
        <f t="shared" si="0"/>
        <v>0</v>
      </c>
      <c r="W15" s="2" t="str">
        <f t="shared" si="1"/>
        <v/>
      </c>
      <c r="X15" s="2" t="str">
        <f t="shared" si="2"/>
        <v/>
      </c>
      <c r="Y15" s="2" t="str">
        <f t="shared" si="3"/>
        <v/>
      </c>
      <c r="Z15" s="2" t="str">
        <f t="shared" si="4"/>
        <v/>
      </c>
      <c r="AA15" s="144">
        <f>IF(SUM(V15:Z15)=0,0,Setup!F$44/SUM(V15:Z15))</f>
        <v>0</v>
      </c>
    </row>
    <row r="16" spans="1:27" x14ac:dyDescent="0.2">
      <c r="A16" s="22" t="str">
        <f>Matchups!F13</f>
        <v>Hunter</v>
      </c>
      <c r="B16" s="341">
        <v>5</v>
      </c>
      <c r="C16" s="119">
        <v>4</v>
      </c>
      <c r="D16" s="119">
        <v>3</v>
      </c>
      <c r="E16" s="119">
        <v>4</v>
      </c>
      <c r="F16" s="119">
        <v>4</v>
      </c>
      <c r="G16" s="119">
        <v>5</v>
      </c>
      <c r="H16" s="119">
        <v>8</v>
      </c>
      <c r="I16" s="119">
        <v>5</v>
      </c>
      <c r="J16" s="120">
        <v>6</v>
      </c>
      <c r="K16" s="13">
        <f>SUM(B16:J16)</f>
        <v>44</v>
      </c>
      <c r="M16" s="227" t="str">
        <f>A22</f>
        <v>Keith</v>
      </c>
      <c r="N16" s="8">
        <f>K22</f>
        <v>48</v>
      </c>
      <c r="O16" s="13">
        <f>K96</f>
        <v>2</v>
      </c>
      <c r="P16" s="191"/>
      <c r="Q16" s="66"/>
      <c r="R16" s="66"/>
      <c r="S16" s="66"/>
      <c r="T16" s="154"/>
      <c r="V16" s="2">
        <f t="shared" si="0"/>
        <v>0</v>
      </c>
      <c r="W16" s="2" t="str">
        <f t="shared" si="1"/>
        <v/>
      </c>
      <c r="X16" s="2" t="str">
        <f t="shared" si="2"/>
        <v/>
      </c>
      <c r="Y16" s="2" t="str">
        <f t="shared" si="3"/>
        <v/>
      </c>
      <c r="Z16" s="2" t="str">
        <f t="shared" si="4"/>
        <v/>
      </c>
      <c r="AA16" s="144">
        <f>IF(SUM(V16:Z16)=0,0,Setup!F$44/SUM(V16:Z16))</f>
        <v>0</v>
      </c>
    </row>
    <row r="17" spans="1:27" hidden="1" x14ac:dyDescent="0.2">
      <c r="A17" s="22">
        <f>Matchups!F14</f>
        <v>7</v>
      </c>
      <c r="B17" s="341"/>
      <c r="C17" s="119"/>
      <c r="D17" s="119"/>
      <c r="E17" s="119"/>
      <c r="F17" s="119"/>
      <c r="G17" s="119"/>
      <c r="H17" s="119"/>
      <c r="I17" s="119"/>
      <c r="J17" s="120"/>
      <c r="K17" s="13"/>
      <c r="M17" s="227"/>
      <c r="N17" s="8"/>
      <c r="O17" s="13"/>
      <c r="P17" s="191"/>
      <c r="Q17" s="66"/>
      <c r="R17" s="66"/>
      <c r="S17" s="66"/>
      <c r="T17" s="154"/>
      <c r="V17" s="2">
        <f t="shared" si="0"/>
        <v>0</v>
      </c>
      <c r="W17" s="2" t="str">
        <f t="shared" si="1"/>
        <v/>
      </c>
      <c r="X17" s="2" t="str">
        <f t="shared" si="2"/>
        <v/>
      </c>
      <c r="Y17" s="2" t="str">
        <f t="shared" si="3"/>
        <v/>
      </c>
      <c r="Z17" s="2" t="str">
        <f t="shared" si="4"/>
        <v/>
      </c>
      <c r="AA17" s="144">
        <f>IF(SUM(V17:Z17)=0,0,Setup!F$44/SUM(V17:Z17))</f>
        <v>0</v>
      </c>
    </row>
    <row r="18" spans="1:27" x14ac:dyDescent="0.2">
      <c r="A18" s="22" t="str">
        <f>Matchups!F15</f>
        <v>Patrick</v>
      </c>
      <c r="B18" s="341">
        <v>5</v>
      </c>
      <c r="C18" s="119">
        <v>4</v>
      </c>
      <c r="D18" s="119">
        <v>3</v>
      </c>
      <c r="E18" s="119">
        <v>8</v>
      </c>
      <c r="F18" s="119">
        <v>4</v>
      </c>
      <c r="G18" s="119">
        <v>5</v>
      </c>
      <c r="H18" s="119">
        <v>7</v>
      </c>
      <c r="I18" s="119">
        <v>5</v>
      </c>
      <c r="J18" s="120">
        <v>7</v>
      </c>
      <c r="K18" s="13">
        <f t="shared" si="5"/>
        <v>48</v>
      </c>
      <c r="M18" s="227" t="str">
        <f>A34</f>
        <v>Tony W</v>
      </c>
      <c r="N18" s="8">
        <f>K34</f>
        <v>55</v>
      </c>
      <c r="O18" s="13">
        <f>K135</f>
        <v>0</v>
      </c>
      <c r="P18" s="191"/>
      <c r="Q18" s="66"/>
      <c r="R18" s="66"/>
      <c r="S18" s="66"/>
      <c r="T18" s="154"/>
      <c r="V18" s="2">
        <f t="shared" si="0"/>
        <v>0</v>
      </c>
      <c r="W18" s="2" t="str">
        <f t="shared" si="1"/>
        <v/>
      </c>
      <c r="X18" s="2" t="str">
        <f t="shared" si="2"/>
        <v/>
      </c>
      <c r="Y18" s="2" t="str">
        <f t="shared" si="3"/>
        <v/>
      </c>
      <c r="Z18" s="2" t="str">
        <f t="shared" si="4"/>
        <v/>
      </c>
      <c r="AA18" s="144">
        <f>IF(SUM(V18:Z18)=0,0,Setup!F$44/SUM(V18:Z18))</f>
        <v>0</v>
      </c>
    </row>
    <row r="19" spans="1:27" hidden="1" x14ac:dyDescent="0.2">
      <c r="A19" s="22">
        <f>Matchups!F16</f>
        <v>8</v>
      </c>
      <c r="B19" s="341"/>
      <c r="C19" s="119"/>
      <c r="D19" s="119"/>
      <c r="E19" s="119"/>
      <c r="F19" s="119"/>
      <c r="G19" s="119"/>
      <c r="H19" s="119"/>
      <c r="I19" s="119"/>
      <c r="J19" s="120"/>
      <c r="K19" s="13"/>
      <c r="M19" s="334"/>
      <c r="N19" s="70"/>
      <c r="O19" s="229"/>
      <c r="P19" s="404"/>
      <c r="Q19" s="155"/>
      <c r="R19" s="155"/>
      <c r="S19" s="155"/>
      <c r="T19" s="156"/>
      <c r="V19" s="2">
        <f t="shared" si="0"/>
        <v>0</v>
      </c>
      <c r="W19" s="2" t="str">
        <f t="shared" si="1"/>
        <v/>
      </c>
      <c r="X19" s="2" t="str">
        <f t="shared" si="2"/>
        <v/>
      </c>
      <c r="Y19" s="2" t="str">
        <f t="shared" si="3"/>
        <v/>
      </c>
      <c r="Z19" s="2" t="str">
        <f t="shared" si="4"/>
        <v/>
      </c>
      <c r="AA19" s="144">
        <f>IF(SUM(V19:Z19)=0,0,Setup!F$44/SUM(V19:Z19))</f>
        <v>0</v>
      </c>
    </row>
    <row r="20" spans="1:27" ht="13.5" thickBot="1" x14ac:dyDescent="0.25">
      <c r="A20" s="22" t="str">
        <f>Matchups!F17</f>
        <v>Manny</v>
      </c>
      <c r="B20" s="341">
        <v>6</v>
      </c>
      <c r="C20" s="119">
        <v>6</v>
      </c>
      <c r="D20" s="119">
        <v>6</v>
      </c>
      <c r="E20" s="119">
        <v>5</v>
      </c>
      <c r="F20" s="119">
        <v>5</v>
      </c>
      <c r="G20" s="119">
        <v>7</v>
      </c>
      <c r="H20" s="119">
        <v>6</v>
      </c>
      <c r="I20" s="119">
        <v>6</v>
      </c>
      <c r="J20" s="120">
        <v>6</v>
      </c>
      <c r="K20" s="13">
        <f t="shared" si="5"/>
        <v>53</v>
      </c>
      <c r="M20" s="227" t="str">
        <f>A20</f>
        <v>Manny</v>
      </c>
      <c r="N20" s="8">
        <f>K20</f>
        <v>53</v>
      </c>
      <c r="O20" s="13">
        <f>K89</f>
        <v>0</v>
      </c>
      <c r="P20" s="191"/>
      <c r="Q20" s="66"/>
      <c r="R20" s="66"/>
      <c r="S20" s="66"/>
      <c r="T20" s="154"/>
      <c r="V20" s="2">
        <f t="shared" si="0"/>
        <v>0</v>
      </c>
      <c r="W20" s="2" t="str">
        <f t="shared" si="1"/>
        <v/>
      </c>
      <c r="X20" s="2" t="str">
        <f t="shared" si="2"/>
        <v/>
      </c>
      <c r="Y20" s="2" t="str">
        <f t="shared" si="3"/>
        <v/>
      </c>
      <c r="Z20" s="2" t="str">
        <f t="shared" si="4"/>
        <v/>
      </c>
      <c r="AA20" s="144">
        <f>IF(SUM(V20:Z20)=0,0,Setup!F$44/SUM(V20:Z20))</f>
        <v>0</v>
      </c>
    </row>
    <row r="21" spans="1:27" ht="13.5" hidden="1" thickBot="1" x14ac:dyDescent="0.25">
      <c r="A21" s="409">
        <f>Matchups!F18</f>
        <v>14</v>
      </c>
      <c r="B21" s="342"/>
      <c r="C21" s="337"/>
      <c r="D21" s="337"/>
      <c r="E21" s="337"/>
      <c r="F21" s="337"/>
      <c r="G21" s="337"/>
      <c r="H21" s="337"/>
      <c r="I21" s="337"/>
      <c r="J21" s="338"/>
      <c r="K21" s="229"/>
      <c r="M21" s="334"/>
      <c r="N21" s="70"/>
      <c r="O21" s="229"/>
      <c r="P21" s="404"/>
      <c r="Q21" s="155"/>
      <c r="R21" s="155"/>
      <c r="S21" s="155"/>
      <c r="T21" s="156"/>
      <c r="V21" s="2">
        <f t="shared" si="0"/>
        <v>0</v>
      </c>
      <c r="W21" s="2" t="str">
        <f t="shared" si="1"/>
        <v/>
      </c>
      <c r="X21" s="2" t="str">
        <f t="shared" si="2"/>
        <v/>
      </c>
      <c r="Y21" s="2" t="str">
        <f t="shared" si="3"/>
        <v/>
      </c>
      <c r="Z21" s="2" t="str">
        <f t="shared" si="4"/>
        <v/>
      </c>
      <c r="AA21" s="144">
        <f>IF(SUM(V21:Z21)=0,0,Setup!F$44/SUM(V21:Z21))</f>
        <v>0</v>
      </c>
    </row>
    <row r="22" spans="1:27" x14ac:dyDescent="0.2">
      <c r="A22" s="21" t="str">
        <f>Matchups!F19</f>
        <v>Keith</v>
      </c>
      <c r="B22" s="339">
        <v>5</v>
      </c>
      <c r="C22" s="116">
        <v>5</v>
      </c>
      <c r="D22" s="116">
        <v>4</v>
      </c>
      <c r="E22" s="116">
        <v>4</v>
      </c>
      <c r="F22" s="116">
        <v>5</v>
      </c>
      <c r="G22" s="116">
        <v>5</v>
      </c>
      <c r="H22" s="116">
        <v>8</v>
      </c>
      <c r="I22" s="116">
        <v>6</v>
      </c>
      <c r="J22" s="117">
        <v>6</v>
      </c>
      <c r="K22" s="12">
        <f t="shared" si="5"/>
        <v>48</v>
      </c>
      <c r="M22" s="226" t="str">
        <f>A28</f>
        <v>Tommy</v>
      </c>
      <c r="N22" s="5">
        <f>K28</f>
        <v>43</v>
      </c>
      <c r="O22" s="12">
        <f>K115</f>
        <v>2</v>
      </c>
      <c r="P22" s="297">
        <v>1</v>
      </c>
      <c r="Q22" s="65"/>
      <c r="R22" s="65"/>
      <c r="S22" s="65"/>
      <c r="T22" s="153"/>
      <c r="V22" s="2">
        <f t="shared" si="0"/>
        <v>0</v>
      </c>
      <c r="W22" s="2" t="str">
        <f t="shared" si="1"/>
        <v/>
      </c>
      <c r="X22" s="2" t="str">
        <f t="shared" si="2"/>
        <v/>
      </c>
      <c r="Y22" s="2" t="str">
        <f t="shared" si="3"/>
        <v/>
      </c>
      <c r="Z22" s="2" t="str">
        <f t="shared" si="4"/>
        <v/>
      </c>
      <c r="AA22" s="144">
        <f>IF(SUM(V22:Z22)=0,0,Setup!F$44/SUM(V22:Z22))</f>
        <v>0</v>
      </c>
    </row>
    <row r="23" spans="1:27" hidden="1" x14ac:dyDescent="0.2">
      <c r="A23" s="22">
        <f>Matchups!F20</f>
        <v>16</v>
      </c>
      <c r="B23" s="341"/>
      <c r="C23" s="119"/>
      <c r="D23" s="119"/>
      <c r="E23" s="119"/>
      <c r="F23" s="119"/>
      <c r="G23" s="119"/>
      <c r="H23" s="119"/>
      <c r="I23" s="119"/>
      <c r="J23" s="120"/>
      <c r="K23" s="13"/>
      <c r="M23" s="227"/>
      <c r="N23" s="8"/>
      <c r="O23" s="13"/>
      <c r="P23" s="191"/>
      <c r="Q23" s="66"/>
      <c r="R23" s="66"/>
      <c r="S23" s="66"/>
      <c r="T23" s="154"/>
      <c r="V23" s="2">
        <f t="shared" si="0"/>
        <v>0</v>
      </c>
      <c r="W23" s="2" t="str">
        <f t="shared" si="1"/>
        <v/>
      </c>
      <c r="X23" s="2" t="str">
        <f t="shared" si="2"/>
        <v/>
      </c>
      <c r="Y23" s="2" t="str">
        <f t="shared" si="3"/>
        <v/>
      </c>
      <c r="Z23" s="2" t="str">
        <f t="shared" si="4"/>
        <v/>
      </c>
      <c r="AA23" s="144">
        <f>IF(SUM(V23:Z23)=0,0,Setup!F$44/SUM(V23:Z23))</f>
        <v>0</v>
      </c>
    </row>
    <row r="24" spans="1:27" x14ac:dyDescent="0.2">
      <c r="A24" s="22" t="str">
        <f>Matchups!F21</f>
        <v>Chris</v>
      </c>
      <c r="B24" s="341">
        <v>6</v>
      </c>
      <c r="C24" s="119">
        <v>6</v>
      </c>
      <c r="D24" s="119">
        <v>3</v>
      </c>
      <c r="E24" s="119">
        <v>7</v>
      </c>
      <c r="F24" s="119">
        <v>8</v>
      </c>
      <c r="G24" s="119">
        <v>6</v>
      </c>
      <c r="H24" s="119">
        <v>6</v>
      </c>
      <c r="I24" s="119">
        <v>6</v>
      </c>
      <c r="J24" s="120">
        <v>6</v>
      </c>
      <c r="K24" s="13">
        <f t="shared" si="5"/>
        <v>54</v>
      </c>
      <c r="M24" s="227" t="str">
        <f>A6</f>
        <v>Dave</v>
      </c>
      <c r="N24" s="8">
        <f>K6</f>
        <v>46</v>
      </c>
      <c r="O24" s="13">
        <f>K44</f>
        <v>0</v>
      </c>
      <c r="P24" s="191"/>
      <c r="Q24" s="66"/>
      <c r="R24" s="66"/>
      <c r="S24" s="66"/>
      <c r="T24" s="154"/>
      <c r="V24" s="2">
        <f t="shared" si="0"/>
        <v>0</v>
      </c>
      <c r="W24" s="2" t="str">
        <f t="shared" si="1"/>
        <v/>
      </c>
      <c r="X24" s="2" t="str">
        <f t="shared" si="2"/>
        <v/>
      </c>
      <c r="Y24" s="2" t="str">
        <f t="shared" si="3"/>
        <v/>
      </c>
      <c r="Z24" s="2" t="str">
        <f t="shared" si="4"/>
        <v/>
      </c>
      <c r="AA24" s="144">
        <f>IF(SUM(V24:Z24)=0,0,Setup!F$44/SUM(V24:Z24))</f>
        <v>0</v>
      </c>
    </row>
    <row r="25" spans="1:27" hidden="1" x14ac:dyDescent="0.2">
      <c r="A25" s="22">
        <f>Matchups!F22</f>
        <v>15</v>
      </c>
      <c r="B25" s="341"/>
      <c r="C25" s="119"/>
      <c r="D25" s="119"/>
      <c r="E25" s="119"/>
      <c r="F25" s="119"/>
      <c r="G25" s="119"/>
      <c r="H25" s="119"/>
      <c r="I25" s="119"/>
      <c r="J25" s="120"/>
      <c r="K25" s="13"/>
      <c r="M25" s="227"/>
      <c r="N25" s="8"/>
      <c r="O25" s="13"/>
      <c r="P25" s="191"/>
      <c r="Q25" s="66"/>
      <c r="R25" s="66"/>
      <c r="S25" s="66"/>
      <c r="T25" s="154"/>
      <c r="V25" s="2">
        <f t="shared" si="0"/>
        <v>0</v>
      </c>
      <c r="W25" s="2" t="str">
        <f t="shared" si="1"/>
        <v/>
      </c>
      <c r="X25" s="2" t="str">
        <f t="shared" si="2"/>
        <v/>
      </c>
      <c r="Y25" s="2" t="str">
        <f t="shared" si="3"/>
        <v/>
      </c>
      <c r="Z25" s="2" t="str">
        <f t="shared" si="4"/>
        <v/>
      </c>
      <c r="AA25" s="144">
        <f>IF(SUM(V25:Z25)=0,0,Setup!F$44/SUM(V25:Z25))</f>
        <v>0</v>
      </c>
    </row>
    <row r="26" spans="1:27" x14ac:dyDescent="0.2">
      <c r="A26" s="22" t="str">
        <f>Matchups!F23</f>
        <v>Brian P</v>
      </c>
      <c r="B26" s="341">
        <v>4</v>
      </c>
      <c r="C26" s="119">
        <v>5</v>
      </c>
      <c r="D26" s="119">
        <v>4</v>
      </c>
      <c r="E26" s="119">
        <v>5</v>
      </c>
      <c r="F26" s="119">
        <v>4</v>
      </c>
      <c r="G26" s="119">
        <v>5</v>
      </c>
      <c r="H26" s="119">
        <v>7</v>
      </c>
      <c r="I26" s="119">
        <v>7</v>
      </c>
      <c r="J26" s="120">
        <v>6</v>
      </c>
      <c r="K26" s="13">
        <f t="shared" si="5"/>
        <v>47</v>
      </c>
      <c r="M26" s="227" t="str">
        <f>A16</f>
        <v>Hunter</v>
      </c>
      <c r="N26" s="8">
        <f>K16</f>
        <v>44</v>
      </c>
      <c r="O26" s="13">
        <f>K76</f>
        <v>1</v>
      </c>
      <c r="P26" s="191"/>
      <c r="Q26" s="66"/>
      <c r="R26" s="66"/>
      <c r="S26" s="66"/>
      <c r="T26" s="154"/>
      <c r="V26" s="2">
        <f t="shared" si="0"/>
        <v>0</v>
      </c>
      <c r="W26" s="2" t="str">
        <f t="shared" si="1"/>
        <v/>
      </c>
      <c r="X26" s="2" t="str">
        <f t="shared" si="2"/>
        <v/>
      </c>
      <c r="Y26" s="2" t="str">
        <f t="shared" si="3"/>
        <v/>
      </c>
      <c r="Z26" s="2" t="str">
        <f t="shared" si="4"/>
        <v/>
      </c>
      <c r="AA26" s="144">
        <f>IF(SUM(V26:Z26)=0,0,Setup!F$44/SUM(V26:Z26))</f>
        <v>0</v>
      </c>
    </row>
    <row r="27" spans="1:27" hidden="1" x14ac:dyDescent="0.2">
      <c r="A27" s="22">
        <f>Matchups!F24</f>
        <v>6</v>
      </c>
      <c r="B27" s="341"/>
      <c r="C27" s="119"/>
      <c r="D27" s="119"/>
      <c r="E27" s="119"/>
      <c r="F27" s="119"/>
      <c r="G27" s="119"/>
      <c r="H27" s="119"/>
      <c r="I27" s="119"/>
      <c r="J27" s="120"/>
      <c r="K27" s="13"/>
      <c r="M27" s="227"/>
      <c r="N27" s="8"/>
      <c r="O27" s="13"/>
      <c r="P27" s="191"/>
      <c r="Q27" s="66"/>
      <c r="R27" s="66"/>
      <c r="S27" s="66"/>
      <c r="T27" s="154"/>
      <c r="V27" s="2">
        <f t="shared" si="0"/>
        <v>0</v>
      </c>
      <c r="W27" s="2" t="str">
        <f t="shared" si="1"/>
        <v/>
      </c>
      <c r="X27" s="2" t="str">
        <f t="shared" si="2"/>
        <v/>
      </c>
      <c r="Y27" s="2" t="str">
        <f t="shared" si="3"/>
        <v/>
      </c>
      <c r="Z27" s="2" t="str">
        <f t="shared" si="4"/>
        <v/>
      </c>
      <c r="AA27" s="144">
        <f>IF(SUM(V27:Z27)=0,0,Setup!F$44/SUM(V27:Z27))</f>
        <v>0</v>
      </c>
    </row>
    <row r="28" spans="1:27" ht="13.5" thickBot="1" x14ac:dyDescent="0.25">
      <c r="A28" s="23" t="str">
        <f>Matchups!F25</f>
        <v>Tommy</v>
      </c>
      <c r="B28" s="343">
        <v>3</v>
      </c>
      <c r="C28" s="122">
        <v>5</v>
      </c>
      <c r="D28" s="122">
        <v>3</v>
      </c>
      <c r="E28" s="122">
        <v>5</v>
      </c>
      <c r="F28" s="122">
        <v>4</v>
      </c>
      <c r="G28" s="122">
        <v>5</v>
      </c>
      <c r="H28" s="122">
        <v>6</v>
      </c>
      <c r="I28" s="122">
        <v>6</v>
      </c>
      <c r="J28" s="123">
        <v>6</v>
      </c>
      <c r="K28" s="14">
        <f t="shared" si="5"/>
        <v>43</v>
      </c>
      <c r="M28" s="228" t="str">
        <f>A30</f>
        <v>Gerald C</v>
      </c>
      <c r="N28" s="11">
        <f>K30</f>
        <v>54</v>
      </c>
      <c r="O28" s="14">
        <f>K122</f>
        <v>0</v>
      </c>
      <c r="P28" s="192"/>
      <c r="Q28" s="67"/>
      <c r="R28" s="67"/>
      <c r="S28" s="67"/>
      <c r="T28" s="157"/>
      <c r="V28" s="2">
        <f t="shared" si="0"/>
        <v>0</v>
      </c>
      <c r="W28" s="2" t="str">
        <f t="shared" si="1"/>
        <v/>
      </c>
      <c r="X28" s="2" t="str">
        <f t="shared" si="2"/>
        <v/>
      </c>
      <c r="Y28" s="2" t="str">
        <f t="shared" si="3"/>
        <v/>
      </c>
      <c r="Z28" s="2" t="str">
        <f t="shared" si="4"/>
        <v/>
      </c>
      <c r="AA28" s="144">
        <f>IF(SUM(V28:Z28)=0,0,Setup!F$44/SUM(V28:Z28))</f>
        <v>0</v>
      </c>
    </row>
    <row r="29" spans="1:27" ht="13.5" hidden="1" thickBot="1" x14ac:dyDescent="0.25">
      <c r="A29" s="400">
        <f>Matchups!F26</f>
        <v>5</v>
      </c>
      <c r="B29" s="124"/>
      <c r="C29" s="125"/>
      <c r="D29" s="125"/>
      <c r="E29" s="125"/>
      <c r="F29" s="125"/>
      <c r="G29" s="125"/>
      <c r="H29" s="125"/>
      <c r="I29" s="125"/>
      <c r="J29" s="126"/>
      <c r="K29" s="250"/>
      <c r="M29" s="262"/>
      <c r="N29" s="71"/>
      <c r="O29" s="231"/>
      <c r="P29" s="537"/>
      <c r="Q29" s="158"/>
      <c r="R29" s="158"/>
      <c r="S29" s="158"/>
      <c r="T29" s="159"/>
      <c r="V29" s="2">
        <f t="shared" si="0"/>
        <v>0</v>
      </c>
      <c r="W29" s="2" t="str">
        <f t="shared" si="1"/>
        <v/>
      </c>
      <c r="X29" s="2" t="str">
        <f t="shared" si="2"/>
        <v/>
      </c>
      <c r="Y29" s="2" t="str">
        <f t="shared" si="3"/>
        <v/>
      </c>
      <c r="Z29" s="2" t="str">
        <f t="shared" si="4"/>
        <v/>
      </c>
      <c r="AA29" s="144">
        <f>IF(SUM(V29:Z29)=0,0,Setup!F$44/SUM(V29:Z29))</f>
        <v>0</v>
      </c>
    </row>
    <row r="30" spans="1:27" x14ac:dyDescent="0.2">
      <c r="A30" s="21" t="str">
        <f>Matchups!F27</f>
        <v>Gerald C</v>
      </c>
      <c r="B30" s="339">
        <v>7</v>
      </c>
      <c r="C30" s="116">
        <v>6</v>
      </c>
      <c r="D30" s="116">
        <v>5</v>
      </c>
      <c r="E30" s="116">
        <v>6</v>
      </c>
      <c r="F30" s="116">
        <v>4</v>
      </c>
      <c r="G30" s="116">
        <v>6</v>
      </c>
      <c r="H30" s="116">
        <v>8</v>
      </c>
      <c r="I30" s="116">
        <v>5</v>
      </c>
      <c r="J30" s="401">
        <v>7</v>
      </c>
      <c r="K30" s="5">
        <f>SUM(B30:J30)</f>
        <v>54</v>
      </c>
      <c r="M30" s="227" t="str">
        <f>A36</f>
        <v>Bob</v>
      </c>
      <c r="N30" s="8">
        <f>K36</f>
        <v>53</v>
      </c>
      <c r="O30" s="13">
        <f>K141</f>
        <v>2</v>
      </c>
      <c r="P30" s="191"/>
      <c r="Q30" s="66"/>
      <c r="R30" s="66"/>
      <c r="S30" s="66"/>
      <c r="T30" s="154"/>
      <c r="V30" s="2">
        <f t="shared" si="0"/>
        <v>0</v>
      </c>
      <c r="W30" s="2" t="str">
        <f t="shared" si="1"/>
        <v/>
      </c>
      <c r="X30" s="2" t="str">
        <f t="shared" si="2"/>
        <v/>
      </c>
      <c r="Y30" s="2" t="str">
        <f t="shared" si="3"/>
        <v/>
      </c>
      <c r="Z30" s="2" t="str">
        <f t="shared" si="4"/>
        <v/>
      </c>
      <c r="AA30" s="144">
        <f>IF(SUM(V30:Z30)=0,0,Setup!F$44/SUM(V30:Z30))</f>
        <v>0</v>
      </c>
    </row>
    <row r="31" spans="1:27" hidden="1" x14ac:dyDescent="0.2">
      <c r="A31" s="22">
        <f>Matchups!F28</f>
        <v>12</v>
      </c>
      <c r="B31" s="341"/>
      <c r="C31" s="119"/>
      <c r="D31" s="119"/>
      <c r="E31" s="119"/>
      <c r="F31" s="119"/>
      <c r="G31" s="119"/>
      <c r="H31" s="119"/>
      <c r="I31" s="119"/>
      <c r="J31" s="402"/>
      <c r="K31" s="8"/>
      <c r="M31" s="227"/>
      <c r="N31" s="8"/>
      <c r="O31" s="13"/>
      <c r="P31" s="191"/>
      <c r="Q31" s="66"/>
      <c r="R31" s="66"/>
      <c r="S31" s="66"/>
      <c r="T31" s="154"/>
      <c r="V31" s="2">
        <f t="shared" si="0"/>
        <v>0</v>
      </c>
      <c r="W31" s="2" t="str">
        <f t="shared" si="1"/>
        <v/>
      </c>
      <c r="X31" s="2" t="str">
        <f t="shared" si="2"/>
        <v/>
      </c>
      <c r="Y31" s="2" t="str">
        <f t="shared" si="3"/>
        <v/>
      </c>
      <c r="Z31" s="2" t="str">
        <f t="shared" si="4"/>
        <v/>
      </c>
      <c r="AA31" s="144">
        <f>IF(SUM(V31:Z31)=0,0,Setup!F$44/SUM(V31:Z31))</f>
        <v>0</v>
      </c>
    </row>
    <row r="32" spans="1:27" x14ac:dyDescent="0.2">
      <c r="A32" s="22" t="str">
        <f>Matchups!F29</f>
        <v>John</v>
      </c>
      <c r="B32" s="341">
        <v>5</v>
      </c>
      <c r="C32" s="119">
        <v>5</v>
      </c>
      <c r="D32" s="119">
        <v>4</v>
      </c>
      <c r="E32" s="119">
        <v>5</v>
      </c>
      <c r="F32" s="119">
        <v>5</v>
      </c>
      <c r="G32" s="119">
        <v>5</v>
      </c>
      <c r="H32" s="119">
        <v>6</v>
      </c>
      <c r="I32" s="119">
        <v>5</v>
      </c>
      <c r="J32" s="402">
        <v>6</v>
      </c>
      <c r="K32" s="8">
        <f>SUM(B32:J32)</f>
        <v>46</v>
      </c>
      <c r="M32" s="227" t="str">
        <f>A18</f>
        <v>Patrick</v>
      </c>
      <c r="N32" s="8">
        <f>K18</f>
        <v>48</v>
      </c>
      <c r="O32" s="13">
        <f>K83</f>
        <v>2</v>
      </c>
      <c r="P32" s="191"/>
      <c r="Q32" s="66"/>
      <c r="R32" s="66"/>
      <c r="S32" s="66"/>
      <c r="T32" s="154"/>
      <c r="V32" s="2">
        <f t="shared" si="0"/>
        <v>0</v>
      </c>
      <c r="W32" s="2" t="str">
        <f t="shared" si="1"/>
        <v/>
      </c>
      <c r="X32" s="2" t="str">
        <f t="shared" si="2"/>
        <v/>
      </c>
      <c r="Y32" s="2" t="str">
        <f t="shared" si="3"/>
        <v/>
      </c>
      <c r="Z32" s="2" t="str">
        <f t="shared" si="4"/>
        <v/>
      </c>
      <c r="AA32" s="144">
        <f>IF(SUM(V32:Z32)=0,0,Setup!F$44/SUM(V32:Z32))</f>
        <v>0</v>
      </c>
    </row>
    <row r="33" spans="1:27" hidden="1" x14ac:dyDescent="0.2">
      <c r="A33" s="22">
        <f>Matchups!F30</f>
        <v>7</v>
      </c>
      <c r="B33" s="341"/>
      <c r="C33" s="119"/>
      <c r="D33" s="119"/>
      <c r="E33" s="119"/>
      <c r="F33" s="119"/>
      <c r="G33" s="119"/>
      <c r="H33" s="119"/>
      <c r="I33" s="119"/>
      <c r="J33" s="402"/>
      <c r="K33" s="8"/>
      <c r="M33" s="227"/>
      <c r="N33" s="8"/>
      <c r="O33" s="13"/>
      <c r="P33" s="191"/>
      <c r="Q33" s="66"/>
      <c r="R33" s="66"/>
      <c r="S33" s="66"/>
      <c r="T33" s="154"/>
      <c r="V33" s="2">
        <f t="shared" si="0"/>
        <v>0</v>
      </c>
      <c r="W33" s="2" t="str">
        <f t="shared" si="1"/>
        <v/>
      </c>
      <c r="X33" s="2" t="str">
        <f t="shared" si="2"/>
        <v/>
      </c>
      <c r="Y33" s="2" t="str">
        <f t="shared" si="3"/>
        <v/>
      </c>
      <c r="Z33" s="2" t="str">
        <f t="shared" si="4"/>
        <v/>
      </c>
      <c r="AA33" s="144">
        <f>IF(SUM(V33:Z33)=0,0,Setup!F$44/SUM(V33:Z33))</f>
        <v>0</v>
      </c>
    </row>
    <row r="34" spans="1:27" x14ac:dyDescent="0.2">
      <c r="A34" s="22" t="str">
        <f>Matchups!F31</f>
        <v>Tony W</v>
      </c>
      <c r="B34" s="341">
        <v>6</v>
      </c>
      <c r="C34" s="119">
        <v>4</v>
      </c>
      <c r="D34" s="119">
        <v>4</v>
      </c>
      <c r="E34" s="119">
        <v>6</v>
      </c>
      <c r="F34" s="119">
        <v>7</v>
      </c>
      <c r="G34" s="119">
        <v>6</v>
      </c>
      <c r="H34" s="119">
        <v>6</v>
      </c>
      <c r="I34" s="119">
        <v>7</v>
      </c>
      <c r="J34" s="402">
        <v>9</v>
      </c>
      <c r="K34" s="8">
        <f>SUM(B34:J34)</f>
        <v>55</v>
      </c>
      <c r="L34" s="425"/>
      <c r="M34" s="227" t="str">
        <f>A10</f>
        <v>Brian S</v>
      </c>
      <c r="N34" s="528">
        <f>K10</f>
        <v>57</v>
      </c>
      <c r="O34" s="535">
        <f>K57</f>
        <v>2</v>
      </c>
      <c r="P34" s="191"/>
      <c r="Q34" s="66"/>
      <c r="R34" s="66"/>
      <c r="S34" s="66">
        <v>1</v>
      </c>
      <c r="T34" s="154"/>
      <c r="V34" s="2">
        <f t="shared" si="0"/>
        <v>1</v>
      </c>
      <c r="W34" s="2" t="str">
        <f t="shared" si="1"/>
        <v/>
      </c>
      <c r="X34" s="2" t="str">
        <f t="shared" si="2"/>
        <v/>
      </c>
      <c r="Y34" s="2" t="str">
        <f t="shared" si="3"/>
        <v/>
      </c>
      <c r="Z34" s="2" t="str">
        <f t="shared" si="4"/>
        <v/>
      </c>
      <c r="AA34" s="144">
        <f>IF(SUM(V34:Z34)=0,0,Setup!F$44/SUM(V34:Z34))</f>
        <v>20</v>
      </c>
    </row>
    <row r="35" spans="1:27" hidden="1" x14ac:dyDescent="0.2">
      <c r="A35" s="22">
        <f>Matchups!F32</f>
        <v>10</v>
      </c>
      <c r="B35" s="341"/>
      <c r="C35" s="119"/>
      <c r="D35" s="119"/>
      <c r="E35" s="119"/>
      <c r="F35" s="119"/>
      <c r="G35" s="119"/>
      <c r="H35" s="119"/>
      <c r="I35" s="119"/>
      <c r="J35" s="402"/>
      <c r="K35" s="545"/>
      <c r="L35" s="425"/>
      <c r="M35" s="227"/>
      <c r="N35" s="528"/>
      <c r="O35" s="535"/>
      <c r="P35" s="191"/>
      <c r="Q35" s="66"/>
      <c r="R35" s="66"/>
      <c r="S35" s="66"/>
      <c r="T35" s="154"/>
      <c r="V35" s="2">
        <f t="shared" si="0"/>
        <v>0</v>
      </c>
      <c r="W35" s="2" t="str">
        <f t="shared" si="1"/>
        <v/>
      </c>
      <c r="X35" s="2" t="str">
        <f t="shared" si="2"/>
        <v/>
      </c>
      <c r="Y35" s="2" t="str">
        <f t="shared" si="3"/>
        <v/>
      </c>
      <c r="Z35" s="2" t="str">
        <f t="shared" si="4"/>
        <v/>
      </c>
      <c r="AA35" s="144">
        <f>IF(SUM(V35:Z35)=0,0,Setup!F$44/SUM(V35:Z35))</f>
        <v>0</v>
      </c>
    </row>
    <row r="36" spans="1:27" ht="13.5" thickBot="1" x14ac:dyDescent="0.25">
      <c r="A36" s="23" t="str">
        <f>Matchups!F33</f>
        <v>Bob</v>
      </c>
      <c r="B36" s="343">
        <v>4</v>
      </c>
      <c r="C36" s="122">
        <v>6</v>
      </c>
      <c r="D36" s="122">
        <v>6</v>
      </c>
      <c r="E36" s="122">
        <v>7</v>
      </c>
      <c r="F36" s="122">
        <v>4</v>
      </c>
      <c r="G36" s="122">
        <v>6</v>
      </c>
      <c r="H36" s="122">
        <v>6</v>
      </c>
      <c r="I36" s="122">
        <v>6</v>
      </c>
      <c r="J36" s="403">
        <v>8</v>
      </c>
      <c r="K36" s="11">
        <f>SUM(B36:J36)</f>
        <v>53</v>
      </c>
      <c r="L36" s="425"/>
      <c r="M36" s="228" t="str">
        <f>A24</f>
        <v>Chris</v>
      </c>
      <c r="N36" s="529">
        <f>K24</f>
        <v>54</v>
      </c>
      <c r="O36" s="536">
        <f>K102</f>
        <v>0</v>
      </c>
      <c r="P36" s="192"/>
      <c r="Q36" s="67">
        <v>1</v>
      </c>
      <c r="R36" s="67"/>
      <c r="S36" s="67"/>
      <c r="T36" s="157"/>
      <c r="V36" s="2">
        <f t="shared" si="0"/>
        <v>0</v>
      </c>
      <c r="W36" s="2" t="str">
        <f t="shared" si="1"/>
        <v/>
      </c>
      <c r="X36" s="2" t="str">
        <f t="shared" si="2"/>
        <v/>
      </c>
      <c r="Y36" s="2" t="str">
        <f t="shared" si="3"/>
        <v/>
      </c>
      <c r="Z36" s="2" t="str">
        <f t="shared" si="4"/>
        <v/>
      </c>
      <c r="AA36" s="144">
        <f>IF(SUM(V36:Z36)=0,0,Setup!F$44/SUM(V36:Z36))</f>
        <v>0</v>
      </c>
    </row>
    <row r="37" spans="1:27" ht="13.5" hidden="1" thickBot="1" x14ac:dyDescent="0.25">
      <c r="A37" s="679">
        <f>Matchups!F34</f>
        <v>10</v>
      </c>
      <c r="B37" s="683"/>
      <c r="C37" s="684"/>
      <c r="D37" s="684"/>
      <c r="E37" s="684"/>
      <c r="F37" s="684"/>
      <c r="G37" s="684"/>
      <c r="H37" s="684"/>
      <c r="I37" s="684"/>
      <c r="J37" s="685"/>
      <c r="K37" s="546"/>
      <c r="L37" s="425"/>
      <c r="M37" s="333"/>
      <c r="N37" s="545"/>
      <c r="O37" s="525"/>
      <c r="P37" s="558"/>
      <c r="Q37" s="394"/>
      <c r="R37" s="394"/>
      <c r="S37" s="394"/>
      <c r="T37" s="405"/>
      <c r="V37" s="2">
        <f t="shared" si="0"/>
        <v>0</v>
      </c>
      <c r="W37" s="2" t="str">
        <f t="shared" si="1"/>
        <v/>
      </c>
      <c r="X37" s="2" t="str">
        <f t="shared" si="2"/>
        <v/>
      </c>
      <c r="Y37" s="2" t="str">
        <f t="shared" si="3"/>
        <v/>
      </c>
      <c r="Z37" s="2" t="str">
        <f t="shared" si="4"/>
        <v/>
      </c>
      <c r="AA37" s="144">
        <f>IF(SUM(V37:Z37)=0,0,Setup!F$44/SUM(V37:Z37))</f>
        <v>0</v>
      </c>
    </row>
    <row r="38" spans="1:27" x14ac:dyDescent="0.2">
      <c r="A38" s="26"/>
      <c r="B38" s="15"/>
      <c r="C38" s="15"/>
      <c r="D38" s="15"/>
      <c r="E38" s="15"/>
      <c r="F38" s="15"/>
      <c r="G38" s="15"/>
      <c r="H38" s="15"/>
      <c r="I38" s="15"/>
      <c r="J38" s="15"/>
      <c r="K38" s="15"/>
      <c r="AA38" s="139"/>
    </row>
    <row r="39" spans="1:27" x14ac:dyDescent="0.2">
      <c r="S39" s="52">
        <f>COUNTIF(S6:S37,1)</f>
        <v>1</v>
      </c>
    </row>
    <row r="40" spans="1:27" ht="13.5" thickBot="1" x14ac:dyDescent="0.25">
      <c r="A40" s="24" t="s">
        <v>8</v>
      </c>
    </row>
    <row r="41" spans="1:27" x14ac:dyDescent="0.2">
      <c r="A41" s="79" t="str">
        <f t="shared" ref="A41:J41" si="6">A6</f>
        <v>Dave</v>
      </c>
      <c r="B41" s="17">
        <f t="shared" si="6"/>
        <v>5</v>
      </c>
      <c r="C41" s="3">
        <f t="shared" si="6"/>
        <v>5</v>
      </c>
      <c r="D41" s="3">
        <f t="shared" si="6"/>
        <v>4</v>
      </c>
      <c r="E41" s="3">
        <f t="shared" si="6"/>
        <v>5</v>
      </c>
      <c r="F41" s="3">
        <f t="shared" si="6"/>
        <v>4</v>
      </c>
      <c r="G41" s="3">
        <f t="shared" si="6"/>
        <v>6</v>
      </c>
      <c r="H41" s="3">
        <f t="shared" si="6"/>
        <v>5</v>
      </c>
      <c r="I41" s="3">
        <f t="shared" si="6"/>
        <v>6</v>
      </c>
      <c r="J41" s="4">
        <f t="shared" si="6"/>
        <v>6</v>
      </c>
      <c r="K41" s="12">
        <f>SUM(B41:J41)</f>
        <v>46</v>
      </c>
    </row>
    <row r="42" spans="1:27" x14ac:dyDescent="0.2">
      <c r="A42" s="80">
        <f>A7</f>
        <v>5</v>
      </c>
      <c r="B42" s="18">
        <f>IF(AND(ISNUMBER($A42),ISNUMBER($A48)),IF((RANK(B$4,$B$4:$J$4,1))&lt;=($A42-$A48),1,0),"")</f>
        <v>0</v>
      </c>
      <c r="C42" s="6">
        <f t="shared" ref="C42:J43" si="7">IF(AND(ISNUMBER($A42),ISNUMBER($A48)),IF((RANK(C$4,$B$4:$J$4,1))&lt;=($A42-$A48),1,0),"")</f>
        <v>0</v>
      </c>
      <c r="D42" s="6">
        <f t="shared" si="7"/>
        <v>0</v>
      </c>
      <c r="E42" s="6">
        <f t="shared" si="7"/>
        <v>0</v>
      </c>
      <c r="F42" s="6">
        <f t="shared" si="7"/>
        <v>0</v>
      </c>
      <c r="G42" s="6">
        <f t="shared" si="7"/>
        <v>0</v>
      </c>
      <c r="H42" s="6">
        <f t="shared" si="7"/>
        <v>0</v>
      </c>
      <c r="I42" s="6">
        <f t="shared" si="7"/>
        <v>0</v>
      </c>
      <c r="J42" s="7">
        <f t="shared" si="7"/>
        <v>0</v>
      </c>
      <c r="K42" s="13">
        <f>SUM(B42:J42)</f>
        <v>0</v>
      </c>
    </row>
    <row r="43" spans="1:27" x14ac:dyDescent="0.2">
      <c r="A43" s="80">
        <f>IF((A42-A48)&gt;9,(A42-A48-9),0)</f>
        <v>0</v>
      </c>
      <c r="B43" s="18">
        <f>IF(AND(ISNUMBER($A43),ISNUMBER($A49)),IF((RANK(B$4,$B$4:$J$4,1))&lt;=($A43-$A49),1,0),"")</f>
        <v>0</v>
      </c>
      <c r="C43" s="6">
        <f t="shared" si="7"/>
        <v>0</v>
      </c>
      <c r="D43" s="6">
        <f t="shared" si="7"/>
        <v>0</v>
      </c>
      <c r="E43" s="6">
        <f t="shared" si="7"/>
        <v>0</v>
      </c>
      <c r="F43" s="6">
        <f t="shared" si="7"/>
        <v>0</v>
      </c>
      <c r="G43" s="6">
        <f t="shared" si="7"/>
        <v>0</v>
      </c>
      <c r="H43" s="6">
        <f t="shared" si="7"/>
        <v>0</v>
      </c>
      <c r="I43" s="6">
        <f t="shared" si="7"/>
        <v>0</v>
      </c>
      <c r="J43" s="7">
        <f t="shared" si="7"/>
        <v>0</v>
      </c>
      <c r="K43" s="13">
        <f>SUM(B43:J43)</f>
        <v>0</v>
      </c>
    </row>
    <row r="44" spans="1:27" x14ac:dyDescent="0.2">
      <c r="A44" s="80"/>
      <c r="B44" s="82">
        <f>IF(AND(ISNUMBER(B41),ISNUMBER(B42)),B41-B42-B43," ")</f>
        <v>5</v>
      </c>
      <c r="C44" s="83">
        <f t="shared" ref="C44:J44" si="8">IF(AND(ISNUMBER(C41),ISNUMBER(C42)),C41-C42-C43," ")</f>
        <v>5</v>
      </c>
      <c r="D44" s="83">
        <f t="shared" si="8"/>
        <v>4</v>
      </c>
      <c r="E44" s="83">
        <f t="shared" si="8"/>
        <v>5</v>
      </c>
      <c r="F44" s="83">
        <f t="shared" si="8"/>
        <v>4</v>
      </c>
      <c r="G44" s="83">
        <f t="shared" si="8"/>
        <v>6</v>
      </c>
      <c r="H44" s="83">
        <f t="shared" si="8"/>
        <v>5</v>
      </c>
      <c r="I44" s="83">
        <f t="shared" si="8"/>
        <v>6</v>
      </c>
      <c r="J44" s="84">
        <f t="shared" si="8"/>
        <v>6</v>
      </c>
      <c r="K44" s="13">
        <f>IF(ISNUMBER(FIND("Wins",K45)), 2, IF(ISNUMBER(FIND("Tie",K45)), 1, 0))</f>
        <v>0</v>
      </c>
    </row>
    <row r="45" spans="1:27" ht="13.5" thickBot="1" x14ac:dyDescent="0.25">
      <c r="A45" s="81"/>
      <c r="B45" s="19">
        <f>IF(AND(ISNUMBER(B44),ISNUMBER(B50)),IF(B44&lt;B50, 0+1, (IF(B44&gt;B50, 0-1, 0)))," ")</f>
        <v>-1</v>
      </c>
      <c r="C45" s="9">
        <f t="shared" ref="C45:J45" si="9">IF(AND(ISNUMBER(C44),ISNUMBER(C50)),IF(C44&lt;C50, +B45+1, (IF(C44&gt;C50, +B45-1, +B45)))," ")</f>
        <v>-2</v>
      </c>
      <c r="D45" s="9">
        <f t="shared" si="9"/>
        <v>-3</v>
      </c>
      <c r="E45" s="9">
        <f t="shared" si="9"/>
        <v>-3</v>
      </c>
      <c r="F45" s="9">
        <f t="shared" si="9"/>
        <v>-2</v>
      </c>
      <c r="G45" s="9">
        <f t="shared" si="9"/>
        <v>-3</v>
      </c>
      <c r="H45" s="9">
        <f t="shared" si="9"/>
        <v>-3</v>
      </c>
      <c r="I45" s="9">
        <f t="shared" si="9"/>
        <v>-4</v>
      </c>
      <c r="J45" s="10">
        <f t="shared" si="9"/>
        <v>-5</v>
      </c>
      <c r="K45" s="14" t="str">
        <f>IF(ISNUMBER(J45),IF(F45&gt;4,"Wins " &amp; F45 &amp; " &amp; 4",IF(G45&gt;3,"Wins " &amp; G45 &amp; " &amp; 3",IF(H45&gt;2,"Wins " &amp; H45 &amp; " &amp; 2",IF(I45&gt;1,"Wins " &amp; I45 &amp; " &amp; 1",IF(J45&gt;J51,"Wins " &amp; J45 &amp; " Up",IF(J45&lt;J51,"Loss","Tie"))))))," ")</f>
        <v>Loss</v>
      </c>
    </row>
    <row r="46" spans="1:27" ht="13.5" thickBot="1" x14ac:dyDescent="0.25">
      <c r="A46" s="32"/>
    </row>
    <row r="47" spans="1:27" x14ac:dyDescent="0.2">
      <c r="A47" s="29" t="str">
        <f t="shared" ref="A47:J47" si="10">A8</f>
        <v>Rick</v>
      </c>
      <c r="B47" s="17">
        <f t="shared" si="10"/>
        <v>4</v>
      </c>
      <c r="C47" s="3">
        <f t="shared" si="10"/>
        <v>4</v>
      </c>
      <c r="D47" s="3">
        <f t="shared" si="10"/>
        <v>3</v>
      </c>
      <c r="E47" s="3">
        <f t="shared" si="10"/>
        <v>5</v>
      </c>
      <c r="F47" s="3">
        <f t="shared" si="10"/>
        <v>5</v>
      </c>
      <c r="G47" s="3">
        <f t="shared" si="10"/>
        <v>4</v>
      </c>
      <c r="H47" s="3">
        <f t="shared" si="10"/>
        <v>5</v>
      </c>
      <c r="I47" s="3">
        <f t="shared" si="10"/>
        <v>5</v>
      </c>
      <c r="J47" s="4">
        <f t="shared" si="10"/>
        <v>5</v>
      </c>
      <c r="K47" s="12">
        <f>SUM(B47:J47)</f>
        <v>40</v>
      </c>
    </row>
    <row r="48" spans="1:27" x14ac:dyDescent="0.2">
      <c r="A48" s="30">
        <f>A9</f>
        <v>7</v>
      </c>
      <c r="B48" s="18">
        <f>IF(AND(ISNUMBER($A42),ISNUMBER($A48)),IF((RANK(B$4,$B$4:$J$4,1))&lt;=($A48-$A42),1,0),"")</f>
        <v>1</v>
      </c>
      <c r="C48" s="6">
        <f t="shared" ref="C48:J49" si="11">IF(AND(ISNUMBER($A42),ISNUMBER($A48)),IF((RANK(C$4,$B$4:$J$4,1))&lt;=($A48-$A42),1,0),"")</f>
        <v>0</v>
      </c>
      <c r="D48" s="6">
        <f t="shared" si="11"/>
        <v>0</v>
      </c>
      <c r="E48" s="6">
        <f t="shared" si="11"/>
        <v>0</v>
      </c>
      <c r="F48" s="6">
        <f t="shared" si="11"/>
        <v>0</v>
      </c>
      <c r="G48" s="6">
        <f t="shared" si="11"/>
        <v>0</v>
      </c>
      <c r="H48" s="6">
        <f t="shared" si="11"/>
        <v>0</v>
      </c>
      <c r="I48" s="6">
        <f t="shared" si="11"/>
        <v>0</v>
      </c>
      <c r="J48" s="7">
        <f t="shared" si="11"/>
        <v>1</v>
      </c>
      <c r="K48" s="13">
        <f>SUM(B48:J48)</f>
        <v>2</v>
      </c>
    </row>
    <row r="49" spans="1:27" x14ac:dyDescent="0.2">
      <c r="A49" s="30">
        <f>IF((A48-A42)&gt;9,(A48-A42-9),0)</f>
        <v>0</v>
      </c>
      <c r="B49" s="18">
        <f>IF(AND(ISNUMBER($A43),ISNUMBER($A49)),IF((RANK(B$4,$B$4:$J$4,1))&lt;=($A49-$A43),1,0),"")</f>
        <v>0</v>
      </c>
      <c r="C49" s="6">
        <f t="shared" si="11"/>
        <v>0</v>
      </c>
      <c r="D49" s="6">
        <f t="shared" si="11"/>
        <v>0</v>
      </c>
      <c r="E49" s="6">
        <f t="shared" si="11"/>
        <v>0</v>
      </c>
      <c r="F49" s="6">
        <f t="shared" si="11"/>
        <v>0</v>
      </c>
      <c r="G49" s="6">
        <f t="shared" si="11"/>
        <v>0</v>
      </c>
      <c r="H49" s="6">
        <f t="shared" si="11"/>
        <v>0</v>
      </c>
      <c r="I49" s="6">
        <f t="shared" si="11"/>
        <v>0</v>
      </c>
      <c r="J49" s="7">
        <f t="shared" si="11"/>
        <v>0</v>
      </c>
      <c r="K49" s="13">
        <f>SUM(B49:J49)</f>
        <v>0</v>
      </c>
    </row>
    <row r="50" spans="1:27" x14ac:dyDescent="0.2">
      <c r="A50" s="30"/>
      <c r="B50" s="82">
        <f>IF(AND(ISNUMBER(B47),ISNUMBER(B48)),B47-B48-B49," ")</f>
        <v>3</v>
      </c>
      <c r="C50" s="83">
        <f t="shared" ref="C50:J50" si="12">IF(AND(ISNUMBER(C47),ISNUMBER(C48)),C47-C48-C49," ")</f>
        <v>4</v>
      </c>
      <c r="D50" s="83">
        <f t="shared" si="12"/>
        <v>3</v>
      </c>
      <c r="E50" s="83">
        <f t="shared" si="12"/>
        <v>5</v>
      </c>
      <c r="F50" s="83">
        <f t="shared" si="12"/>
        <v>5</v>
      </c>
      <c r="G50" s="83">
        <f t="shared" si="12"/>
        <v>4</v>
      </c>
      <c r="H50" s="83">
        <f t="shared" si="12"/>
        <v>5</v>
      </c>
      <c r="I50" s="83">
        <f t="shared" si="12"/>
        <v>5</v>
      </c>
      <c r="J50" s="84">
        <f t="shared" si="12"/>
        <v>4</v>
      </c>
      <c r="K50" s="13">
        <f>IF(ISNUMBER(FIND("Wins",K51)), 2, IF(ISNUMBER(FIND("Tie",K51)), 1, 0))</f>
        <v>2</v>
      </c>
    </row>
    <row r="51" spans="1:27" ht="13.5" thickBot="1" x14ac:dyDescent="0.25">
      <c r="A51" s="31"/>
      <c r="B51" s="19">
        <f>IF(AND(ISNUMBER(B44),ISNUMBER(B50)),IF(B50&lt;B44, 0+1, (IF(B50&gt;B44, 0-1, 0)))," ")</f>
        <v>1</v>
      </c>
      <c r="C51" s="9">
        <f t="shared" ref="C51:J51" si="13">IF(AND(ISNUMBER(C44),ISNUMBER(C50)),IF(C50&lt;C44, +B51+1, (IF(C50&gt;C44, +B51-1, +B51)))," ")</f>
        <v>2</v>
      </c>
      <c r="D51" s="9">
        <f t="shared" si="13"/>
        <v>3</v>
      </c>
      <c r="E51" s="9">
        <f t="shared" si="13"/>
        <v>3</v>
      </c>
      <c r="F51" s="9">
        <f t="shared" si="13"/>
        <v>2</v>
      </c>
      <c r="G51" s="9">
        <f t="shared" si="13"/>
        <v>3</v>
      </c>
      <c r="H51" s="9">
        <f t="shared" si="13"/>
        <v>3</v>
      </c>
      <c r="I51" s="9">
        <f t="shared" si="13"/>
        <v>4</v>
      </c>
      <c r="J51" s="10">
        <f t="shared" si="13"/>
        <v>5</v>
      </c>
      <c r="K51" s="14" t="str">
        <f>IF(ISNUMBER(J51),IF(F51&gt;4,"Wins " &amp; F51 &amp; " &amp; 4",IF(G51&gt;3,"Wins " &amp; G51 &amp; " &amp; 3",IF(H51&gt;2,"Wins " &amp; H51 &amp; " &amp; 2",IF(I51&gt;1,"Wins " &amp; I51 &amp; " &amp; 1",IF(J51&gt;J45,"Wins " &amp; J51 &amp; " Up",IF(J51&lt;J45,"Loss","Tie"))))))," ")</f>
        <v>Wins 3 &amp; 2</v>
      </c>
    </row>
    <row r="53" spans="1:27" s="16" customFormat="1" ht="13.5" thickBot="1" x14ac:dyDescent="0.25">
      <c r="A53" s="24" t="s">
        <v>9</v>
      </c>
      <c r="B53" s="2"/>
      <c r="C53" s="2"/>
      <c r="D53" s="2"/>
      <c r="E53" s="2"/>
      <c r="F53" s="2"/>
      <c r="G53" s="2"/>
      <c r="H53" s="2"/>
      <c r="I53" s="2"/>
      <c r="J53" s="2"/>
      <c r="K53" s="2"/>
      <c r="N53" s="15"/>
      <c r="O53" s="15"/>
      <c r="P53" s="59"/>
      <c r="Q53" s="59"/>
      <c r="R53" s="59"/>
      <c r="S53" s="59"/>
      <c r="T53" s="59"/>
      <c r="W53" s="15"/>
      <c r="X53" s="15"/>
      <c r="Y53" s="15"/>
      <c r="Z53" s="15"/>
      <c r="AA53" s="15"/>
    </row>
    <row r="54" spans="1:27" s="16" customFormat="1" x14ac:dyDescent="0.2">
      <c r="A54" s="29" t="str">
        <f t="shared" ref="A54:J54" si="14">A10</f>
        <v>Brian S</v>
      </c>
      <c r="B54" s="17">
        <f t="shared" si="14"/>
        <v>5</v>
      </c>
      <c r="C54" s="3">
        <f t="shared" si="14"/>
        <v>8</v>
      </c>
      <c r="D54" s="3">
        <f t="shared" si="14"/>
        <v>4</v>
      </c>
      <c r="E54" s="3">
        <f t="shared" si="14"/>
        <v>5</v>
      </c>
      <c r="F54" s="3">
        <f t="shared" si="14"/>
        <v>4</v>
      </c>
      <c r="G54" s="3">
        <f t="shared" si="14"/>
        <v>5</v>
      </c>
      <c r="H54" s="3">
        <f t="shared" si="14"/>
        <v>10</v>
      </c>
      <c r="I54" s="3">
        <f t="shared" si="14"/>
        <v>7</v>
      </c>
      <c r="J54" s="4">
        <f t="shared" si="14"/>
        <v>9</v>
      </c>
      <c r="K54" s="12">
        <f>SUM(B54:J54)</f>
        <v>57</v>
      </c>
      <c r="N54" s="15"/>
      <c r="O54" s="15"/>
      <c r="P54" s="59"/>
      <c r="Q54" s="59"/>
      <c r="R54" s="59"/>
      <c r="S54" s="59"/>
      <c r="T54" s="59"/>
      <c r="W54" s="15"/>
      <c r="X54" s="15"/>
      <c r="Y54" s="15"/>
      <c r="Z54" s="15"/>
      <c r="AA54" s="15"/>
    </row>
    <row r="55" spans="1:27" s="16" customFormat="1" x14ac:dyDescent="0.2">
      <c r="A55" s="30">
        <f>A11</f>
        <v>13</v>
      </c>
      <c r="B55" s="18">
        <f>IF(AND(ISNUMBER($A55),ISNUMBER($A61)),IF((RANK(B$4,$B$4:$J$4,1))&lt;=($A55-$A61),1,0),"")</f>
        <v>1</v>
      </c>
      <c r="C55" s="6">
        <f t="shared" ref="C55:J56" si="15">IF(AND(ISNUMBER($A55),ISNUMBER($A61)),IF((RANK(C$4,$B$4:$J$4,1))&lt;=($A55-$A61),1,0),"")</f>
        <v>1</v>
      </c>
      <c r="D55" s="6">
        <f t="shared" si="15"/>
        <v>0</v>
      </c>
      <c r="E55" s="6">
        <f t="shared" si="15"/>
        <v>1</v>
      </c>
      <c r="F55" s="6">
        <f t="shared" si="15"/>
        <v>1</v>
      </c>
      <c r="G55" s="6">
        <f t="shared" si="15"/>
        <v>1</v>
      </c>
      <c r="H55" s="6">
        <f t="shared" si="15"/>
        <v>0</v>
      </c>
      <c r="I55" s="6">
        <f t="shared" si="15"/>
        <v>1</v>
      </c>
      <c r="J55" s="7">
        <f t="shared" si="15"/>
        <v>1</v>
      </c>
      <c r="K55" s="13">
        <f>SUM(B55:J55)</f>
        <v>7</v>
      </c>
      <c r="N55" s="15"/>
      <c r="O55" s="15"/>
      <c r="P55" s="59"/>
      <c r="Q55" s="59"/>
      <c r="R55" s="59"/>
      <c r="S55" s="59"/>
      <c r="T55" s="59"/>
      <c r="W55" s="15"/>
      <c r="X55" s="15"/>
      <c r="Y55" s="15"/>
      <c r="Z55" s="15"/>
      <c r="AA55" s="15"/>
    </row>
    <row r="56" spans="1:27" s="16" customFormat="1" x14ac:dyDescent="0.2">
      <c r="A56" s="30">
        <f>IF((A55-A61)&gt;9,(A55-A61-9),0)</f>
        <v>0</v>
      </c>
      <c r="B56" s="18">
        <f>IF(AND(ISNUMBER($A56),ISNUMBER($A62)),IF((RANK(B$4,$B$4:$J$4,1))&lt;=($A56-$A62),1,0),"")</f>
        <v>0</v>
      </c>
      <c r="C56" s="6">
        <f t="shared" si="15"/>
        <v>0</v>
      </c>
      <c r="D56" s="6">
        <f t="shared" si="15"/>
        <v>0</v>
      </c>
      <c r="E56" s="6">
        <f t="shared" si="15"/>
        <v>0</v>
      </c>
      <c r="F56" s="6">
        <f t="shared" si="15"/>
        <v>0</v>
      </c>
      <c r="G56" s="6">
        <f t="shared" si="15"/>
        <v>0</v>
      </c>
      <c r="H56" s="6">
        <f t="shared" si="15"/>
        <v>0</v>
      </c>
      <c r="I56" s="6">
        <f t="shared" si="15"/>
        <v>0</v>
      </c>
      <c r="J56" s="7">
        <f t="shared" si="15"/>
        <v>0</v>
      </c>
      <c r="K56" s="13">
        <f>SUM(B56:J56)</f>
        <v>0</v>
      </c>
      <c r="N56" s="15"/>
      <c r="O56" s="15"/>
      <c r="P56" s="59"/>
      <c r="Q56" s="59"/>
      <c r="R56" s="59"/>
      <c r="S56" s="59"/>
      <c r="T56" s="59"/>
      <c r="W56" s="15"/>
      <c r="X56" s="15"/>
      <c r="Y56" s="15"/>
      <c r="Z56" s="15"/>
      <c r="AA56" s="15"/>
    </row>
    <row r="57" spans="1:27" s="16" customFormat="1" x14ac:dyDescent="0.2">
      <c r="A57" s="30"/>
      <c r="B57" s="82">
        <f t="shared" ref="B57:J57" si="16">IF(AND(ISNUMBER(B54),ISNUMBER(B55)),B54-B55-B56," ")</f>
        <v>4</v>
      </c>
      <c r="C57" s="83">
        <f t="shared" si="16"/>
        <v>7</v>
      </c>
      <c r="D57" s="83">
        <f t="shared" si="16"/>
        <v>4</v>
      </c>
      <c r="E57" s="83">
        <f t="shared" si="16"/>
        <v>4</v>
      </c>
      <c r="F57" s="83">
        <f t="shared" si="16"/>
        <v>3</v>
      </c>
      <c r="G57" s="83">
        <f t="shared" si="16"/>
        <v>4</v>
      </c>
      <c r="H57" s="83">
        <f t="shared" si="16"/>
        <v>10</v>
      </c>
      <c r="I57" s="83">
        <f t="shared" si="16"/>
        <v>6</v>
      </c>
      <c r="J57" s="84">
        <f t="shared" si="16"/>
        <v>8</v>
      </c>
      <c r="K57" s="13">
        <f>IF(ISNUMBER(FIND("Wins",K58)), 2, IF(ISNUMBER(FIND("Tie",K58)), 1, 0))</f>
        <v>2</v>
      </c>
      <c r="N57" s="15"/>
      <c r="O57" s="15"/>
      <c r="P57" s="59"/>
      <c r="Q57" s="59"/>
      <c r="R57" s="59"/>
      <c r="S57" s="59"/>
      <c r="T57" s="59"/>
      <c r="W57" s="15"/>
      <c r="X57" s="15"/>
      <c r="Y57" s="15"/>
      <c r="Z57" s="15"/>
      <c r="AA57" s="15"/>
    </row>
    <row r="58" spans="1:27" s="16" customFormat="1" ht="13.5" thickBot="1" x14ac:dyDescent="0.25">
      <c r="A58" s="31"/>
      <c r="B58" s="19">
        <f>IF(AND(ISNUMBER(B57),ISNUMBER(B63)),IF(B57&lt;B63, 0+1, (IF(B57&gt;B63, 0-1, 0)))," ")</f>
        <v>1</v>
      </c>
      <c r="C58" s="9">
        <f t="shared" ref="C58:J58" si="17">IF(AND(ISNUMBER(C57),ISNUMBER(C63)),IF(C57&lt;C63, +B58+1, (IF(C57&gt;C63, +B58-1, +B58)))," ")</f>
        <v>0</v>
      </c>
      <c r="D58" s="9">
        <f t="shared" si="17"/>
        <v>0</v>
      </c>
      <c r="E58" s="9">
        <f t="shared" si="17"/>
        <v>1</v>
      </c>
      <c r="F58" s="9">
        <f t="shared" si="17"/>
        <v>2</v>
      </c>
      <c r="G58" s="9">
        <f t="shared" si="17"/>
        <v>3</v>
      </c>
      <c r="H58" s="9">
        <f t="shared" si="17"/>
        <v>2</v>
      </c>
      <c r="I58" s="9">
        <f t="shared" si="17"/>
        <v>2</v>
      </c>
      <c r="J58" s="10">
        <f t="shared" si="17"/>
        <v>1</v>
      </c>
      <c r="K58" s="14" t="str">
        <f>IF(ISNUMBER(J58),IF(F58&gt;4,"Wins " &amp; F58 &amp; " &amp; 4",IF(G58&gt;3,"Wins " &amp; G58 &amp; " &amp; 3",IF(H58&gt;2,"Wins " &amp; H58 &amp; " &amp; 2",IF(I58&gt;1,"Wins " &amp; I58 &amp; " &amp; 1",IF(J58&gt;J64,"Wins " &amp; J58 &amp; " Up",IF(J58&lt;J64,"Loss","Tie"))))))," ")</f>
        <v>Wins 2 &amp; 1</v>
      </c>
      <c r="N58" s="15"/>
      <c r="O58" s="15"/>
      <c r="P58" s="59"/>
      <c r="Q58" s="59"/>
      <c r="R58" s="59"/>
      <c r="S58" s="59"/>
      <c r="T58" s="59"/>
      <c r="W58" s="15"/>
      <c r="X58" s="15"/>
      <c r="Y58" s="15"/>
      <c r="Z58" s="15"/>
      <c r="AA58" s="15"/>
    </row>
    <row r="59" spans="1:27" s="16" customFormat="1" ht="13.5" thickBot="1" x14ac:dyDescent="0.25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N59" s="15"/>
      <c r="O59" s="15"/>
      <c r="P59" s="59"/>
      <c r="Q59" s="59"/>
      <c r="R59" s="59"/>
      <c r="S59" s="59"/>
      <c r="T59" s="59"/>
      <c r="W59" s="15"/>
      <c r="X59" s="15"/>
      <c r="Y59" s="15"/>
      <c r="Z59" s="15"/>
      <c r="AA59" s="15"/>
    </row>
    <row r="60" spans="1:27" s="16" customFormat="1" x14ac:dyDescent="0.2">
      <c r="A60" s="29" t="str">
        <f t="shared" ref="A60:J60" si="18">A12</f>
        <v xml:space="preserve">Pat </v>
      </c>
      <c r="B60" s="17">
        <f t="shared" si="18"/>
        <v>5</v>
      </c>
      <c r="C60" s="3">
        <f t="shared" si="18"/>
        <v>5</v>
      </c>
      <c r="D60" s="3">
        <f t="shared" si="18"/>
        <v>4</v>
      </c>
      <c r="E60" s="3">
        <f t="shared" si="18"/>
        <v>5</v>
      </c>
      <c r="F60" s="3">
        <f t="shared" si="18"/>
        <v>4</v>
      </c>
      <c r="G60" s="3">
        <f t="shared" si="18"/>
        <v>6</v>
      </c>
      <c r="H60" s="3">
        <f t="shared" si="18"/>
        <v>5</v>
      </c>
      <c r="I60" s="3">
        <f t="shared" si="18"/>
        <v>6</v>
      </c>
      <c r="J60" s="4">
        <f t="shared" si="18"/>
        <v>6</v>
      </c>
      <c r="K60" s="12">
        <f>SUM(B60:J60)</f>
        <v>46</v>
      </c>
      <c r="N60" s="15"/>
      <c r="O60" s="15"/>
      <c r="P60" s="59"/>
      <c r="Q60" s="59"/>
      <c r="R60" s="59"/>
      <c r="S60" s="59"/>
      <c r="T60" s="59"/>
      <c r="W60" s="15"/>
      <c r="X60" s="15"/>
      <c r="Y60" s="15"/>
      <c r="Z60" s="15"/>
      <c r="AA60" s="15"/>
    </row>
    <row r="61" spans="1:27" s="16" customFormat="1" x14ac:dyDescent="0.2">
      <c r="A61" s="30">
        <f>A13</f>
        <v>6</v>
      </c>
      <c r="B61" s="18">
        <f>IF(AND(ISNUMBER($A55),ISNUMBER($A61)),IF((RANK(B$4,$B$4:$J$4,1))&lt;=($A61-$A55),1,0),"")</f>
        <v>0</v>
      </c>
      <c r="C61" s="6">
        <f t="shared" ref="C61:J62" si="19">IF(AND(ISNUMBER($A55),ISNUMBER($A61)),IF((RANK(C$4,$B$4:$J$4,1))&lt;=($A61-$A55),1,0),"")</f>
        <v>0</v>
      </c>
      <c r="D61" s="6">
        <f t="shared" si="19"/>
        <v>0</v>
      </c>
      <c r="E61" s="6">
        <f t="shared" si="19"/>
        <v>0</v>
      </c>
      <c r="F61" s="6">
        <f t="shared" si="19"/>
        <v>0</v>
      </c>
      <c r="G61" s="6">
        <f t="shared" si="19"/>
        <v>0</v>
      </c>
      <c r="H61" s="6">
        <f t="shared" si="19"/>
        <v>0</v>
      </c>
      <c r="I61" s="6">
        <f t="shared" si="19"/>
        <v>0</v>
      </c>
      <c r="J61" s="7">
        <f t="shared" si="19"/>
        <v>0</v>
      </c>
      <c r="K61" s="13">
        <f>SUM(B61:J61)</f>
        <v>0</v>
      </c>
      <c r="N61" s="15"/>
      <c r="O61" s="15"/>
      <c r="P61" s="59"/>
      <c r="Q61" s="59"/>
      <c r="R61" s="59"/>
      <c r="S61" s="59"/>
      <c r="T61" s="59"/>
      <c r="W61" s="15"/>
      <c r="X61" s="15"/>
      <c r="Y61" s="15"/>
      <c r="Z61" s="15"/>
      <c r="AA61" s="15"/>
    </row>
    <row r="62" spans="1:27" s="16" customFormat="1" x14ac:dyDescent="0.2">
      <c r="A62" s="30">
        <f>IF((A61-A55)&gt;9,(A61-A55-9),0)</f>
        <v>0</v>
      </c>
      <c r="B62" s="18">
        <f>IF(AND(ISNUMBER($A56),ISNUMBER($A62)),IF((RANK(B$4,$B$4:$J$4,1))&lt;=($A62-$A56),1,0),"")</f>
        <v>0</v>
      </c>
      <c r="C62" s="6">
        <f t="shared" si="19"/>
        <v>0</v>
      </c>
      <c r="D62" s="6">
        <f t="shared" si="19"/>
        <v>0</v>
      </c>
      <c r="E62" s="6">
        <f t="shared" si="19"/>
        <v>0</v>
      </c>
      <c r="F62" s="6">
        <f t="shared" si="19"/>
        <v>0</v>
      </c>
      <c r="G62" s="6">
        <f t="shared" si="19"/>
        <v>0</v>
      </c>
      <c r="H62" s="6">
        <f t="shared" si="19"/>
        <v>0</v>
      </c>
      <c r="I62" s="6">
        <f t="shared" si="19"/>
        <v>0</v>
      </c>
      <c r="J62" s="7">
        <f t="shared" si="19"/>
        <v>0</v>
      </c>
      <c r="K62" s="13">
        <f>SUM(B62:J62)</f>
        <v>0</v>
      </c>
      <c r="N62" s="15"/>
      <c r="O62" s="15"/>
      <c r="P62" s="59"/>
      <c r="Q62" s="59"/>
      <c r="R62" s="59"/>
      <c r="S62" s="59"/>
      <c r="T62" s="59"/>
      <c r="W62" s="15"/>
      <c r="X62" s="15"/>
      <c r="Y62" s="15"/>
      <c r="Z62" s="15"/>
      <c r="AA62" s="15"/>
    </row>
    <row r="63" spans="1:27" s="16" customFormat="1" x14ac:dyDescent="0.2">
      <c r="A63" s="30"/>
      <c r="B63" s="82">
        <f t="shared" ref="B63:J63" si="20">IF(AND(ISNUMBER(B60),ISNUMBER(B61)),B60-B61-B62," ")</f>
        <v>5</v>
      </c>
      <c r="C63" s="83">
        <f t="shared" si="20"/>
        <v>5</v>
      </c>
      <c r="D63" s="83">
        <f t="shared" si="20"/>
        <v>4</v>
      </c>
      <c r="E63" s="83">
        <f t="shared" si="20"/>
        <v>5</v>
      </c>
      <c r="F63" s="83">
        <f t="shared" si="20"/>
        <v>4</v>
      </c>
      <c r="G63" s="83">
        <f t="shared" si="20"/>
        <v>6</v>
      </c>
      <c r="H63" s="83">
        <f t="shared" si="20"/>
        <v>5</v>
      </c>
      <c r="I63" s="83">
        <f t="shared" si="20"/>
        <v>6</v>
      </c>
      <c r="J63" s="84">
        <f t="shared" si="20"/>
        <v>6</v>
      </c>
      <c r="K63" s="13">
        <f>IF(ISNUMBER(FIND("Wins",K64)), 2, IF(ISNUMBER(FIND("Tie",K64)), 1, 0))</f>
        <v>0</v>
      </c>
      <c r="N63" s="15"/>
      <c r="O63" s="15"/>
      <c r="P63" s="59"/>
      <c r="Q63" s="59"/>
      <c r="R63" s="59"/>
      <c r="S63" s="59"/>
      <c r="T63" s="59"/>
      <c r="W63" s="15"/>
      <c r="X63" s="15"/>
      <c r="Y63" s="15"/>
      <c r="Z63" s="15"/>
      <c r="AA63" s="15"/>
    </row>
    <row r="64" spans="1:27" s="16" customFormat="1" ht="13.5" thickBot="1" x14ac:dyDescent="0.25">
      <c r="A64" s="31"/>
      <c r="B64" s="19">
        <f>IF(AND(ISNUMBER(B57),ISNUMBER(B63)),IF(B63&lt;B57, 0+1, (IF(B63&gt;B57, 0-1, 0)))," ")</f>
        <v>-1</v>
      </c>
      <c r="C64" s="9">
        <f t="shared" ref="C64:J64" si="21">IF(AND(ISNUMBER(C57),ISNUMBER(C63)),IF(C63&lt;C57, +B64+1, (IF(C63&gt;C57, +B64-1, +B64)))," ")</f>
        <v>0</v>
      </c>
      <c r="D64" s="9">
        <f t="shared" si="21"/>
        <v>0</v>
      </c>
      <c r="E64" s="9">
        <f t="shared" si="21"/>
        <v>-1</v>
      </c>
      <c r="F64" s="9">
        <f t="shared" si="21"/>
        <v>-2</v>
      </c>
      <c r="G64" s="9">
        <f t="shared" si="21"/>
        <v>-3</v>
      </c>
      <c r="H64" s="9">
        <f t="shared" si="21"/>
        <v>-2</v>
      </c>
      <c r="I64" s="9">
        <f t="shared" si="21"/>
        <v>-2</v>
      </c>
      <c r="J64" s="10">
        <f t="shared" si="21"/>
        <v>-1</v>
      </c>
      <c r="K64" s="14" t="str">
        <f>IF(ISNUMBER(J64),IF(F64&gt;4,"Wins " &amp; F64 &amp; " &amp; 4",IF(G64&gt;3,"Wins " &amp; G64 &amp; " &amp; 3",IF(H64&gt;2,"Wins " &amp; H64 &amp; " &amp; 2",IF(I64&gt;1,"Wins " &amp; I64 &amp; " &amp; 1",IF(J64&gt;J58,"Wins " &amp; J64 &amp; " Up",IF(J64&lt;J58,"Loss","Tie"))))))," ")</f>
        <v>Loss</v>
      </c>
      <c r="N64" s="15"/>
      <c r="O64" s="15"/>
      <c r="P64" s="59"/>
      <c r="Q64" s="59"/>
      <c r="R64" s="59"/>
      <c r="S64" s="59"/>
      <c r="T64" s="59"/>
      <c r="W64" s="15"/>
      <c r="X64" s="15"/>
      <c r="Y64" s="15"/>
      <c r="Z64" s="15"/>
      <c r="AA64" s="15"/>
    </row>
    <row r="65" spans="1:27" s="16" customFormat="1" x14ac:dyDescent="0.2">
      <c r="A65" s="25"/>
      <c r="B65" s="15"/>
      <c r="C65" s="15"/>
      <c r="D65" s="15"/>
      <c r="E65" s="15"/>
      <c r="F65" s="15"/>
      <c r="G65" s="15"/>
      <c r="H65" s="15"/>
      <c r="I65" s="15"/>
      <c r="J65" s="15"/>
      <c r="K65" s="15"/>
      <c r="N65" s="15"/>
      <c r="O65" s="15"/>
      <c r="P65" s="59"/>
      <c r="Q65" s="59"/>
      <c r="R65" s="59"/>
      <c r="S65" s="59"/>
      <c r="T65" s="59"/>
      <c r="W65" s="15"/>
      <c r="X65" s="15"/>
      <c r="Y65" s="15"/>
      <c r="Z65" s="15"/>
      <c r="AA65" s="15"/>
    </row>
    <row r="66" spans="1:27" s="16" customFormat="1" ht="13.5" thickBot="1" x14ac:dyDescent="0.25">
      <c r="A66" s="24" t="s">
        <v>10</v>
      </c>
      <c r="B66" s="2"/>
      <c r="C66" s="2"/>
      <c r="D66" s="2"/>
      <c r="E66" s="2"/>
      <c r="F66" s="2"/>
      <c r="G66" s="2"/>
      <c r="H66" s="2"/>
      <c r="I66" s="2"/>
      <c r="J66" s="2"/>
      <c r="K66" s="2"/>
      <c r="N66" s="15"/>
      <c r="O66" s="15"/>
      <c r="P66" s="59"/>
      <c r="Q66" s="59"/>
      <c r="R66" s="59"/>
      <c r="S66" s="59"/>
      <c r="T66" s="59"/>
      <c r="W66" s="15"/>
      <c r="X66" s="15"/>
      <c r="Y66" s="15"/>
      <c r="Z66" s="15"/>
      <c r="AA66" s="15"/>
    </row>
    <row r="67" spans="1:27" s="16" customFormat="1" x14ac:dyDescent="0.2">
      <c r="A67" s="79" t="str">
        <f t="shared" ref="A67:J67" si="22">A14</f>
        <v>Mil</v>
      </c>
      <c r="B67" s="17">
        <f t="shared" si="22"/>
        <v>5</v>
      </c>
      <c r="C67" s="3">
        <f t="shared" si="22"/>
        <v>5</v>
      </c>
      <c r="D67" s="3">
        <f t="shared" si="22"/>
        <v>3</v>
      </c>
      <c r="E67" s="3">
        <f t="shared" si="22"/>
        <v>8</v>
      </c>
      <c r="F67" s="3">
        <f t="shared" si="22"/>
        <v>3</v>
      </c>
      <c r="G67" s="3">
        <f t="shared" si="22"/>
        <v>4</v>
      </c>
      <c r="H67" s="3">
        <f t="shared" si="22"/>
        <v>6</v>
      </c>
      <c r="I67" s="3">
        <f t="shared" si="22"/>
        <v>6</v>
      </c>
      <c r="J67" s="4">
        <f t="shared" si="22"/>
        <v>5</v>
      </c>
      <c r="K67" s="12">
        <f>SUM(B67:J67)</f>
        <v>45</v>
      </c>
      <c r="N67" s="15"/>
      <c r="O67" s="15"/>
      <c r="P67" s="59"/>
      <c r="Q67" s="59"/>
      <c r="R67" s="59"/>
      <c r="S67" s="59"/>
      <c r="T67" s="59"/>
      <c r="W67" s="15"/>
      <c r="X67" s="15"/>
      <c r="Y67" s="15"/>
      <c r="Z67" s="15"/>
      <c r="AA67" s="15"/>
    </row>
    <row r="68" spans="1:27" s="16" customFormat="1" x14ac:dyDescent="0.2">
      <c r="A68" s="80">
        <f>A15</f>
        <v>6</v>
      </c>
      <c r="B68" s="18">
        <f>IF(AND(ISNUMBER($A68),ISNUMBER($A74)),IF((RANK(B$4,$B$4:$J$4,1))&lt;=($A68-$A74),1,0),"")</f>
        <v>0</v>
      </c>
      <c r="C68" s="6">
        <f t="shared" ref="C68:J69" si="23">IF(AND(ISNUMBER($A68),ISNUMBER($A74)),IF((RANK(C$4,$B$4:$J$4,1))&lt;=($A68-$A74),1,0),"")</f>
        <v>0</v>
      </c>
      <c r="D68" s="6">
        <f t="shared" si="23"/>
        <v>0</v>
      </c>
      <c r="E68" s="6">
        <f t="shared" si="23"/>
        <v>0</v>
      </c>
      <c r="F68" s="6">
        <f t="shared" si="23"/>
        <v>0</v>
      </c>
      <c r="G68" s="6">
        <f t="shared" si="23"/>
        <v>0</v>
      </c>
      <c r="H68" s="6">
        <f t="shared" si="23"/>
        <v>0</v>
      </c>
      <c r="I68" s="6">
        <f t="shared" si="23"/>
        <v>0</v>
      </c>
      <c r="J68" s="7">
        <f t="shared" si="23"/>
        <v>0</v>
      </c>
      <c r="K68" s="13">
        <f>SUM(B68:J68)</f>
        <v>0</v>
      </c>
      <c r="N68" s="15"/>
      <c r="O68" s="15"/>
      <c r="P68" s="59"/>
      <c r="Q68" s="59"/>
      <c r="R68" s="59"/>
      <c r="S68" s="59"/>
      <c r="T68" s="59"/>
      <c r="W68" s="15"/>
      <c r="X68" s="15"/>
      <c r="Y68" s="15"/>
      <c r="Z68" s="15"/>
      <c r="AA68" s="15"/>
    </row>
    <row r="69" spans="1:27" s="16" customFormat="1" x14ac:dyDescent="0.2">
      <c r="A69" s="80">
        <f>IF((A68-A74)&gt;9,(A68-A74-9),0)</f>
        <v>0</v>
      </c>
      <c r="B69" s="18">
        <f>IF(AND(ISNUMBER($A69),ISNUMBER($A75)),IF((RANK(B$4,$B$4:$J$4,1))&lt;=($A69-$A75),1,0),"")</f>
        <v>0</v>
      </c>
      <c r="C69" s="6">
        <f t="shared" si="23"/>
        <v>0</v>
      </c>
      <c r="D69" s="6">
        <f t="shared" si="23"/>
        <v>0</v>
      </c>
      <c r="E69" s="6">
        <f t="shared" si="23"/>
        <v>0</v>
      </c>
      <c r="F69" s="6">
        <f t="shared" si="23"/>
        <v>0</v>
      </c>
      <c r="G69" s="6">
        <f t="shared" si="23"/>
        <v>0</v>
      </c>
      <c r="H69" s="6">
        <f t="shared" si="23"/>
        <v>0</v>
      </c>
      <c r="I69" s="6">
        <f t="shared" si="23"/>
        <v>0</v>
      </c>
      <c r="J69" s="7">
        <f t="shared" si="23"/>
        <v>0</v>
      </c>
      <c r="K69" s="13">
        <f>SUM(B69:J69)</f>
        <v>0</v>
      </c>
      <c r="N69" s="15"/>
      <c r="O69" s="15"/>
      <c r="P69" s="59"/>
      <c r="Q69" s="59"/>
      <c r="R69" s="59"/>
      <c r="S69" s="59"/>
      <c r="T69" s="59"/>
      <c r="W69" s="15"/>
      <c r="X69" s="15"/>
      <c r="Y69" s="15"/>
      <c r="Z69" s="15"/>
      <c r="AA69" s="15"/>
    </row>
    <row r="70" spans="1:27" s="16" customFormat="1" x14ac:dyDescent="0.2">
      <c r="A70" s="80"/>
      <c r="B70" s="82">
        <f t="shared" ref="B70:J70" si="24">IF(AND(ISNUMBER(B67),ISNUMBER(B68)),B67-B68-B69," ")</f>
        <v>5</v>
      </c>
      <c r="C70" s="83">
        <f t="shared" si="24"/>
        <v>5</v>
      </c>
      <c r="D70" s="83">
        <f t="shared" si="24"/>
        <v>3</v>
      </c>
      <c r="E70" s="83">
        <f t="shared" si="24"/>
        <v>8</v>
      </c>
      <c r="F70" s="83">
        <f t="shared" si="24"/>
        <v>3</v>
      </c>
      <c r="G70" s="83">
        <f t="shared" si="24"/>
        <v>4</v>
      </c>
      <c r="H70" s="83">
        <f t="shared" si="24"/>
        <v>6</v>
      </c>
      <c r="I70" s="83">
        <f t="shared" si="24"/>
        <v>6</v>
      </c>
      <c r="J70" s="84">
        <f t="shared" si="24"/>
        <v>5</v>
      </c>
      <c r="K70" s="13">
        <f>IF(ISNUMBER(FIND("Wins",K71)), 2, IF(ISNUMBER(FIND("Tie",K71)), 1, 0))</f>
        <v>1</v>
      </c>
      <c r="N70" s="15"/>
      <c r="O70" s="15"/>
      <c r="P70" s="59"/>
      <c r="Q70" s="59"/>
      <c r="R70" s="59"/>
      <c r="S70" s="59"/>
      <c r="T70" s="59"/>
      <c r="W70" s="15"/>
      <c r="X70" s="15"/>
      <c r="Y70" s="15"/>
      <c r="Z70" s="15"/>
      <c r="AA70" s="15"/>
    </row>
    <row r="71" spans="1:27" s="16" customFormat="1" ht="13.5" thickBot="1" x14ac:dyDescent="0.25">
      <c r="A71" s="81"/>
      <c r="B71" s="19">
        <f>IF(AND(ISNUMBER(B70),ISNUMBER(B76)),IF(B70&lt;B76, 0+1, (IF(B70&gt;B76, 0-1, 0)))," ")</f>
        <v>-1</v>
      </c>
      <c r="C71" s="9">
        <f t="shared" ref="C71:J71" si="25">IF(AND(ISNUMBER(C70),ISNUMBER(C76)),IF(C70&lt;C76, +B71+1, (IF(C70&gt;C76, +B71-1, +B71)))," ")</f>
        <v>-2</v>
      </c>
      <c r="D71" s="9">
        <f t="shared" si="25"/>
        <v>-2</v>
      </c>
      <c r="E71" s="9">
        <f t="shared" si="25"/>
        <v>-3</v>
      </c>
      <c r="F71" s="9">
        <f t="shared" si="25"/>
        <v>-2</v>
      </c>
      <c r="G71" s="9">
        <f t="shared" si="25"/>
        <v>-1</v>
      </c>
      <c r="H71" s="9">
        <f t="shared" si="25"/>
        <v>0</v>
      </c>
      <c r="I71" s="9">
        <f t="shared" si="25"/>
        <v>-1</v>
      </c>
      <c r="J71" s="10">
        <f t="shared" si="25"/>
        <v>0</v>
      </c>
      <c r="K71" s="14" t="str">
        <f>IF(ISNUMBER(J71),IF(F71&gt;4,"Wins " &amp; F71 &amp; " &amp; 4",IF(G71&gt;3,"Wins " &amp; G71 &amp; " &amp; 3",IF(H71&gt;2,"Wins " &amp; H71 &amp; " &amp; 2",IF(I71&gt;1,"Wins " &amp; I71 &amp; " &amp; 1",IF(J71&gt;J77,"Wins " &amp; J71 &amp; " Up",IF(J71&lt;J77,"Loss","Tie"))))))," ")</f>
        <v>Tie</v>
      </c>
      <c r="N71" s="15"/>
      <c r="O71" s="15"/>
      <c r="P71" s="59"/>
      <c r="Q71" s="59"/>
      <c r="R71" s="59"/>
      <c r="S71" s="59"/>
      <c r="T71" s="59"/>
      <c r="W71" s="15"/>
      <c r="X71" s="15"/>
      <c r="Y71" s="15"/>
      <c r="Z71" s="15"/>
      <c r="AA71" s="15"/>
    </row>
    <row r="72" spans="1:27" s="16" customFormat="1" ht="13.5" thickBot="1" x14ac:dyDescent="0.25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N72" s="15"/>
      <c r="O72" s="15"/>
      <c r="P72" s="59"/>
      <c r="Q72" s="59"/>
      <c r="R72" s="59"/>
      <c r="S72" s="59"/>
      <c r="T72" s="59"/>
      <c r="W72" s="15"/>
      <c r="X72" s="15"/>
      <c r="Y72" s="15"/>
      <c r="Z72" s="15"/>
      <c r="AA72" s="15"/>
    </row>
    <row r="73" spans="1:27" s="16" customFormat="1" x14ac:dyDescent="0.2">
      <c r="A73" s="79" t="str">
        <f t="shared" ref="A73:J73" si="26">A16</f>
        <v>Hunter</v>
      </c>
      <c r="B73" s="17">
        <f t="shared" si="26"/>
        <v>5</v>
      </c>
      <c r="C73" s="3">
        <f t="shared" si="26"/>
        <v>4</v>
      </c>
      <c r="D73" s="3">
        <f t="shared" si="26"/>
        <v>3</v>
      </c>
      <c r="E73" s="3">
        <f t="shared" si="26"/>
        <v>4</v>
      </c>
      <c r="F73" s="3">
        <f t="shared" si="26"/>
        <v>4</v>
      </c>
      <c r="G73" s="3">
        <f t="shared" si="26"/>
        <v>5</v>
      </c>
      <c r="H73" s="3">
        <f t="shared" si="26"/>
        <v>8</v>
      </c>
      <c r="I73" s="3">
        <f t="shared" si="26"/>
        <v>5</v>
      </c>
      <c r="J73" s="4">
        <f t="shared" si="26"/>
        <v>6</v>
      </c>
      <c r="K73" s="12">
        <f>SUM(B73:J73)</f>
        <v>44</v>
      </c>
      <c r="N73" s="15"/>
      <c r="O73" s="15"/>
      <c r="P73" s="59"/>
      <c r="Q73" s="59"/>
      <c r="R73" s="59"/>
      <c r="S73" s="59"/>
      <c r="T73" s="59"/>
      <c r="W73" s="15"/>
      <c r="X73" s="15"/>
      <c r="Y73" s="15"/>
      <c r="Z73" s="15"/>
      <c r="AA73" s="15"/>
    </row>
    <row r="74" spans="1:27" s="16" customFormat="1" x14ac:dyDescent="0.2">
      <c r="A74" s="80">
        <f>A17</f>
        <v>7</v>
      </c>
      <c r="B74" s="18">
        <f>IF(AND(ISNUMBER($A68),ISNUMBER($A74)),IF((RANK(B$4,$B$4:$J$4,1))&lt;=($A74-$A68),1,0),"")</f>
        <v>1</v>
      </c>
      <c r="C74" s="6">
        <f t="shared" ref="C74:J75" si="27">IF(AND(ISNUMBER($A68),ISNUMBER($A74)),IF((RANK(C$4,$B$4:$J$4,1))&lt;=($A74-$A68),1,0),"")</f>
        <v>0</v>
      </c>
      <c r="D74" s="6">
        <f t="shared" si="27"/>
        <v>0</v>
      </c>
      <c r="E74" s="6">
        <f t="shared" si="27"/>
        <v>0</v>
      </c>
      <c r="F74" s="6">
        <f t="shared" si="27"/>
        <v>0</v>
      </c>
      <c r="G74" s="6">
        <f t="shared" si="27"/>
        <v>0</v>
      </c>
      <c r="H74" s="6">
        <f t="shared" si="27"/>
        <v>0</v>
      </c>
      <c r="I74" s="6">
        <f t="shared" si="27"/>
        <v>0</v>
      </c>
      <c r="J74" s="7">
        <f t="shared" si="27"/>
        <v>0</v>
      </c>
      <c r="K74" s="13">
        <f>SUM(B74:J74)</f>
        <v>1</v>
      </c>
      <c r="N74" s="15"/>
      <c r="O74" s="15"/>
      <c r="P74" s="59"/>
      <c r="Q74" s="59"/>
      <c r="R74" s="59"/>
      <c r="S74" s="59"/>
      <c r="T74" s="59"/>
      <c r="W74" s="15"/>
      <c r="X74" s="15"/>
      <c r="Y74" s="15"/>
      <c r="Z74" s="15"/>
      <c r="AA74" s="15"/>
    </row>
    <row r="75" spans="1:27" s="16" customFormat="1" x14ac:dyDescent="0.2">
      <c r="A75" s="80">
        <f>IF((A74-A68)&gt;9,(A74-A68-9),0)</f>
        <v>0</v>
      </c>
      <c r="B75" s="18">
        <f>IF(AND(ISNUMBER($A69),ISNUMBER($A75)),IF((RANK(B$4,$B$4:$J$4,1))&lt;=($A75-$A69),1,0),"")</f>
        <v>0</v>
      </c>
      <c r="C75" s="6">
        <f t="shared" si="27"/>
        <v>0</v>
      </c>
      <c r="D75" s="6">
        <f t="shared" si="27"/>
        <v>0</v>
      </c>
      <c r="E75" s="6">
        <f t="shared" si="27"/>
        <v>0</v>
      </c>
      <c r="F75" s="6">
        <f t="shared" si="27"/>
        <v>0</v>
      </c>
      <c r="G75" s="6">
        <f t="shared" si="27"/>
        <v>0</v>
      </c>
      <c r="H75" s="6">
        <f t="shared" si="27"/>
        <v>0</v>
      </c>
      <c r="I75" s="6">
        <f t="shared" si="27"/>
        <v>0</v>
      </c>
      <c r="J75" s="7">
        <f t="shared" si="27"/>
        <v>0</v>
      </c>
      <c r="K75" s="13">
        <f>SUM(B75:J75)</f>
        <v>0</v>
      </c>
      <c r="N75" s="15"/>
      <c r="O75" s="15"/>
      <c r="P75" s="59"/>
      <c r="Q75" s="59"/>
      <c r="R75" s="59"/>
      <c r="S75" s="59"/>
      <c r="T75" s="59"/>
      <c r="W75" s="15"/>
      <c r="X75" s="15"/>
      <c r="Y75" s="15"/>
      <c r="Z75" s="15"/>
      <c r="AA75" s="15"/>
    </row>
    <row r="76" spans="1:27" s="16" customFormat="1" x14ac:dyDescent="0.2">
      <c r="A76" s="80"/>
      <c r="B76" s="82">
        <f t="shared" ref="B76:J76" si="28">IF(AND(ISNUMBER(B73),ISNUMBER(B74)),B73-B74-B75," ")</f>
        <v>4</v>
      </c>
      <c r="C76" s="83">
        <f t="shared" si="28"/>
        <v>4</v>
      </c>
      <c r="D76" s="83">
        <f t="shared" si="28"/>
        <v>3</v>
      </c>
      <c r="E76" s="83">
        <f t="shared" si="28"/>
        <v>4</v>
      </c>
      <c r="F76" s="83">
        <f t="shared" si="28"/>
        <v>4</v>
      </c>
      <c r="G76" s="83">
        <f t="shared" si="28"/>
        <v>5</v>
      </c>
      <c r="H76" s="83">
        <f t="shared" si="28"/>
        <v>8</v>
      </c>
      <c r="I76" s="83">
        <f t="shared" si="28"/>
        <v>5</v>
      </c>
      <c r="J76" s="84">
        <f t="shared" si="28"/>
        <v>6</v>
      </c>
      <c r="K76" s="13">
        <f>IF(ISNUMBER(FIND("Wins",K77)), 2, IF(ISNUMBER(FIND("Tie",K77)), 1, 0))</f>
        <v>1</v>
      </c>
      <c r="N76" s="15"/>
      <c r="O76" s="15"/>
      <c r="P76" s="59"/>
      <c r="Q76" s="59"/>
      <c r="R76" s="59"/>
      <c r="S76" s="59"/>
      <c r="T76" s="59"/>
      <c r="W76" s="15"/>
      <c r="X76" s="15"/>
      <c r="Y76" s="15"/>
      <c r="Z76" s="15"/>
      <c r="AA76" s="15"/>
    </row>
    <row r="77" spans="1:27" s="16" customFormat="1" ht="13.5" thickBot="1" x14ac:dyDescent="0.25">
      <c r="A77" s="81"/>
      <c r="B77" s="19">
        <f>IF(AND(ISNUMBER(B70),ISNUMBER(B76)),IF(B76&lt;B70, 0+1, (IF(B76&gt;B70, 0-1, 0)))," ")</f>
        <v>1</v>
      </c>
      <c r="C77" s="9">
        <f t="shared" ref="C77:J77" si="29">IF(AND(ISNUMBER(C70),ISNUMBER(C76)),IF(C76&lt;C70, +B77+1, (IF(C76&gt;C70, +B77-1, +B77)))," ")</f>
        <v>2</v>
      </c>
      <c r="D77" s="9">
        <f t="shared" si="29"/>
        <v>2</v>
      </c>
      <c r="E77" s="9">
        <f t="shared" si="29"/>
        <v>3</v>
      </c>
      <c r="F77" s="9">
        <f t="shared" si="29"/>
        <v>2</v>
      </c>
      <c r="G77" s="9">
        <f t="shared" si="29"/>
        <v>1</v>
      </c>
      <c r="H77" s="9">
        <f t="shared" si="29"/>
        <v>0</v>
      </c>
      <c r="I77" s="9">
        <f t="shared" si="29"/>
        <v>1</v>
      </c>
      <c r="J77" s="10">
        <f t="shared" si="29"/>
        <v>0</v>
      </c>
      <c r="K77" s="14" t="str">
        <f>IF(ISNUMBER(J77),IF(F77&gt;4,"Wins " &amp; F77 &amp; " &amp; 4",IF(G77&gt;3,"Wins " &amp; G77 &amp; " &amp; 3",IF(H77&gt;2,"Wins " &amp; H77 &amp; " &amp; 2",IF(I77&gt;1,"Wins " &amp; I77 &amp; " &amp; 1",IF(J77&gt;J71,"Wins " &amp; J77 &amp; " Up",IF(J77&lt;J71,"Loss","Tie"))))))," ")</f>
        <v>Tie</v>
      </c>
      <c r="N77" s="15"/>
      <c r="O77" s="15"/>
      <c r="P77" s="59"/>
      <c r="Q77" s="59"/>
      <c r="R77" s="59"/>
      <c r="S77" s="59"/>
      <c r="T77" s="59"/>
      <c r="W77" s="15"/>
      <c r="X77" s="15"/>
      <c r="Y77" s="15"/>
      <c r="Z77" s="15"/>
      <c r="AA77" s="15"/>
    </row>
    <row r="78" spans="1:27" s="16" customFormat="1" x14ac:dyDescent="0.2">
      <c r="A78" s="26"/>
      <c r="B78" s="15"/>
      <c r="C78" s="15"/>
      <c r="D78" s="15"/>
      <c r="E78" s="15"/>
      <c r="F78" s="15"/>
      <c r="G78" s="15"/>
      <c r="H78" s="15"/>
      <c r="I78" s="15"/>
      <c r="J78" s="15"/>
      <c r="K78" s="15"/>
      <c r="N78" s="15"/>
      <c r="O78" s="15"/>
      <c r="P78" s="59"/>
      <c r="Q78" s="59"/>
      <c r="R78" s="59"/>
      <c r="S78" s="59"/>
      <c r="T78" s="59"/>
      <c r="W78" s="15"/>
      <c r="X78" s="15"/>
      <c r="Y78" s="15"/>
      <c r="Z78" s="15"/>
      <c r="AA78" s="15"/>
    </row>
    <row r="79" spans="1:27" s="16" customFormat="1" ht="13.5" thickBot="1" x14ac:dyDescent="0.25">
      <c r="A79" s="24" t="s">
        <v>11</v>
      </c>
      <c r="B79" s="2"/>
      <c r="C79" s="2"/>
      <c r="D79" s="2"/>
      <c r="E79" s="2"/>
      <c r="F79" s="2"/>
      <c r="G79" s="2"/>
      <c r="H79" s="2"/>
      <c r="I79" s="2"/>
      <c r="J79" s="2"/>
      <c r="K79" s="2"/>
      <c r="N79" s="15"/>
      <c r="O79" s="15"/>
      <c r="P79" s="59"/>
      <c r="Q79" s="59"/>
      <c r="R79" s="59"/>
      <c r="S79" s="59"/>
      <c r="T79" s="59"/>
      <c r="W79" s="15"/>
      <c r="X79" s="15"/>
      <c r="Y79" s="15"/>
      <c r="Z79" s="15"/>
      <c r="AA79" s="15"/>
    </row>
    <row r="80" spans="1:27" s="16" customFormat="1" x14ac:dyDescent="0.2">
      <c r="A80" s="29" t="str">
        <f t="shared" ref="A80:J80" si="30">A18</f>
        <v>Patrick</v>
      </c>
      <c r="B80" s="17">
        <f t="shared" si="30"/>
        <v>5</v>
      </c>
      <c r="C80" s="3">
        <f t="shared" si="30"/>
        <v>4</v>
      </c>
      <c r="D80" s="3">
        <f t="shared" si="30"/>
        <v>3</v>
      </c>
      <c r="E80" s="3">
        <f t="shared" si="30"/>
        <v>8</v>
      </c>
      <c r="F80" s="3">
        <f t="shared" si="30"/>
        <v>4</v>
      </c>
      <c r="G80" s="3">
        <f t="shared" si="30"/>
        <v>5</v>
      </c>
      <c r="H80" s="3">
        <f t="shared" si="30"/>
        <v>7</v>
      </c>
      <c r="I80" s="3">
        <f t="shared" si="30"/>
        <v>5</v>
      </c>
      <c r="J80" s="4">
        <f t="shared" si="30"/>
        <v>7</v>
      </c>
      <c r="K80" s="12">
        <f>SUM(B80:J80)</f>
        <v>48</v>
      </c>
      <c r="N80" s="15"/>
      <c r="O80" s="15"/>
      <c r="P80" s="59"/>
      <c r="Q80" s="59"/>
      <c r="R80" s="59"/>
      <c r="S80" s="59"/>
      <c r="T80" s="59"/>
      <c r="W80" s="15"/>
      <c r="X80" s="15"/>
      <c r="Y80" s="15"/>
      <c r="Z80" s="15"/>
      <c r="AA80" s="15"/>
    </row>
    <row r="81" spans="1:27" s="16" customFormat="1" x14ac:dyDescent="0.2">
      <c r="A81" s="30">
        <f>A19</f>
        <v>8</v>
      </c>
      <c r="B81" s="18">
        <f>IF(AND(ISNUMBER($A81),ISNUMBER($A87)),IF((RANK(B$4,$B$4:$J$4,1))&lt;=($A81-$A87),1,0),"")</f>
        <v>0</v>
      </c>
      <c r="C81" s="6">
        <f t="shared" ref="C81:J82" si="31">IF(AND(ISNUMBER($A81),ISNUMBER($A87)),IF((RANK(C$4,$B$4:$J$4,1))&lt;=($A81-$A87),1,0),"")</f>
        <v>0</v>
      </c>
      <c r="D81" s="6">
        <f t="shared" si="31"/>
        <v>0</v>
      </c>
      <c r="E81" s="6">
        <f t="shared" si="31"/>
        <v>0</v>
      </c>
      <c r="F81" s="6">
        <f t="shared" si="31"/>
        <v>0</v>
      </c>
      <c r="G81" s="6">
        <f t="shared" si="31"/>
        <v>0</v>
      </c>
      <c r="H81" s="6">
        <f t="shared" si="31"/>
        <v>0</v>
      </c>
      <c r="I81" s="6">
        <f t="shared" si="31"/>
        <v>0</v>
      </c>
      <c r="J81" s="7">
        <f t="shared" si="31"/>
        <v>0</v>
      </c>
      <c r="K81" s="13">
        <f>SUM(B81:J81)</f>
        <v>0</v>
      </c>
      <c r="N81" s="15"/>
      <c r="O81" s="15"/>
      <c r="P81" s="59"/>
      <c r="Q81" s="59"/>
      <c r="R81" s="59"/>
      <c r="S81" s="59"/>
      <c r="T81" s="59"/>
      <c r="W81" s="15"/>
      <c r="X81" s="15"/>
      <c r="Y81" s="15"/>
      <c r="Z81" s="15"/>
      <c r="AA81" s="15"/>
    </row>
    <row r="82" spans="1:27" s="16" customFormat="1" x14ac:dyDescent="0.2">
      <c r="A82" s="30">
        <f>IF((A81-A87)&gt;9,(A81-A87-9),0)</f>
        <v>0</v>
      </c>
      <c r="B82" s="18">
        <f>IF(AND(ISNUMBER($A82),ISNUMBER($A88)),IF((RANK(B$4,$B$4:$J$4,1))&lt;=($A82-$A88),1,0),"")</f>
        <v>0</v>
      </c>
      <c r="C82" s="6">
        <f t="shared" si="31"/>
        <v>0</v>
      </c>
      <c r="D82" s="6">
        <f t="shared" si="31"/>
        <v>0</v>
      </c>
      <c r="E82" s="6">
        <f t="shared" si="31"/>
        <v>0</v>
      </c>
      <c r="F82" s="6">
        <f t="shared" si="31"/>
        <v>0</v>
      </c>
      <c r="G82" s="6">
        <f t="shared" si="31"/>
        <v>0</v>
      </c>
      <c r="H82" s="6">
        <f t="shared" si="31"/>
        <v>0</v>
      </c>
      <c r="I82" s="6">
        <f t="shared" si="31"/>
        <v>0</v>
      </c>
      <c r="J82" s="7">
        <f t="shared" si="31"/>
        <v>0</v>
      </c>
      <c r="K82" s="13">
        <f>SUM(B82:J82)</f>
        <v>0</v>
      </c>
      <c r="N82" s="15"/>
      <c r="O82" s="15"/>
      <c r="P82" s="59"/>
      <c r="Q82" s="59"/>
      <c r="R82" s="59"/>
      <c r="S82" s="59"/>
      <c r="T82" s="59"/>
      <c r="W82" s="15"/>
      <c r="X82" s="15"/>
      <c r="Y82" s="15"/>
      <c r="Z82" s="15"/>
      <c r="AA82" s="15"/>
    </row>
    <row r="83" spans="1:27" s="16" customFormat="1" x14ac:dyDescent="0.2">
      <c r="A83" s="30"/>
      <c r="B83" s="82">
        <f t="shared" ref="B83:J83" si="32">IF(AND(ISNUMBER(B80),ISNUMBER(B81)),B80-B81-B82," ")</f>
        <v>5</v>
      </c>
      <c r="C83" s="83">
        <f t="shared" si="32"/>
        <v>4</v>
      </c>
      <c r="D83" s="83">
        <f t="shared" si="32"/>
        <v>3</v>
      </c>
      <c r="E83" s="83">
        <f t="shared" si="32"/>
        <v>8</v>
      </c>
      <c r="F83" s="83">
        <f t="shared" si="32"/>
        <v>4</v>
      </c>
      <c r="G83" s="83">
        <f t="shared" si="32"/>
        <v>5</v>
      </c>
      <c r="H83" s="83">
        <f t="shared" si="32"/>
        <v>7</v>
      </c>
      <c r="I83" s="83">
        <f t="shared" si="32"/>
        <v>5</v>
      </c>
      <c r="J83" s="84">
        <f t="shared" si="32"/>
        <v>7</v>
      </c>
      <c r="K83" s="13">
        <f>IF(ISNUMBER(FIND("Wins",K84)), 2, IF(ISNUMBER(FIND("Tie",K84)), 1, 0))</f>
        <v>2</v>
      </c>
      <c r="N83" s="15"/>
      <c r="O83" s="15"/>
      <c r="P83" s="59"/>
      <c r="Q83" s="59"/>
      <c r="R83" s="59"/>
      <c r="S83" s="59"/>
      <c r="T83" s="59"/>
      <c r="W83" s="15"/>
      <c r="X83" s="15"/>
      <c r="Y83" s="15"/>
      <c r="Z83" s="15"/>
      <c r="AA83" s="15"/>
    </row>
    <row r="84" spans="1:27" s="16" customFormat="1" ht="13.5" thickBot="1" x14ac:dyDescent="0.25">
      <c r="A84" s="31"/>
      <c r="B84" s="19">
        <f>IF(AND(ISNUMBER(B83),ISNUMBER(B89)),IF(B83&lt;B89, 0+1, (IF(B83&gt;B89, 0-1, 0)))," ")</f>
        <v>0</v>
      </c>
      <c r="C84" s="9">
        <f t="shared" ref="C84:J84" si="33">IF(AND(ISNUMBER(C83),ISNUMBER(C89)),IF(C83&lt;C89, +B84+1, (IF(C83&gt;C89, +B84-1, +B84)))," ")</f>
        <v>1</v>
      </c>
      <c r="D84" s="9">
        <f t="shared" si="33"/>
        <v>2</v>
      </c>
      <c r="E84" s="9">
        <f t="shared" si="33"/>
        <v>1</v>
      </c>
      <c r="F84" s="9">
        <f t="shared" si="33"/>
        <v>2</v>
      </c>
      <c r="G84" s="9">
        <f t="shared" si="33"/>
        <v>3</v>
      </c>
      <c r="H84" s="9">
        <f t="shared" si="33"/>
        <v>2</v>
      </c>
      <c r="I84" s="9">
        <f t="shared" si="33"/>
        <v>2</v>
      </c>
      <c r="J84" s="10">
        <f t="shared" si="33"/>
        <v>1</v>
      </c>
      <c r="K84" s="14" t="str">
        <f>IF(ISNUMBER(J84),IF(F84&gt;4,"Wins " &amp; F84 &amp; " &amp; 4",IF(G84&gt;3,"Wins " &amp; G84 &amp; " &amp; 3",IF(H84&gt;2,"Wins " &amp; H84 &amp; " &amp; 2",IF(I84&gt;1,"Wins " &amp; I84 &amp; " &amp; 1",IF(J84&gt;J90,"Wins " &amp; J84 &amp; " Up",IF(J84&lt;J90,"Loss","Tie"))))))," ")</f>
        <v>Wins 2 &amp; 1</v>
      </c>
      <c r="N84" s="15"/>
      <c r="O84" s="15"/>
      <c r="P84" s="59"/>
      <c r="Q84" s="59"/>
      <c r="R84" s="59"/>
      <c r="S84" s="59"/>
      <c r="T84" s="59"/>
      <c r="W84" s="15"/>
      <c r="X84" s="15"/>
      <c r="Y84" s="15"/>
      <c r="Z84" s="15"/>
      <c r="AA84" s="15"/>
    </row>
    <row r="85" spans="1:27" s="16" customFormat="1" ht="13.5" thickBot="1" x14ac:dyDescent="0.2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N85" s="15"/>
      <c r="O85" s="15"/>
      <c r="P85" s="59"/>
      <c r="Q85" s="59"/>
      <c r="R85" s="59"/>
      <c r="S85" s="59"/>
      <c r="T85" s="59"/>
      <c r="W85" s="15"/>
      <c r="X85" s="15"/>
      <c r="Y85" s="15"/>
      <c r="Z85" s="15"/>
      <c r="AA85" s="15"/>
    </row>
    <row r="86" spans="1:27" s="16" customFormat="1" x14ac:dyDescent="0.2">
      <c r="A86" s="29" t="str">
        <f t="shared" ref="A86:J86" si="34">A20</f>
        <v>Manny</v>
      </c>
      <c r="B86" s="17">
        <f t="shared" si="34"/>
        <v>6</v>
      </c>
      <c r="C86" s="3">
        <f t="shared" si="34"/>
        <v>6</v>
      </c>
      <c r="D86" s="3">
        <f t="shared" si="34"/>
        <v>6</v>
      </c>
      <c r="E86" s="3">
        <f t="shared" si="34"/>
        <v>5</v>
      </c>
      <c r="F86" s="3">
        <f t="shared" si="34"/>
        <v>5</v>
      </c>
      <c r="G86" s="3">
        <f t="shared" si="34"/>
        <v>7</v>
      </c>
      <c r="H86" s="3">
        <f t="shared" si="34"/>
        <v>6</v>
      </c>
      <c r="I86" s="3">
        <f t="shared" si="34"/>
        <v>6</v>
      </c>
      <c r="J86" s="4">
        <f t="shared" si="34"/>
        <v>6</v>
      </c>
      <c r="K86" s="12">
        <f>SUM(B86:J86)</f>
        <v>53</v>
      </c>
      <c r="N86" s="15"/>
      <c r="O86" s="15"/>
      <c r="P86" s="59"/>
      <c r="Q86" s="59"/>
      <c r="R86" s="59"/>
      <c r="S86" s="59"/>
      <c r="T86" s="59"/>
      <c r="W86" s="15"/>
      <c r="X86" s="15"/>
      <c r="Y86" s="15"/>
      <c r="Z86" s="15"/>
      <c r="AA86" s="15"/>
    </row>
    <row r="87" spans="1:27" s="16" customFormat="1" x14ac:dyDescent="0.2">
      <c r="A87" s="30">
        <f>A21</f>
        <v>14</v>
      </c>
      <c r="B87" s="18">
        <f>IF(AND(ISNUMBER($A81),ISNUMBER($A87)),IF((RANK(B$4,$B$4:$J$4,1))&lt;=($A87-$A81),1,0),"")</f>
        <v>1</v>
      </c>
      <c r="C87" s="6">
        <f t="shared" ref="C87:J88" si="35">IF(AND(ISNUMBER($A81),ISNUMBER($A87)),IF((RANK(C$4,$B$4:$J$4,1))&lt;=($A87-$A81),1,0),"")</f>
        <v>1</v>
      </c>
      <c r="D87" s="6">
        <f t="shared" si="35"/>
        <v>0</v>
      </c>
      <c r="E87" s="6">
        <f t="shared" si="35"/>
        <v>1</v>
      </c>
      <c r="F87" s="6">
        <f t="shared" si="35"/>
        <v>0</v>
      </c>
      <c r="G87" s="6">
        <f t="shared" si="35"/>
        <v>1</v>
      </c>
      <c r="H87" s="6">
        <f t="shared" si="35"/>
        <v>0</v>
      </c>
      <c r="I87" s="6">
        <f t="shared" si="35"/>
        <v>1</v>
      </c>
      <c r="J87" s="7">
        <f t="shared" si="35"/>
        <v>1</v>
      </c>
      <c r="K87" s="13">
        <f>SUM(B87:J87)</f>
        <v>6</v>
      </c>
      <c r="N87" s="15"/>
      <c r="O87" s="15"/>
      <c r="P87" s="59"/>
      <c r="Q87" s="59"/>
      <c r="R87" s="59"/>
      <c r="S87" s="59"/>
      <c r="T87" s="59"/>
      <c r="W87" s="15"/>
      <c r="X87" s="15"/>
      <c r="Y87" s="15"/>
      <c r="Z87" s="15"/>
      <c r="AA87" s="15"/>
    </row>
    <row r="88" spans="1:27" s="16" customFormat="1" x14ac:dyDescent="0.2">
      <c r="A88" s="30">
        <f>IF((A87-A81)&gt;9,(A87-A81-9),0)</f>
        <v>0</v>
      </c>
      <c r="B88" s="18">
        <f>IF(AND(ISNUMBER($A82),ISNUMBER($A88)),IF((RANK(B$4,$B$4:$J$4,1))&lt;=($A88-$A82),1,0),"")</f>
        <v>0</v>
      </c>
      <c r="C88" s="6">
        <f t="shared" si="35"/>
        <v>0</v>
      </c>
      <c r="D88" s="6">
        <f t="shared" si="35"/>
        <v>0</v>
      </c>
      <c r="E88" s="6">
        <f t="shared" si="35"/>
        <v>0</v>
      </c>
      <c r="F88" s="6">
        <f t="shared" si="35"/>
        <v>0</v>
      </c>
      <c r="G88" s="6">
        <f t="shared" si="35"/>
        <v>0</v>
      </c>
      <c r="H88" s="6">
        <f t="shared" si="35"/>
        <v>0</v>
      </c>
      <c r="I88" s="6">
        <f t="shared" si="35"/>
        <v>0</v>
      </c>
      <c r="J88" s="7">
        <f t="shared" si="35"/>
        <v>0</v>
      </c>
      <c r="K88" s="13">
        <f>SUM(B88:J88)</f>
        <v>0</v>
      </c>
      <c r="N88" s="15"/>
      <c r="O88" s="15"/>
      <c r="P88" s="59"/>
      <c r="Q88" s="59"/>
      <c r="R88" s="59"/>
      <c r="S88" s="59"/>
      <c r="T88" s="59"/>
      <c r="W88" s="15"/>
      <c r="X88" s="15"/>
      <c r="Y88" s="15"/>
      <c r="Z88" s="15"/>
      <c r="AA88" s="15"/>
    </row>
    <row r="89" spans="1:27" s="16" customFormat="1" x14ac:dyDescent="0.2">
      <c r="A89" s="30"/>
      <c r="B89" s="82">
        <f t="shared" ref="B89:J89" si="36">IF(AND(ISNUMBER(B86),ISNUMBER(B87)),B86-B87-B88," ")</f>
        <v>5</v>
      </c>
      <c r="C89" s="83">
        <f t="shared" si="36"/>
        <v>5</v>
      </c>
      <c r="D89" s="83">
        <f t="shared" si="36"/>
        <v>6</v>
      </c>
      <c r="E89" s="83">
        <f t="shared" si="36"/>
        <v>4</v>
      </c>
      <c r="F89" s="83">
        <f t="shared" si="36"/>
        <v>5</v>
      </c>
      <c r="G89" s="83">
        <f t="shared" si="36"/>
        <v>6</v>
      </c>
      <c r="H89" s="83">
        <f t="shared" si="36"/>
        <v>6</v>
      </c>
      <c r="I89" s="83">
        <f t="shared" si="36"/>
        <v>5</v>
      </c>
      <c r="J89" s="84">
        <f t="shared" si="36"/>
        <v>5</v>
      </c>
      <c r="K89" s="13">
        <f>IF(ISNUMBER(FIND("Wins",K90)), 2, IF(ISNUMBER(FIND("Tie",K90)), 1, 0))</f>
        <v>0</v>
      </c>
      <c r="N89" s="15"/>
      <c r="O89" s="15"/>
      <c r="P89" s="59"/>
      <c r="Q89" s="59"/>
      <c r="R89" s="59"/>
      <c r="S89" s="59"/>
      <c r="T89" s="59"/>
      <c r="W89" s="15"/>
      <c r="X89" s="15"/>
      <c r="Y89" s="15"/>
      <c r="Z89" s="15"/>
      <c r="AA89" s="15"/>
    </row>
    <row r="90" spans="1:27" s="16" customFormat="1" ht="13.5" thickBot="1" x14ac:dyDescent="0.25">
      <c r="A90" s="31"/>
      <c r="B90" s="19">
        <f>IF(AND(ISNUMBER(B83),ISNUMBER(B89)),IF(B89&lt;B83, 0+1, (IF(B89&gt;B83, 0-1, 0)))," ")</f>
        <v>0</v>
      </c>
      <c r="C90" s="9">
        <f t="shared" ref="C90:J90" si="37">IF(AND(ISNUMBER(C83),ISNUMBER(C89)),IF(C89&lt;C83, +B90+1, (IF(C89&gt;C83, +B90-1, +B90)))," ")</f>
        <v>-1</v>
      </c>
      <c r="D90" s="9">
        <f t="shared" si="37"/>
        <v>-2</v>
      </c>
      <c r="E90" s="9">
        <f t="shared" si="37"/>
        <v>-1</v>
      </c>
      <c r="F90" s="9">
        <f t="shared" si="37"/>
        <v>-2</v>
      </c>
      <c r="G90" s="9">
        <f t="shared" si="37"/>
        <v>-3</v>
      </c>
      <c r="H90" s="9">
        <f t="shared" si="37"/>
        <v>-2</v>
      </c>
      <c r="I90" s="9">
        <f t="shared" si="37"/>
        <v>-2</v>
      </c>
      <c r="J90" s="10">
        <f t="shared" si="37"/>
        <v>-1</v>
      </c>
      <c r="K90" s="14" t="str">
        <f>IF(ISNUMBER(J90),IF(F90&gt;4,"Wins " &amp; F90 &amp; " &amp; 4",IF(G90&gt;3,"Wins " &amp; G90 &amp; " &amp; 3",IF(H90&gt;2,"Wins " &amp; H90 &amp; " &amp; 2",IF(I90&gt;1,"Wins " &amp; I90 &amp; " &amp; 1",IF(J90&gt;J84,"Wins " &amp; J90 &amp; " Up",IF(J90&lt;J84,"Loss","Tie"))))))," ")</f>
        <v>Loss</v>
      </c>
      <c r="N90" s="15"/>
      <c r="O90" s="15"/>
      <c r="P90" s="59"/>
      <c r="Q90" s="59"/>
      <c r="R90" s="59"/>
      <c r="S90" s="59"/>
      <c r="T90" s="59"/>
      <c r="W90" s="15"/>
      <c r="X90" s="15"/>
      <c r="Y90" s="15"/>
      <c r="Z90" s="15"/>
      <c r="AA90" s="15"/>
    </row>
    <row r="91" spans="1:27" s="16" customFormat="1" x14ac:dyDescent="0.2">
      <c r="A91" s="26"/>
      <c r="B91" s="15"/>
      <c r="C91" s="15"/>
      <c r="D91" s="15"/>
      <c r="E91" s="15"/>
      <c r="F91" s="15"/>
      <c r="G91" s="15"/>
      <c r="H91" s="15"/>
      <c r="I91" s="15"/>
      <c r="J91" s="15"/>
      <c r="K91" s="15"/>
      <c r="N91" s="15"/>
      <c r="O91" s="15"/>
      <c r="P91" s="59"/>
      <c r="Q91" s="59"/>
      <c r="R91" s="59"/>
      <c r="S91" s="59"/>
      <c r="T91" s="59"/>
      <c r="W91" s="15"/>
      <c r="X91" s="15"/>
      <c r="Y91" s="15"/>
      <c r="Z91" s="15"/>
      <c r="AA91" s="15"/>
    </row>
    <row r="92" spans="1:27" s="16" customFormat="1" ht="13.5" thickBot="1" x14ac:dyDescent="0.25">
      <c r="A92" s="24" t="s">
        <v>12</v>
      </c>
      <c r="B92" s="2"/>
      <c r="C92" s="2"/>
      <c r="D92" s="2"/>
      <c r="E92" s="2"/>
      <c r="F92" s="2"/>
      <c r="G92" s="2"/>
      <c r="H92" s="2"/>
      <c r="I92" s="2"/>
      <c r="J92" s="2"/>
      <c r="K92" s="2"/>
      <c r="N92" s="15"/>
      <c r="O92" s="15"/>
      <c r="P92" s="59"/>
      <c r="Q92" s="59"/>
      <c r="R92" s="59"/>
      <c r="S92" s="59"/>
      <c r="T92" s="59"/>
      <c r="W92" s="15"/>
      <c r="X92" s="15"/>
      <c r="Y92" s="15"/>
      <c r="Z92" s="15"/>
      <c r="AA92" s="15"/>
    </row>
    <row r="93" spans="1:27" s="16" customFormat="1" x14ac:dyDescent="0.2">
      <c r="A93" s="29" t="str">
        <f t="shared" ref="A93:J93" si="38">A22</f>
        <v>Keith</v>
      </c>
      <c r="B93" s="17">
        <f t="shared" si="38"/>
        <v>5</v>
      </c>
      <c r="C93" s="3">
        <f t="shared" si="38"/>
        <v>5</v>
      </c>
      <c r="D93" s="3">
        <f t="shared" si="38"/>
        <v>4</v>
      </c>
      <c r="E93" s="3">
        <f t="shared" si="38"/>
        <v>4</v>
      </c>
      <c r="F93" s="3">
        <f t="shared" si="38"/>
        <v>5</v>
      </c>
      <c r="G93" s="3">
        <f t="shared" si="38"/>
        <v>5</v>
      </c>
      <c r="H93" s="3">
        <f t="shared" si="38"/>
        <v>8</v>
      </c>
      <c r="I93" s="3">
        <f t="shared" si="38"/>
        <v>6</v>
      </c>
      <c r="J93" s="4">
        <f t="shared" si="38"/>
        <v>6</v>
      </c>
      <c r="K93" s="12">
        <f>SUM(B93:J93)</f>
        <v>48</v>
      </c>
      <c r="N93" s="15"/>
      <c r="O93" s="15"/>
      <c r="P93" s="59"/>
      <c r="Q93" s="59"/>
      <c r="R93" s="59"/>
      <c r="S93" s="59"/>
      <c r="T93" s="59"/>
      <c r="W93" s="15"/>
      <c r="X93" s="15"/>
      <c r="Y93" s="15"/>
      <c r="Z93" s="15"/>
      <c r="AA93" s="15"/>
    </row>
    <row r="94" spans="1:27" s="16" customFormat="1" x14ac:dyDescent="0.2">
      <c r="A94" s="30">
        <f>A23</f>
        <v>16</v>
      </c>
      <c r="B94" s="18">
        <f>IF(AND(ISNUMBER($A94),ISNUMBER($A100)),IF((RANK(B$4,$B$4:$J$4,1))&lt;=($A94-$A100),1,0),"")</f>
        <v>1</v>
      </c>
      <c r="C94" s="6">
        <f t="shared" ref="C94:J95" si="39">IF(AND(ISNUMBER($A94),ISNUMBER($A100)),IF((RANK(C$4,$B$4:$J$4,1))&lt;=($A94-$A100),1,0),"")</f>
        <v>0</v>
      </c>
      <c r="D94" s="6">
        <f t="shared" si="39"/>
        <v>0</v>
      </c>
      <c r="E94" s="6">
        <f t="shared" si="39"/>
        <v>0</v>
      </c>
      <c r="F94" s="6">
        <f t="shared" si="39"/>
        <v>0</v>
      </c>
      <c r="G94" s="6">
        <f t="shared" si="39"/>
        <v>0</v>
      </c>
      <c r="H94" s="6">
        <f t="shared" si="39"/>
        <v>0</v>
      </c>
      <c r="I94" s="6">
        <f t="shared" si="39"/>
        <v>0</v>
      </c>
      <c r="J94" s="7">
        <f t="shared" si="39"/>
        <v>0</v>
      </c>
      <c r="K94" s="13">
        <f>SUM(B94:J94)</f>
        <v>1</v>
      </c>
      <c r="N94" s="15"/>
      <c r="O94" s="15"/>
      <c r="P94" s="59"/>
      <c r="Q94" s="59"/>
      <c r="R94" s="59"/>
      <c r="S94" s="59"/>
      <c r="T94" s="59"/>
      <c r="W94" s="15"/>
      <c r="X94" s="15"/>
      <c r="Y94" s="15"/>
      <c r="Z94" s="15"/>
      <c r="AA94" s="15"/>
    </row>
    <row r="95" spans="1:27" s="16" customFormat="1" x14ac:dyDescent="0.2">
      <c r="A95" s="30">
        <f>IF((A94-A100)&gt;9,(A94-A100-9),0)</f>
        <v>0</v>
      </c>
      <c r="B95" s="18">
        <f>IF(AND(ISNUMBER($A95),ISNUMBER($A101)),IF((RANK(B$4,$B$4:$J$4,1))&lt;=($A95-$A101),1,0),"")</f>
        <v>0</v>
      </c>
      <c r="C95" s="6">
        <f t="shared" si="39"/>
        <v>0</v>
      </c>
      <c r="D95" s="6">
        <f t="shared" si="39"/>
        <v>0</v>
      </c>
      <c r="E95" s="6">
        <f t="shared" si="39"/>
        <v>0</v>
      </c>
      <c r="F95" s="6">
        <f t="shared" si="39"/>
        <v>0</v>
      </c>
      <c r="G95" s="6">
        <f t="shared" si="39"/>
        <v>0</v>
      </c>
      <c r="H95" s="6">
        <f t="shared" si="39"/>
        <v>0</v>
      </c>
      <c r="I95" s="6">
        <f t="shared" si="39"/>
        <v>0</v>
      </c>
      <c r="J95" s="7">
        <f t="shared" si="39"/>
        <v>0</v>
      </c>
      <c r="K95" s="13">
        <f>SUM(B95:J95)</f>
        <v>0</v>
      </c>
      <c r="N95" s="15"/>
      <c r="O95" s="15"/>
      <c r="P95" s="59"/>
      <c r="Q95" s="59"/>
      <c r="R95" s="59"/>
      <c r="S95" s="59"/>
      <c r="T95" s="59"/>
      <c r="W95" s="15"/>
      <c r="X95" s="15"/>
      <c r="Y95" s="15"/>
      <c r="Z95" s="15"/>
      <c r="AA95" s="15"/>
    </row>
    <row r="96" spans="1:27" s="16" customFormat="1" x14ac:dyDescent="0.2">
      <c r="A96" s="30"/>
      <c r="B96" s="82">
        <f t="shared" ref="B96:J96" si="40">IF(AND(ISNUMBER(B93),ISNUMBER(B94)),B93-B94-B95," ")</f>
        <v>4</v>
      </c>
      <c r="C96" s="83">
        <f t="shared" si="40"/>
        <v>5</v>
      </c>
      <c r="D96" s="83">
        <f t="shared" si="40"/>
        <v>4</v>
      </c>
      <c r="E96" s="83">
        <f t="shared" si="40"/>
        <v>4</v>
      </c>
      <c r="F96" s="83">
        <f t="shared" si="40"/>
        <v>5</v>
      </c>
      <c r="G96" s="83">
        <f t="shared" si="40"/>
        <v>5</v>
      </c>
      <c r="H96" s="83">
        <f t="shared" si="40"/>
        <v>8</v>
      </c>
      <c r="I96" s="83">
        <f t="shared" si="40"/>
        <v>6</v>
      </c>
      <c r="J96" s="84">
        <f t="shared" si="40"/>
        <v>6</v>
      </c>
      <c r="K96" s="13">
        <f>IF(ISNUMBER(FIND("Wins",K97)), 2, IF(ISNUMBER(FIND("Tie",K97)), 1, 0))</f>
        <v>2</v>
      </c>
      <c r="N96" s="15"/>
      <c r="O96" s="15"/>
      <c r="P96" s="59"/>
      <c r="Q96" s="59"/>
      <c r="R96" s="59"/>
      <c r="S96" s="59"/>
      <c r="T96" s="59"/>
      <c r="W96" s="15"/>
      <c r="X96" s="15"/>
      <c r="Y96" s="15"/>
      <c r="Z96" s="15"/>
      <c r="AA96" s="15"/>
    </row>
    <row r="97" spans="1:27" s="16" customFormat="1" ht="13.5" thickBot="1" x14ac:dyDescent="0.25">
      <c r="A97" s="31"/>
      <c r="B97" s="19">
        <f>IF(AND(ISNUMBER(B96),ISNUMBER(B102)),IF(B96&lt;B102, 0+1, (IF(B96&gt;B102, 0-1, 0)))," ")</f>
        <v>1</v>
      </c>
      <c r="C97" s="9">
        <f t="shared" ref="C97:J97" si="41">IF(AND(ISNUMBER(C96),ISNUMBER(C102)),IF(C96&lt;C102, +B97+1, (IF(C96&gt;C102, +B97-1, +B97)))," ")</f>
        <v>2</v>
      </c>
      <c r="D97" s="9">
        <f t="shared" si="41"/>
        <v>1</v>
      </c>
      <c r="E97" s="9">
        <f t="shared" si="41"/>
        <v>2</v>
      </c>
      <c r="F97" s="9">
        <f t="shared" si="41"/>
        <v>3</v>
      </c>
      <c r="G97" s="9">
        <f t="shared" si="41"/>
        <v>4</v>
      </c>
      <c r="H97" s="9">
        <f t="shared" si="41"/>
        <v>3</v>
      </c>
      <c r="I97" s="9">
        <f t="shared" si="41"/>
        <v>3</v>
      </c>
      <c r="J97" s="10">
        <f t="shared" si="41"/>
        <v>3</v>
      </c>
      <c r="K97" s="14" t="str">
        <f>IF(ISNUMBER(J97),IF(F97&gt;4,"Wins " &amp; F97 &amp; " &amp; 4",IF(G97&gt;3,"Wins " &amp; G97 &amp; " &amp; 3",IF(H97&gt;2,"Wins " &amp; H97 &amp; " &amp; 2",IF(I97&gt;1,"Wins " &amp; I97 &amp; " &amp; 1",IF(J97&gt;J103,"Wins " &amp; J97 &amp; " Up",IF(J97&lt;J103,"Loss","Tie"))))))," ")</f>
        <v>Wins 4 &amp; 3</v>
      </c>
      <c r="N97" s="15"/>
      <c r="O97" s="15"/>
      <c r="P97" s="59"/>
      <c r="Q97" s="59"/>
      <c r="R97" s="59"/>
      <c r="S97" s="59"/>
      <c r="T97" s="59"/>
      <c r="W97" s="15"/>
      <c r="X97" s="15"/>
      <c r="Y97" s="15"/>
      <c r="Z97" s="15"/>
      <c r="AA97" s="15"/>
    </row>
    <row r="98" spans="1:27" s="16" customFormat="1" ht="13.5" thickBot="1" x14ac:dyDescent="0.25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N98" s="15"/>
      <c r="O98" s="15"/>
      <c r="P98" s="59"/>
      <c r="Q98" s="59"/>
      <c r="R98" s="59"/>
      <c r="S98" s="59"/>
      <c r="T98" s="59"/>
      <c r="W98" s="15"/>
      <c r="X98" s="15"/>
      <c r="Y98" s="15"/>
      <c r="Z98" s="15"/>
      <c r="AA98" s="15"/>
    </row>
    <row r="99" spans="1:27" s="16" customFormat="1" x14ac:dyDescent="0.2">
      <c r="A99" s="29" t="str">
        <f t="shared" ref="A99:J99" si="42">A24</f>
        <v>Chris</v>
      </c>
      <c r="B99" s="17">
        <f t="shared" si="42"/>
        <v>6</v>
      </c>
      <c r="C99" s="3">
        <f t="shared" si="42"/>
        <v>6</v>
      </c>
      <c r="D99" s="3">
        <f t="shared" si="42"/>
        <v>3</v>
      </c>
      <c r="E99" s="3">
        <f t="shared" si="42"/>
        <v>7</v>
      </c>
      <c r="F99" s="3">
        <f t="shared" si="42"/>
        <v>8</v>
      </c>
      <c r="G99" s="3">
        <f t="shared" si="42"/>
        <v>6</v>
      </c>
      <c r="H99" s="3">
        <f t="shared" si="42"/>
        <v>6</v>
      </c>
      <c r="I99" s="3">
        <f t="shared" si="42"/>
        <v>6</v>
      </c>
      <c r="J99" s="4">
        <f t="shared" si="42"/>
        <v>6</v>
      </c>
      <c r="K99" s="12">
        <f>SUM(B99:J99)</f>
        <v>54</v>
      </c>
      <c r="N99" s="15"/>
      <c r="O99" s="15"/>
      <c r="P99" s="59"/>
      <c r="Q99" s="59"/>
      <c r="R99" s="59"/>
      <c r="S99" s="59"/>
      <c r="T99" s="59"/>
      <c r="W99" s="15"/>
      <c r="X99" s="15"/>
      <c r="Y99" s="15"/>
      <c r="Z99" s="15"/>
      <c r="AA99" s="15"/>
    </row>
    <row r="100" spans="1:27" s="16" customFormat="1" x14ac:dyDescent="0.2">
      <c r="A100" s="30">
        <f>A25</f>
        <v>15</v>
      </c>
      <c r="B100" s="18">
        <f>IF(AND(ISNUMBER($A94),ISNUMBER($A100)),IF((RANK(B$4,$B$4:$J$4,1))&lt;=($A100-$A94),1,0),"")</f>
        <v>0</v>
      </c>
      <c r="C100" s="6">
        <f t="shared" ref="C100:J101" si="43">IF(AND(ISNUMBER($A94),ISNUMBER($A100)),IF((RANK(C$4,$B$4:$J$4,1))&lt;=($A100-$A94),1,0),"")</f>
        <v>0</v>
      </c>
      <c r="D100" s="6">
        <f t="shared" si="43"/>
        <v>0</v>
      </c>
      <c r="E100" s="6">
        <f t="shared" si="43"/>
        <v>0</v>
      </c>
      <c r="F100" s="6">
        <f t="shared" si="43"/>
        <v>0</v>
      </c>
      <c r="G100" s="6">
        <f t="shared" si="43"/>
        <v>0</v>
      </c>
      <c r="H100" s="6">
        <f t="shared" si="43"/>
        <v>0</v>
      </c>
      <c r="I100" s="6">
        <f t="shared" si="43"/>
        <v>0</v>
      </c>
      <c r="J100" s="7">
        <f t="shared" si="43"/>
        <v>0</v>
      </c>
      <c r="K100" s="13">
        <f>SUM(B100:J100)</f>
        <v>0</v>
      </c>
      <c r="N100" s="15"/>
      <c r="O100" s="15"/>
      <c r="P100" s="59"/>
      <c r="Q100" s="59"/>
      <c r="R100" s="59"/>
      <c r="S100" s="59"/>
      <c r="T100" s="59"/>
      <c r="W100" s="15"/>
      <c r="X100" s="15"/>
      <c r="Y100" s="15"/>
      <c r="Z100" s="15"/>
      <c r="AA100" s="15"/>
    </row>
    <row r="101" spans="1:27" s="16" customFormat="1" x14ac:dyDescent="0.2">
      <c r="A101" s="30">
        <f>IF((A100-A94)&gt;9,(A100-A94-9),0)</f>
        <v>0</v>
      </c>
      <c r="B101" s="18">
        <f>IF(AND(ISNUMBER($A95),ISNUMBER($A101)),IF((RANK(B$4,$B$4:$J$4,1))&lt;=($A101-$A95),1,0),"")</f>
        <v>0</v>
      </c>
      <c r="C101" s="6">
        <f t="shared" si="43"/>
        <v>0</v>
      </c>
      <c r="D101" s="6">
        <f t="shared" si="43"/>
        <v>0</v>
      </c>
      <c r="E101" s="6">
        <f t="shared" si="43"/>
        <v>0</v>
      </c>
      <c r="F101" s="6">
        <f t="shared" si="43"/>
        <v>0</v>
      </c>
      <c r="G101" s="6">
        <f t="shared" si="43"/>
        <v>0</v>
      </c>
      <c r="H101" s="6">
        <f t="shared" si="43"/>
        <v>0</v>
      </c>
      <c r="I101" s="6">
        <f t="shared" si="43"/>
        <v>0</v>
      </c>
      <c r="J101" s="7">
        <f t="shared" si="43"/>
        <v>0</v>
      </c>
      <c r="K101" s="13">
        <f>SUM(B101:J101)</f>
        <v>0</v>
      </c>
      <c r="N101" s="15"/>
      <c r="O101" s="15"/>
      <c r="P101" s="59"/>
      <c r="Q101" s="59"/>
      <c r="R101" s="59"/>
      <c r="S101" s="59"/>
      <c r="T101" s="59"/>
      <c r="W101" s="15"/>
      <c r="X101" s="15"/>
      <c r="Y101" s="15"/>
      <c r="Z101" s="15"/>
      <c r="AA101" s="15"/>
    </row>
    <row r="102" spans="1:27" s="16" customFormat="1" x14ac:dyDescent="0.2">
      <c r="A102" s="30"/>
      <c r="B102" s="82">
        <f t="shared" ref="B102:J102" si="44">IF(AND(ISNUMBER(B99),ISNUMBER(B100)),B99-B100-B101," ")</f>
        <v>6</v>
      </c>
      <c r="C102" s="83">
        <f t="shared" si="44"/>
        <v>6</v>
      </c>
      <c r="D102" s="83">
        <f t="shared" si="44"/>
        <v>3</v>
      </c>
      <c r="E102" s="83">
        <f t="shared" si="44"/>
        <v>7</v>
      </c>
      <c r="F102" s="83">
        <f t="shared" si="44"/>
        <v>8</v>
      </c>
      <c r="G102" s="83">
        <f t="shared" si="44"/>
        <v>6</v>
      </c>
      <c r="H102" s="83">
        <f t="shared" si="44"/>
        <v>6</v>
      </c>
      <c r="I102" s="83">
        <f t="shared" si="44"/>
        <v>6</v>
      </c>
      <c r="J102" s="84">
        <f t="shared" si="44"/>
        <v>6</v>
      </c>
      <c r="K102" s="13">
        <f>IF(ISNUMBER(FIND("Wins",K103)), 2, IF(ISNUMBER(FIND("Tie",K103)), 1, 0))</f>
        <v>0</v>
      </c>
      <c r="N102" s="15"/>
      <c r="O102" s="15"/>
      <c r="P102" s="59"/>
      <c r="Q102" s="59"/>
      <c r="R102" s="59"/>
      <c r="S102" s="59"/>
      <c r="T102" s="59"/>
      <c r="W102" s="15"/>
      <c r="X102" s="15"/>
      <c r="Y102" s="15"/>
      <c r="Z102" s="15"/>
      <c r="AA102" s="15"/>
    </row>
    <row r="103" spans="1:27" s="16" customFormat="1" ht="13.5" thickBot="1" x14ac:dyDescent="0.25">
      <c r="A103" s="31"/>
      <c r="B103" s="19">
        <f>IF(AND(ISNUMBER(B96),ISNUMBER(B102)),IF(B102&lt;B96, 0+1, (IF(B102&gt;B96, 0-1, 0)))," ")</f>
        <v>-1</v>
      </c>
      <c r="C103" s="9">
        <f t="shared" ref="C103:J103" si="45">IF(AND(ISNUMBER(C96),ISNUMBER(C102)),IF(C102&lt;C96, +B103+1, (IF(C102&gt;C96, +B103-1, +B103)))," ")</f>
        <v>-2</v>
      </c>
      <c r="D103" s="9">
        <f t="shared" si="45"/>
        <v>-1</v>
      </c>
      <c r="E103" s="9">
        <f t="shared" si="45"/>
        <v>-2</v>
      </c>
      <c r="F103" s="9">
        <f t="shared" si="45"/>
        <v>-3</v>
      </c>
      <c r="G103" s="9">
        <f t="shared" si="45"/>
        <v>-4</v>
      </c>
      <c r="H103" s="9">
        <f t="shared" si="45"/>
        <v>-3</v>
      </c>
      <c r="I103" s="9">
        <f t="shared" si="45"/>
        <v>-3</v>
      </c>
      <c r="J103" s="10">
        <f t="shared" si="45"/>
        <v>-3</v>
      </c>
      <c r="K103" s="14" t="str">
        <f>IF(ISNUMBER(J103),IF(F103&gt;4,"Wins " &amp; F103 &amp; " &amp; 4",IF(G103&gt;3,"Wins " &amp; G103 &amp; " &amp; 3",IF(H103&gt;2,"Wins " &amp; H103 &amp; " &amp; 2",IF(I103&gt;1,"Wins " &amp; I103 &amp; " &amp; 1",IF(J103&gt;J97,"Wins " &amp; J103 &amp; " Up",IF(J103&lt;J97,"Loss","Tie"))))))," ")</f>
        <v>Loss</v>
      </c>
      <c r="N103" s="15"/>
      <c r="O103" s="15"/>
      <c r="P103" s="59"/>
      <c r="Q103" s="59"/>
      <c r="R103" s="59"/>
      <c r="S103" s="59"/>
      <c r="T103" s="59"/>
      <c r="W103" s="15"/>
      <c r="X103" s="15"/>
      <c r="Y103" s="15"/>
      <c r="Z103" s="15"/>
      <c r="AA103" s="15"/>
    </row>
    <row r="104" spans="1:27" s="16" customFormat="1" x14ac:dyDescent="0.2">
      <c r="A104" s="2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N104" s="15"/>
      <c r="O104" s="15"/>
      <c r="P104" s="59"/>
      <c r="Q104" s="59"/>
      <c r="R104" s="59"/>
      <c r="S104" s="59"/>
      <c r="T104" s="59"/>
      <c r="W104" s="15"/>
      <c r="X104" s="15"/>
      <c r="Y104" s="15"/>
      <c r="Z104" s="15"/>
      <c r="AA104" s="15"/>
    </row>
    <row r="105" spans="1:27" s="16" customFormat="1" ht="13.5" thickBot="1" x14ac:dyDescent="0.25">
      <c r="A105" s="24" t="s">
        <v>13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N105" s="15"/>
      <c r="O105" s="15"/>
      <c r="P105" s="59"/>
      <c r="Q105" s="59"/>
      <c r="R105" s="59"/>
      <c r="S105" s="59"/>
      <c r="T105" s="59"/>
      <c r="W105" s="15"/>
      <c r="X105" s="15"/>
      <c r="Y105" s="15"/>
      <c r="Z105" s="15"/>
      <c r="AA105" s="15"/>
    </row>
    <row r="106" spans="1:27" s="16" customFormat="1" x14ac:dyDescent="0.2">
      <c r="A106" s="29" t="str">
        <f t="shared" ref="A106:J106" si="46">A26</f>
        <v>Brian P</v>
      </c>
      <c r="B106" s="17">
        <f t="shared" si="46"/>
        <v>4</v>
      </c>
      <c r="C106" s="3">
        <f t="shared" si="46"/>
        <v>5</v>
      </c>
      <c r="D106" s="3">
        <f t="shared" si="46"/>
        <v>4</v>
      </c>
      <c r="E106" s="3">
        <f t="shared" si="46"/>
        <v>5</v>
      </c>
      <c r="F106" s="3">
        <f t="shared" si="46"/>
        <v>4</v>
      </c>
      <c r="G106" s="3">
        <f t="shared" si="46"/>
        <v>5</v>
      </c>
      <c r="H106" s="3">
        <f t="shared" si="46"/>
        <v>7</v>
      </c>
      <c r="I106" s="3">
        <f t="shared" si="46"/>
        <v>7</v>
      </c>
      <c r="J106" s="4">
        <f t="shared" si="46"/>
        <v>6</v>
      </c>
      <c r="K106" s="12">
        <f>SUM(B106:J106)</f>
        <v>47</v>
      </c>
      <c r="N106" s="15"/>
      <c r="O106" s="15"/>
      <c r="P106" s="59"/>
      <c r="Q106" s="59"/>
      <c r="R106" s="59"/>
      <c r="S106" s="59"/>
      <c r="T106" s="59"/>
      <c r="W106" s="15"/>
      <c r="X106" s="15"/>
      <c r="Y106" s="15"/>
      <c r="Z106" s="15"/>
      <c r="AA106" s="15"/>
    </row>
    <row r="107" spans="1:27" s="16" customFormat="1" x14ac:dyDescent="0.2">
      <c r="A107" s="30">
        <f>A27</f>
        <v>6</v>
      </c>
      <c r="B107" s="18">
        <f>IF(AND(ISNUMBER($A107),ISNUMBER($A113)),IF((RANK(B$4,$B$4:$J$4,1))&lt;=($A107-$A113),1,0),"")</f>
        <v>1</v>
      </c>
      <c r="C107" s="6">
        <f t="shared" ref="C107:J108" si="47">IF(AND(ISNUMBER($A107),ISNUMBER($A113)),IF((RANK(C$4,$B$4:$J$4,1))&lt;=($A107-$A113),1,0),"")</f>
        <v>0</v>
      </c>
      <c r="D107" s="6">
        <f t="shared" si="47"/>
        <v>0</v>
      </c>
      <c r="E107" s="6">
        <f t="shared" si="47"/>
        <v>0</v>
      </c>
      <c r="F107" s="6">
        <f t="shared" si="47"/>
        <v>0</v>
      </c>
      <c r="G107" s="6">
        <f t="shared" si="47"/>
        <v>0</v>
      </c>
      <c r="H107" s="6">
        <f t="shared" si="47"/>
        <v>0</v>
      </c>
      <c r="I107" s="6">
        <f t="shared" si="47"/>
        <v>0</v>
      </c>
      <c r="J107" s="7">
        <f t="shared" si="47"/>
        <v>0</v>
      </c>
      <c r="K107" s="13">
        <f>SUM(B107:J107)</f>
        <v>1</v>
      </c>
      <c r="N107" s="15"/>
      <c r="O107" s="15"/>
      <c r="P107" s="59"/>
      <c r="Q107" s="59"/>
      <c r="R107" s="59"/>
      <c r="S107" s="59"/>
      <c r="T107" s="59"/>
      <c r="W107" s="15"/>
      <c r="X107" s="15"/>
      <c r="Y107" s="15"/>
      <c r="Z107" s="15"/>
      <c r="AA107" s="15"/>
    </row>
    <row r="108" spans="1:27" s="16" customFormat="1" x14ac:dyDescent="0.2">
      <c r="A108" s="30">
        <f>IF((A107-A113)&gt;9,(A107-A113-9),0)</f>
        <v>0</v>
      </c>
      <c r="B108" s="18">
        <f>IF(AND(ISNUMBER($A108),ISNUMBER($A114)),IF((RANK(B$4,$B$4:$J$4,1))&lt;=($A108-$A114),1,0),"")</f>
        <v>0</v>
      </c>
      <c r="C108" s="6">
        <f t="shared" si="47"/>
        <v>0</v>
      </c>
      <c r="D108" s="6">
        <f t="shared" si="47"/>
        <v>0</v>
      </c>
      <c r="E108" s="6">
        <f t="shared" si="47"/>
        <v>0</v>
      </c>
      <c r="F108" s="6">
        <f t="shared" si="47"/>
        <v>0</v>
      </c>
      <c r="G108" s="6">
        <f t="shared" si="47"/>
        <v>0</v>
      </c>
      <c r="H108" s="6">
        <f t="shared" si="47"/>
        <v>0</v>
      </c>
      <c r="I108" s="6">
        <f t="shared" si="47"/>
        <v>0</v>
      </c>
      <c r="J108" s="7">
        <f t="shared" si="47"/>
        <v>0</v>
      </c>
      <c r="K108" s="13">
        <f>SUM(B108:J108)</f>
        <v>0</v>
      </c>
      <c r="N108" s="15"/>
      <c r="O108" s="15"/>
      <c r="P108" s="59"/>
      <c r="Q108" s="59"/>
      <c r="R108" s="59"/>
      <c r="S108" s="59"/>
      <c r="T108" s="59"/>
      <c r="W108" s="15"/>
      <c r="X108" s="15"/>
      <c r="Y108" s="15"/>
      <c r="Z108" s="15"/>
      <c r="AA108" s="15"/>
    </row>
    <row r="109" spans="1:27" s="16" customFormat="1" x14ac:dyDescent="0.2">
      <c r="A109" s="30"/>
      <c r="B109" s="82">
        <f t="shared" ref="B109:J109" si="48">IF(AND(ISNUMBER(B106),ISNUMBER(B107)),B106-B107-B108," ")</f>
        <v>3</v>
      </c>
      <c r="C109" s="83">
        <f t="shared" si="48"/>
        <v>5</v>
      </c>
      <c r="D109" s="83">
        <f t="shared" si="48"/>
        <v>4</v>
      </c>
      <c r="E109" s="83">
        <f t="shared" si="48"/>
        <v>5</v>
      </c>
      <c r="F109" s="83">
        <f t="shared" si="48"/>
        <v>4</v>
      </c>
      <c r="G109" s="83">
        <f t="shared" si="48"/>
        <v>5</v>
      </c>
      <c r="H109" s="83">
        <f t="shared" si="48"/>
        <v>7</v>
      </c>
      <c r="I109" s="83">
        <f t="shared" si="48"/>
        <v>7</v>
      </c>
      <c r="J109" s="84">
        <f t="shared" si="48"/>
        <v>6</v>
      </c>
      <c r="K109" s="13">
        <f>IF(ISNUMBER(FIND("Wins",K110)), 2, IF(ISNUMBER(FIND("Tie",K110)), 1, 0))</f>
        <v>0</v>
      </c>
      <c r="N109" s="15"/>
      <c r="O109" s="15"/>
      <c r="P109" s="59"/>
      <c r="Q109" s="59"/>
      <c r="R109" s="59"/>
      <c r="S109" s="59"/>
      <c r="T109" s="59"/>
      <c r="W109" s="15"/>
      <c r="X109" s="15"/>
      <c r="Y109" s="15"/>
      <c r="Z109" s="15"/>
      <c r="AA109" s="15"/>
    </row>
    <row r="110" spans="1:27" s="16" customFormat="1" ht="13.5" thickBot="1" x14ac:dyDescent="0.25">
      <c r="A110" s="31"/>
      <c r="B110" s="19">
        <f>IF(AND(ISNUMBER(B109),ISNUMBER(B115)),IF(B109&lt;B115, 0+1, (IF(B109&gt;B115, 0-1, 0)))," ")</f>
        <v>0</v>
      </c>
      <c r="C110" s="9">
        <f t="shared" ref="C110:J110" si="49">IF(AND(ISNUMBER(C109),ISNUMBER(C115)),IF(C109&lt;C115, +B110+1, (IF(C109&gt;C115, +B110-1, +B110)))," ")</f>
        <v>0</v>
      </c>
      <c r="D110" s="9">
        <f t="shared" si="49"/>
        <v>-1</v>
      </c>
      <c r="E110" s="9">
        <f t="shared" si="49"/>
        <v>-1</v>
      </c>
      <c r="F110" s="9">
        <f t="shared" si="49"/>
        <v>-1</v>
      </c>
      <c r="G110" s="9">
        <f t="shared" si="49"/>
        <v>-1</v>
      </c>
      <c r="H110" s="9">
        <f t="shared" si="49"/>
        <v>-2</v>
      </c>
      <c r="I110" s="9">
        <f t="shared" si="49"/>
        <v>-3</v>
      </c>
      <c r="J110" s="10">
        <f t="shared" si="49"/>
        <v>-3</v>
      </c>
      <c r="K110" s="14" t="str">
        <f>IF(ISNUMBER(J110),IF(F110&gt;4,"Wins " &amp; F110 &amp; " &amp; 4",IF(G110&gt;3,"Wins " &amp; G110 &amp; " &amp; 3",IF(H110&gt;2,"Wins " &amp; H110 &amp; " &amp; 2",IF(I110&gt;1,"Wins " &amp; I110 &amp; " &amp; 1",IF(J110&gt;J116,"Wins " &amp; J110 &amp; " Up",IF(J110&lt;J116,"Loss","Tie"))))))," ")</f>
        <v>Loss</v>
      </c>
      <c r="N110" s="15"/>
      <c r="O110" s="15"/>
      <c r="P110" s="59"/>
      <c r="Q110" s="59"/>
      <c r="R110" s="59"/>
      <c r="S110" s="59"/>
      <c r="T110" s="59"/>
      <c r="W110" s="15"/>
      <c r="X110" s="15"/>
      <c r="Y110" s="15"/>
      <c r="Z110" s="15"/>
      <c r="AA110" s="15"/>
    </row>
    <row r="111" spans="1:27" s="16" customFormat="1" ht="13.5" thickBot="1" x14ac:dyDescent="0.25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N111" s="15"/>
      <c r="O111" s="15"/>
      <c r="P111" s="59"/>
      <c r="Q111" s="59"/>
      <c r="R111" s="59"/>
      <c r="S111" s="59"/>
      <c r="T111" s="59"/>
      <c r="W111" s="15"/>
      <c r="X111" s="15"/>
      <c r="Y111" s="15"/>
      <c r="Z111" s="15"/>
      <c r="AA111" s="15"/>
    </row>
    <row r="112" spans="1:27" s="16" customFormat="1" x14ac:dyDescent="0.2">
      <c r="A112" s="29" t="str">
        <f t="shared" ref="A112:J112" si="50">A28</f>
        <v>Tommy</v>
      </c>
      <c r="B112" s="17">
        <f t="shared" si="50"/>
        <v>3</v>
      </c>
      <c r="C112" s="3">
        <f t="shared" si="50"/>
        <v>5</v>
      </c>
      <c r="D112" s="3">
        <f t="shared" si="50"/>
        <v>3</v>
      </c>
      <c r="E112" s="3">
        <f t="shared" si="50"/>
        <v>5</v>
      </c>
      <c r="F112" s="3">
        <f t="shared" si="50"/>
        <v>4</v>
      </c>
      <c r="G112" s="3">
        <f t="shared" si="50"/>
        <v>5</v>
      </c>
      <c r="H112" s="3">
        <f t="shared" si="50"/>
        <v>6</v>
      </c>
      <c r="I112" s="3">
        <f t="shared" si="50"/>
        <v>6</v>
      </c>
      <c r="J112" s="4">
        <f t="shared" si="50"/>
        <v>6</v>
      </c>
      <c r="K112" s="12">
        <f>SUM(B112:J112)</f>
        <v>43</v>
      </c>
      <c r="N112" s="15"/>
      <c r="O112" s="15"/>
      <c r="P112" s="59"/>
      <c r="Q112" s="59"/>
      <c r="R112" s="59"/>
      <c r="S112" s="59"/>
      <c r="T112" s="59"/>
      <c r="W112" s="15"/>
      <c r="X112" s="15"/>
      <c r="Y112" s="15"/>
      <c r="Z112" s="15"/>
      <c r="AA112" s="15"/>
    </row>
    <row r="113" spans="1:27" s="16" customFormat="1" x14ac:dyDescent="0.2">
      <c r="A113" s="30">
        <f>A29</f>
        <v>5</v>
      </c>
      <c r="B113" s="18">
        <f>IF(AND(ISNUMBER($A107),ISNUMBER($A113)),IF((RANK(B$4,$B$4:$J$4,1))&lt;=($A113-$A107),1,0),"")</f>
        <v>0</v>
      </c>
      <c r="C113" s="6">
        <f t="shared" ref="C113:J114" si="51">IF(AND(ISNUMBER($A107),ISNUMBER($A113)),IF((RANK(C$4,$B$4:$J$4,1))&lt;=($A113-$A107),1,0),"")</f>
        <v>0</v>
      </c>
      <c r="D113" s="6">
        <f t="shared" si="51"/>
        <v>0</v>
      </c>
      <c r="E113" s="6">
        <f t="shared" si="51"/>
        <v>0</v>
      </c>
      <c r="F113" s="6">
        <f t="shared" si="51"/>
        <v>0</v>
      </c>
      <c r="G113" s="6">
        <f t="shared" si="51"/>
        <v>0</v>
      </c>
      <c r="H113" s="6">
        <f t="shared" si="51"/>
        <v>0</v>
      </c>
      <c r="I113" s="6">
        <f t="shared" si="51"/>
        <v>0</v>
      </c>
      <c r="J113" s="7">
        <f t="shared" si="51"/>
        <v>0</v>
      </c>
      <c r="K113" s="13">
        <f>SUM(B113:J113)</f>
        <v>0</v>
      </c>
      <c r="N113" s="15"/>
      <c r="O113" s="15"/>
      <c r="P113" s="59"/>
      <c r="Q113" s="59"/>
      <c r="R113" s="59"/>
      <c r="S113" s="59"/>
      <c r="T113" s="59"/>
      <c r="W113" s="15"/>
      <c r="X113" s="15"/>
      <c r="Y113" s="15"/>
      <c r="Z113" s="15"/>
      <c r="AA113" s="15"/>
    </row>
    <row r="114" spans="1:27" s="16" customFormat="1" x14ac:dyDescent="0.2">
      <c r="A114" s="30">
        <f>IF((A113-A107)&gt;9,(A113-A107-9),0)</f>
        <v>0</v>
      </c>
      <c r="B114" s="18">
        <f>IF(AND(ISNUMBER($A108),ISNUMBER($A114)),IF((RANK(B$4,$B$4:$J$4,1))&lt;=($A114-$A108),1,0),"")</f>
        <v>0</v>
      </c>
      <c r="C114" s="6">
        <f t="shared" si="51"/>
        <v>0</v>
      </c>
      <c r="D114" s="6">
        <f t="shared" si="51"/>
        <v>0</v>
      </c>
      <c r="E114" s="6">
        <f t="shared" si="51"/>
        <v>0</v>
      </c>
      <c r="F114" s="6">
        <f t="shared" si="51"/>
        <v>0</v>
      </c>
      <c r="G114" s="6">
        <f t="shared" si="51"/>
        <v>0</v>
      </c>
      <c r="H114" s="6">
        <f t="shared" si="51"/>
        <v>0</v>
      </c>
      <c r="I114" s="6">
        <f t="shared" si="51"/>
        <v>0</v>
      </c>
      <c r="J114" s="7">
        <f t="shared" si="51"/>
        <v>0</v>
      </c>
      <c r="K114" s="13">
        <f>SUM(B114:J114)</f>
        <v>0</v>
      </c>
      <c r="N114" s="15"/>
      <c r="O114" s="15"/>
      <c r="P114" s="59"/>
      <c r="Q114" s="59"/>
      <c r="R114" s="59"/>
      <c r="S114" s="59"/>
      <c r="T114" s="59"/>
      <c r="W114" s="15"/>
      <c r="X114" s="15"/>
      <c r="Y114" s="15"/>
      <c r="Z114" s="15"/>
      <c r="AA114" s="15"/>
    </row>
    <row r="115" spans="1:27" s="16" customFormat="1" x14ac:dyDescent="0.2">
      <c r="A115" s="30"/>
      <c r="B115" s="82">
        <f t="shared" ref="B115:J115" si="52">IF(AND(ISNUMBER(B112),ISNUMBER(B113)),B112-B113-B114," ")</f>
        <v>3</v>
      </c>
      <c r="C115" s="83">
        <f t="shared" si="52"/>
        <v>5</v>
      </c>
      <c r="D115" s="83">
        <f t="shared" si="52"/>
        <v>3</v>
      </c>
      <c r="E115" s="83">
        <f t="shared" si="52"/>
        <v>5</v>
      </c>
      <c r="F115" s="83">
        <f t="shared" si="52"/>
        <v>4</v>
      </c>
      <c r="G115" s="83">
        <f t="shared" si="52"/>
        <v>5</v>
      </c>
      <c r="H115" s="83">
        <f t="shared" si="52"/>
        <v>6</v>
      </c>
      <c r="I115" s="83">
        <f t="shared" si="52"/>
        <v>6</v>
      </c>
      <c r="J115" s="84">
        <f t="shared" si="52"/>
        <v>6</v>
      </c>
      <c r="K115" s="13">
        <f>IF(ISNUMBER(FIND("Wins",K116)), 2, IF(ISNUMBER(FIND("Tie",K116)), 1, 0))</f>
        <v>2</v>
      </c>
      <c r="N115" s="15"/>
      <c r="O115" s="15"/>
      <c r="P115" s="59"/>
      <c r="Q115" s="59"/>
      <c r="R115" s="59"/>
      <c r="S115" s="59"/>
      <c r="T115" s="59"/>
      <c r="W115" s="15"/>
      <c r="X115" s="15"/>
      <c r="Y115" s="15"/>
      <c r="Z115" s="15"/>
      <c r="AA115" s="15"/>
    </row>
    <row r="116" spans="1:27" s="16" customFormat="1" ht="13.5" thickBot="1" x14ac:dyDescent="0.25">
      <c r="A116" s="31"/>
      <c r="B116" s="19">
        <f>IF(AND(ISNUMBER(B109),ISNUMBER(B115)),IF(B115&lt;B109, 0+1, (IF(B115&gt;B109, 0-1, 0)))," ")</f>
        <v>0</v>
      </c>
      <c r="C116" s="9">
        <f t="shared" ref="C116:J116" si="53">IF(AND(ISNUMBER(C109),ISNUMBER(C115)),IF(C115&lt;C109, +B116+1, (IF(C115&gt;C109, +B116-1, +B116)))," ")</f>
        <v>0</v>
      </c>
      <c r="D116" s="9">
        <f t="shared" si="53"/>
        <v>1</v>
      </c>
      <c r="E116" s="9">
        <f t="shared" si="53"/>
        <v>1</v>
      </c>
      <c r="F116" s="9">
        <f t="shared" si="53"/>
        <v>1</v>
      </c>
      <c r="G116" s="9">
        <f t="shared" si="53"/>
        <v>1</v>
      </c>
      <c r="H116" s="9">
        <f t="shared" si="53"/>
        <v>2</v>
      </c>
      <c r="I116" s="9">
        <f t="shared" si="53"/>
        <v>3</v>
      </c>
      <c r="J116" s="10">
        <f t="shared" si="53"/>
        <v>3</v>
      </c>
      <c r="K116" s="14" t="str">
        <f>IF(ISNUMBER(J116),IF(F116&gt;4,"Wins " &amp; F116 &amp; " &amp; 4",IF(G116&gt;3,"Wins " &amp; G116 &amp; " &amp; 3",IF(H116&gt;2,"Wins " &amp; H116 &amp; " &amp; 2",IF(I116&gt;1,"Wins " &amp; I116 &amp; " &amp; 1",IF(J116&gt;J110,"Wins " &amp; J116 &amp; " Up",IF(J116&lt;J110,"Loss","Tie"))))))," ")</f>
        <v>Wins 3 &amp; 1</v>
      </c>
      <c r="N116" s="15"/>
      <c r="O116" s="15"/>
      <c r="P116" s="59"/>
      <c r="Q116" s="59"/>
      <c r="R116" s="59"/>
      <c r="S116" s="59"/>
      <c r="T116" s="59"/>
      <c r="W116" s="15"/>
      <c r="X116" s="15"/>
      <c r="Y116" s="15"/>
      <c r="Z116" s="15"/>
      <c r="AA116" s="15"/>
    </row>
    <row r="117" spans="1:27" s="16" customFormat="1" x14ac:dyDescent="0.2">
      <c r="A117" s="26"/>
      <c r="B117" s="85"/>
      <c r="C117" s="85"/>
      <c r="D117" s="85"/>
      <c r="E117" s="85"/>
      <c r="F117" s="85"/>
      <c r="G117" s="85"/>
      <c r="H117" s="85"/>
      <c r="I117" s="85"/>
      <c r="J117" s="85"/>
      <c r="K117" s="15"/>
      <c r="N117" s="15"/>
      <c r="O117" s="15"/>
      <c r="P117" s="59"/>
      <c r="Q117" s="59"/>
      <c r="R117" s="59"/>
      <c r="S117" s="59"/>
      <c r="T117" s="59"/>
      <c r="W117" s="15"/>
      <c r="X117" s="15"/>
      <c r="Y117" s="15"/>
      <c r="Z117" s="15"/>
      <c r="AA117" s="15"/>
    </row>
    <row r="118" spans="1:27" ht="13.5" thickBot="1" x14ac:dyDescent="0.25">
      <c r="A118" s="24" t="s">
        <v>82</v>
      </c>
    </row>
    <row r="119" spans="1:27" x14ac:dyDescent="0.2">
      <c r="A119" s="79" t="str">
        <f t="shared" ref="A119:J119" si="54">A30</f>
        <v>Gerald C</v>
      </c>
      <c r="B119" s="17">
        <f t="shared" si="54"/>
        <v>7</v>
      </c>
      <c r="C119" s="3">
        <f t="shared" si="54"/>
        <v>6</v>
      </c>
      <c r="D119" s="3">
        <f t="shared" si="54"/>
        <v>5</v>
      </c>
      <c r="E119" s="3">
        <f t="shared" si="54"/>
        <v>6</v>
      </c>
      <c r="F119" s="3">
        <f t="shared" si="54"/>
        <v>4</v>
      </c>
      <c r="G119" s="3">
        <f t="shared" si="54"/>
        <v>6</v>
      </c>
      <c r="H119" s="3">
        <f t="shared" si="54"/>
        <v>8</v>
      </c>
      <c r="I119" s="3">
        <f t="shared" si="54"/>
        <v>5</v>
      </c>
      <c r="J119" s="4">
        <f t="shared" si="54"/>
        <v>7</v>
      </c>
      <c r="K119" s="12">
        <f>SUM(B119:J119)</f>
        <v>54</v>
      </c>
    </row>
    <row r="120" spans="1:27" x14ac:dyDescent="0.2">
      <c r="A120" s="80">
        <f>A31</f>
        <v>12</v>
      </c>
      <c r="B120" s="18">
        <f>IF(AND(ISNUMBER($A120),ISNUMBER($A126)),IF((RANK(B$4,$B$4:$J$4,1))&lt;=($A120-$A126),1,0),"")</f>
        <v>1</v>
      </c>
      <c r="C120" s="6">
        <f t="shared" ref="C120:J120" si="55">IF(AND(ISNUMBER($A120),ISNUMBER($A126)),IF((RANK(C$4,$B$4:$J$4,1))&lt;=($A120-$A126),1,0),"")</f>
        <v>1</v>
      </c>
      <c r="D120" s="6">
        <f t="shared" si="55"/>
        <v>0</v>
      </c>
      <c r="E120" s="6">
        <f t="shared" si="55"/>
        <v>1</v>
      </c>
      <c r="F120" s="6">
        <f t="shared" si="55"/>
        <v>0</v>
      </c>
      <c r="G120" s="6">
        <f t="shared" si="55"/>
        <v>0</v>
      </c>
      <c r="H120" s="6">
        <f t="shared" si="55"/>
        <v>0</v>
      </c>
      <c r="I120" s="6">
        <f t="shared" si="55"/>
        <v>1</v>
      </c>
      <c r="J120" s="7">
        <f t="shared" si="55"/>
        <v>1</v>
      </c>
      <c r="K120" s="13">
        <f>SUM(B120:J120)</f>
        <v>5</v>
      </c>
    </row>
    <row r="121" spans="1:27" x14ac:dyDescent="0.2">
      <c r="A121" s="80">
        <f>IF((A120-A126)&gt;9,(A120-A126-9),0)</f>
        <v>0</v>
      </c>
      <c r="B121" s="18">
        <f>IF(AND(ISNUMBER($A121),ISNUMBER($A127)),IF((RANK(B$4,$B$4:$J$4,1))&lt;=($A121-$A127),1,0),"")</f>
        <v>0</v>
      </c>
      <c r="C121" s="6">
        <f t="shared" ref="C121:J121" si="56">IF(AND(ISNUMBER($A121),ISNUMBER($A127)),IF((RANK(C$4,$B$4:$J$4,1))&lt;=($A121-$A127),1,0),"")</f>
        <v>0</v>
      </c>
      <c r="D121" s="6">
        <f t="shared" si="56"/>
        <v>0</v>
      </c>
      <c r="E121" s="6">
        <f t="shared" si="56"/>
        <v>0</v>
      </c>
      <c r="F121" s="6">
        <f t="shared" si="56"/>
        <v>0</v>
      </c>
      <c r="G121" s="6">
        <f t="shared" si="56"/>
        <v>0</v>
      </c>
      <c r="H121" s="6">
        <f t="shared" si="56"/>
        <v>0</v>
      </c>
      <c r="I121" s="6">
        <f t="shared" si="56"/>
        <v>0</v>
      </c>
      <c r="J121" s="7">
        <f t="shared" si="56"/>
        <v>0</v>
      </c>
      <c r="K121" s="13">
        <f>SUM(B121:J121)</f>
        <v>0</v>
      </c>
    </row>
    <row r="122" spans="1:27" x14ac:dyDescent="0.2">
      <c r="A122" s="80"/>
      <c r="B122" s="82">
        <f t="shared" ref="B122:J122" si="57">IF(AND(ISNUMBER(B119),ISNUMBER(B120)),B119-B120-B121," ")</f>
        <v>6</v>
      </c>
      <c r="C122" s="83">
        <f t="shared" si="57"/>
        <v>5</v>
      </c>
      <c r="D122" s="83">
        <f t="shared" si="57"/>
        <v>5</v>
      </c>
      <c r="E122" s="83">
        <f t="shared" si="57"/>
        <v>5</v>
      </c>
      <c r="F122" s="83">
        <f t="shared" si="57"/>
        <v>4</v>
      </c>
      <c r="G122" s="83">
        <f t="shared" si="57"/>
        <v>6</v>
      </c>
      <c r="H122" s="83">
        <f t="shared" si="57"/>
        <v>8</v>
      </c>
      <c r="I122" s="83">
        <f t="shared" si="57"/>
        <v>4</v>
      </c>
      <c r="J122" s="84">
        <f t="shared" si="57"/>
        <v>6</v>
      </c>
      <c r="K122" s="13">
        <f>IF(ISNUMBER(FIND("Wins",K123)), 2, IF(ISNUMBER(FIND("Tie",K123)), 1, 0))</f>
        <v>0</v>
      </c>
    </row>
    <row r="123" spans="1:27" ht="13.5" thickBot="1" x14ac:dyDescent="0.25">
      <c r="A123" s="81"/>
      <c r="B123" s="19">
        <f>IF(AND(ISNUMBER(B122),ISNUMBER(B128)),IF(B122&lt;B128, 0+1, (IF(B122&gt;B128, 0-1, 0)))," ")</f>
        <v>-1</v>
      </c>
      <c r="C123" s="9">
        <f t="shared" ref="C123:J123" si="58">IF(AND(ISNUMBER(C122),ISNUMBER(C128)),IF(C122&lt;C128, +B123+1, (IF(C122&gt;C128, +B123-1, +B123)))," ")</f>
        <v>-1</v>
      </c>
      <c r="D123" s="9">
        <f t="shared" si="58"/>
        <v>-2</v>
      </c>
      <c r="E123" s="9">
        <f t="shared" si="58"/>
        <v>-2</v>
      </c>
      <c r="F123" s="9">
        <f t="shared" si="58"/>
        <v>-1</v>
      </c>
      <c r="G123" s="9">
        <f t="shared" si="58"/>
        <v>-2</v>
      </c>
      <c r="H123" s="9">
        <f t="shared" si="58"/>
        <v>-3</v>
      </c>
      <c r="I123" s="9">
        <f t="shared" si="58"/>
        <v>-2</v>
      </c>
      <c r="J123" s="10">
        <f t="shared" si="58"/>
        <v>-2</v>
      </c>
      <c r="K123" s="14" t="str">
        <f>IF(ISNUMBER(J123),IF(F123&gt;4,"Wins " &amp; F123 &amp; " &amp; 4",IF(G123&gt;3,"Wins " &amp; G123 &amp; " &amp; 3",IF(H123&gt;2,"Wins " &amp; H123 &amp; " &amp; 2",IF(I123&gt;1,"Wins " &amp; I123 &amp; " &amp; 1",IF(J123&gt;J129,"Wins " &amp; J123 &amp; " Up",IF(J123&lt;J129,"Loss","Tie"))))))," ")</f>
        <v>Loss</v>
      </c>
    </row>
    <row r="124" spans="1:27" ht="13.5" thickBot="1" x14ac:dyDescent="0.25">
      <c r="A124" s="32"/>
    </row>
    <row r="125" spans="1:27" x14ac:dyDescent="0.2">
      <c r="A125" s="79" t="str">
        <f t="shared" ref="A125:J125" si="59">A32</f>
        <v>John</v>
      </c>
      <c r="B125" s="17">
        <f t="shared" si="59"/>
        <v>5</v>
      </c>
      <c r="C125" s="3">
        <f t="shared" si="59"/>
        <v>5</v>
      </c>
      <c r="D125" s="3">
        <f t="shared" si="59"/>
        <v>4</v>
      </c>
      <c r="E125" s="3">
        <f t="shared" si="59"/>
        <v>5</v>
      </c>
      <c r="F125" s="3">
        <f t="shared" si="59"/>
        <v>5</v>
      </c>
      <c r="G125" s="3">
        <f t="shared" si="59"/>
        <v>5</v>
      </c>
      <c r="H125" s="3">
        <f t="shared" si="59"/>
        <v>6</v>
      </c>
      <c r="I125" s="3">
        <f t="shared" si="59"/>
        <v>5</v>
      </c>
      <c r="J125" s="4">
        <f t="shared" si="59"/>
        <v>6</v>
      </c>
      <c r="K125" s="12">
        <f>SUM(B125:J125)</f>
        <v>46</v>
      </c>
    </row>
    <row r="126" spans="1:27" x14ac:dyDescent="0.2">
      <c r="A126" s="80">
        <f>A33</f>
        <v>7</v>
      </c>
      <c r="B126" s="18">
        <f>IF(AND(ISNUMBER($A120),ISNUMBER($A126)),IF((RANK(B$4,$B$4:$J$4,1))&lt;=($A126-$A120),1,0),"")</f>
        <v>0</v>
      </c>
      <c r="C126" s="6">
        <f t="shared" ref="C126:J126" si="60">IF(AND(ISNUMBER($A120),ISNUMBER($A126)),IF((RANK(C$4,$B$4:$J$4,1))&lt;=($A126-$A120),1,0),"")</f>
        <v>0</v>
      </c>
      <c r="D126" s="6">
        <f t="shared" si="60"/>
        <v>0</v>
      </c>
      <c r="E126" s="6">
        <f t="shared" si="60"/>
        <v>0</v>
      </c>
      <c r="F126" s="6">
        <f t="shared" si="60"/>
        <v>0</v>
      </c>
      <c r="G126" s="6">
        <f t="shared" si="60"/>
        <v>0</v>
      </c>
      <c r="H126" s="6">
        <f t="shared" si="60"/>
        <v>0</v>
      </c>
      <c r="I126" s="6">
        <f t="shared" si="60"/>
        <v>0</v>
      </c>
      <c r="J126" s="7">
        <f t="shared" si="60"/>
        <v>0</v>
      </c>
      <c r="K126" s="13">
        <f>SUM(B126:J126)</f>
        <v>0</v>
      </c>
    </row>
    <row r="127" spans="1:27" x14ac:dyDescent="0.2">
      <c r="A127" s="80">
        <f>IF((A126-A120)&gt;9,(A126-A120-9),0)</f>
        <v>0</v>
      </c>
      <c r="B127" s="18">
        <f>IF(AND(ISNUMBER($A121),ISNUMBER($A127)),IF((RANK(B$4,$B$4:$J$4,1))&lt;=($A127-$A121),1,0),"")</f>
        <v>0</v>
      </c>
      <c r="C127" s="6">
        <f t="shared" ref="C127:J127" si="61">IF(AND(ISNUMBER($A121),ISNUMBER($A127)),IF((RANK(C$4,$B$4:$J$4,1))&lt;=($A127-$A121),1,0),"")</f>
        <v>0</v>
      </c>
      <c r="D127" s="6">
        <f t="shared" si="61"/>
        <v>0</v>
      </c>
      <c r="E127" s="6">
        <f t="shared" si="61"/>
        <v>0</v>
      </c>
      <c r="F127" s="6">
        <f t="shared" si="61"/>
        <v>0</v>
      </c>
      <c r="G127" s="6">
        <f t="shared" si="61"/>
        <v>0</v>
      </c>
      <c r="H127" s="6">
        <f t="shared" si="61"/>
        <v>0</v>
      </c>
      <c r="I127" s="6">
        <f t="shared" si="61"/>
        <v>0</v>
      </c>
      <c r="J127" s="7">
        <f t="shared" si="61"/>
        <v>0</v>
      </c>
      <c r="K127" s="13">
        <f>SUM(B127:J127)</f>
        <v>0</v>
      </c>
    </row>
    <row r="128" spans="1:27" x14ac:dyDescent="0.2">
      <c r="A128" s="80"/>
      <c r="B128" s="82">
        <f t="shared" ref="B128:J128" si="62">IF(AND(ISNUMBER(B125),ISNUMBER(B126)),B125-B126-B127," ")</f>
        <v>5</v>
      </c>
      <c r="C128" s="83">
        <f t="shared" si="62"/>
        <v>5</v>
      </c>
      <c r="D128" s="83">
        <f t="shared" si="62"/>
        <v>4</v>
      </c>
      <c r="E128" s="83">
        <f t="shared" si="62"/>
        <v>5</v>
      </c>
      <c r="F128" s="83">
        <f t="shared" si="62"/>
        <v>5</v>
      </c>
      <c r="G128" s="83">
        <f t="shared" si="62"/>
        <v>5</v>
      </c>
      <c r="H128" s="83">
        <f t="shared" si="62"/>
        <v>6</v>
      </c>
      <c r="I128" s="83">
        <f t="shared" si="62"/>
        <v>5</v>
      </c>
      <c r="J128" s="84">
        <f t="shared" si="62"/>
        <v>6</v>
      </c>
      <c r="K128" s="13">
        <f>IF(ISNUMBER(FIND("Wins",K129)), 2, IF(ISNUMBER(FIND("Tie",K129)), 1, 0))</f>
        <v>2</v>
      </c>
    </row>
    <row r="129" spans="1:11" ht="13.5" thickBot="1" x14ac:dyDescent="0.25">
      <c r="A129" s="81"/>
      <c r="B129" s="19">
        <f>IF(AND(ISNUMBER(B122),ISNUMBER(B128)),IF(B128&lt;B122, 0+1, (IF(B128&gt;B122, 0-1, 0)))," ")</f>
        <v>1</v>
      </c>
      <c r="C129" s="9">
        <f t="shared" ref="C129:J129" si="63">IF(AND(ISNUMBER(C122),ISNUMBER(C128)),IF(C128&lt;C122, +B129+1, (IF(C128&gt;C122, +B129-1, +B129)))," ")</f>
        <v>1</v>
      </c>
      <c r="D129" s="9">
        <f t="shared" si="63"/>
        <v>2</v>
      </c>
      <c r="E129" s="9">
        <f t="shared" si="63"/>
        <v>2</v>
      </c>
      <c r="F129" s="9">
        <f t="shared" si="63"/>
        <v>1</v>
      </c>
      <c r="G129" s="9">
        <f t="shared" si="63"/>
        <v>2</v>
      </c>
      <c r="H129" s="9">
        <f t="shared" si="63"/>
        <v>3</v>
      </c>
      <c r="I129" s="9">
        <f t="shared" si="63"/>
        <v>2</v>
      </c>
      <c r="J129" s="10">
        <f t="shared" si="63"/>
        <v>2</v>
      </c>
      <c r="K129" s="14" t="str">
        <f>IF(ISNUMBER(J129),IF(F129&gt;4,"Wins " &amp; F129 &amp; " &amp; 4",IF(G129&gt;3,"Wins " &amp; G129 &amp; " &amp; 3",IF(H129&gt;2,"Wins " &amp; H129 &amp; " &amp; 2",IF(I129&gt;1,"Wins " &amp; I129 &amp; " &amp; 1",IF(J129&gt;J123,"Wins " &amp; J129 &amp; " Up",IF(J129&lt;J123,"Loss","Tie"))))))," ")</f>
        <v>Wins 3 &amp; 2</v>
      </c>
    </row>
    <row r="130" spans="1:11" x14ac:dyDescent="0.2">
      <c r="A130" s="26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ht="13.5" thickBot="1" x14ac:dyDescent="0.25">
      <c r="A131" s="24" t="s">
        <v>133</v>
      </c>
    </row>
    <row r="132" spans="1:11" x14ac:dyDescent="0.2">
      <c r="A132" s="29" t="str">
        <f t="shared" ref="A132:J132" si="64">A34</f>
        <v>Tony W</v>
      </c>
      <c r="B132" s="17">
        <f t="shared" si="64"/>
        <v>6</v>
      </c>
      <c r="C132" s="3">
        <f t="shared" si="64"/>
        <v>4</v>
      </c>
      <c r="D132" s="3">
        <f t="shared" si="64"/>
        <v>4</v>
      </c>
      <c r="E132" s="3">
        <f t="shared" si="64"/>
        <v>6</v>
      </c>
      <c r="F132" s="3">
        <f t="shared" si="64"/>
        <v>7</v>
      </c>
      <c r="G132" s="3">
        <f t="shared" si="64"/>
        <v>6</v>
      </c>
      <c r="H132" s="3">
        <f t="shared" si="64"/>
        <v>6</v>
      </c>
      <c r="I132" s="3">
        <f t="shared" si="64"/>
        <v>7</v>
      </c>
      <c r="J132" s="4">
        <f t="shared" si="64"/>
        <v>9</v>
      </c>
      <c r="K132" s="12">
        <f>SUM(B132:J132)</f>
        <v>55</v>
      </c>
    </row>
    <row r="133" spans="1:11" x14ac:dyDescent="0.2">
      <c r="A133" s="30">
        <f>A35</f>
        <v>10</v>
      </c>
      <c r="B133" s="18">
        <f>IF(AND(ISNUMBER($A133),ISNUMBER($A139)),IF((RANK(B$4,$B$4:$J$4,1))&lt;=($A133-$A139),1,0),"")</f>
        <v>0</v>
      </c>
      <c r="C133" s="6">
        <f t="shared" ref="C133:J133" si="65">IF(AND(ISNUMBER($A133),ISNUMBER($A139)),IF((RANK(C$4,$B$4:$J$4,1))&lt;=($A133-$A139),1,0),"")</f>
        <v>0</v>
      </c>
      <c r="D133" s="6">
        <f t="shared" si="65"/>
        <v>0</v>
      </c>
      <c r="E133" s="6">
        <f t="shared" si="65"/>
        <v>0</v>
      </c>
      <c r="F133" s="6">
        <f t="shared" si="65"/>
        <v>0</v>
      </c>
      <c r="G133" s="6">
        <f t="shared" si="65"/>
        <v>0</v>
      </c>
      <c r="H133" s="6">
        <f t="shared" si="65"/>
        <v>0</v>
      </c>
      <c r="I133" s="6">
        <f t="shared" si="65"/>
        <v>0</v>
      </c>
      <c r="J133" s="7">
        <f t="shared" si="65"/>
        <v>0</v>
      </c>
      <c r="K133" s="13">
        <f>SUM(B133:J133)</f>
        <v>0</v>
      </c>
    </row>
    <row r="134" spans="1:11" x14ac:dyDescent="0.2">
      <c r="A134" s="30">
        <f>IF((A133-A139)&gt;9,(A133-A139-9),0)</f>
        <v>0</v>
      </c>
      <c r="B134" s="18">
        <f>IF(AND(ISNUMBER($A134),ISNUMBER($A140)),IF((RANK(B$4,$B$4:$J$4,1))&lt;=($A134-$A140),1,0),"")</f>
        <v>0</v>
      </c>
      <c r="C134" s="6">
        <f t="shared" ref="C134:J134" si="66">IF(AND(ISNUMBER($A134),ISNUMBER($A140)),IF((RANK(C$4,$B$4:$J$4,1))&lt;=($A134-$A140),1,0),"")</f>
        <v>0</v>
      </c>
      <c r="D134" s="6">
        <f t="shared" si="66"/>
        <v>0</v>
      </c>
      <c r="E134" s="6">
        <f t="shared" si="66"/>
        <v>0</v>
      </c>
      <c r="F134" s="6">
        <f t="shared" si="66"/>
        <v>0</v>
      </c>
      <c r="G134" s="6">
        <f t="shared" si="66"/>
        <v>0</v>
      </c>
      <c r="H134" s="6">
        <f t="shared" si="66"/>
        <v>0</v>
      </c>
      <c r="I134" s="6">
        <f t="shared" si="66"/>
        <v>0</v>
      </c>
      <c r="J134" s="7">
        <f t="shared" si="66"/>
        <v>0</v>
      </c>
      <c r="K134" s="13">
        <f>SUM(B134:J134)</f>
        <v>0</v>
      </c>
    </row>
    <row r="135" spans="1:11" x14ac:dyDescent="0.2">
      <c r="A135" s="30"/>
      <c r="B135" s="82">
        <f t="shared" ref="B135:J135" si="67">IF(AND(ISNUMBER(B132),ISNUMBER(B133)),B132-B133-B134," ")</f>
        <v>6</v>
      </c>
      <c r="C135" s="83">
        <f t="shared" si="67"/>
        <v>4</v>
      </c>
      <c r="D135" s="83">
        <f t="shared" si="67"/>
        <v>4</v>
      </c>
      <c r="E135" s="83">
        <f t="shared" si="67"/>
        <v>6</v>
      </c>
      <c r="F135" s="83">
        <f t="shared" si="67"/>
        <v>7</v>
      </c>
      <c r="G135" s="83">
        <f t="shared" si="67"/>
        <v>6</v>
      </c>
      <c r="H135" s="83">
        <f t="shared" si="67"/>
        <v>6</v>
      </c>
      <c r="I135" s="83">
        <f t="shared" si="67"/>
        <v>7</v>
      </c>
      <c r="J135" s="84">
        <f t="shared" si="67"/>
        <v>9</v>
      </c>
      <c r="K135" s="13">
        <f>IF(ISNUMBER(FIND("Wins",K136)), 2, IF(ISNUMBER(FIND("Tie",K136)), 1, 0))</f>
        <v>0</v>
      </c>
    </row>
    <row r="136" spans="1:11" ht="13.5" thickBot="1" x14ac:dyDescent="0.25">
      <c r="A136" s="31"/>
      <c r="B136" s="19">
        <f>IF(AND(ISNUMBER(B135),ISNUMBER(B141)),IF(B135&lt;B141, 0+1, (IF(B135&gt;B141, 0-1, 0)))," ")</f>
        <v>-1</v>
      </c>
      <c r="C136" s="9">
        <f t="shared" ref="C136:J136" si="68">IF(AND(ISNUMBER(C135),ISNUMBER(C141)),IF(C135&lt;C141, +B136+1, (IF(C135&gt;C141, +B136-1, +B136)))," ")</f>
        <v>0</v>
      </c>
      <c r="D136" s="9">
        <f t="shared" si="68"/>
        <v>1</v>
      </c>
      <c r="E136" s="9">
        <f t="shared" si="68"/>
        <v>2</v>
      </c>
      <c r="F136" s="9">
        <f t="shared" si="68"/>
        <v>1</v>
      </c>
      <c r="G136" s="9">
        <f t="shared" si="68"/>
        <v>1</v>
      </c>
      <c r="H136" s="9">
        <f t="shared" si="68"/>
        <v>1</v>
      </c>
      <c r="I136" s="9">
        <f t="shared" si="68"/>
        <v>0</v>
      </c>
      <c r="J136" s="10">
        <f t="shared" si="68"/>
        <v>-1</v>
      </c>
      <c r="K136" s="14" t="str">
        <f>IF(ISNUMBER(J136),IF(F136&gt;4,"Wins " &amp; F136 &amp; " &amp; 4",IF(G136&gt;3,"Wins " &amp; G136 &amp; " &amp; 3",IF(H136&gt;2,"Wins " &amp; H136 &amp; " &amp; 2",IF(I136&gt;1,"Wins " &amp; I136 &amp; " &amp; 1",IF(J136&gt;J142,"Wins " &amp; J136 &amp; " Up",IF(J136&lt;J142,"Loss","Tie"))))))," ")</f>
        <v>Loss</v>
      </c>
    </row>
    <row r="137" spans="1:11" ht="13.5" thickBot="1" x14ac:dyDescent="0.25">
      <c r="A137" s="32"/>
    </row>
    <row r="138" spans="1:11" x14ac:dyDescent="0.2">
      <c r="A138" s="29" t="str">
        <f t="shared" ref="A138:J138" si="69">A36</f>
        <v>Bob</v>
      </c>
      <c r="B138" s="17">
        <f t="shared" si="69"/>
        <v>4</v>
      </c>
      <c r="C138" s="3">
        <f t="shared" si="69"/>
        <v>6</v>
      </c>
      <c r="D138" s="3">
        <f t="shared" si="69"/>
        <v>6</v>
      </c>
      <c r="E138" s="3">
        <f t="shared" si="69"/>
        <v>7</v>
      </c>
      <c r="F138" s="3">
        <f t="shared" si="69"/>
        <v>4</v>
      </c>
      <c r="G138" s="3">
        <f t="shared" si="69"/>
        <v>6</v>
      </c>
      <c r="H138" s="3">
        <f t="shared" si="69"/>
        <v>6</v>
      </c>
      <c r="I138" s="3">
        <f t="shared" si="69"/>
        <v>6</v>
      </c>
      <c r="J138" s="4">
        <f t="shared" si="69"/>
        <v>8</v>
      </c>
      <c r="K138" s="12">
        <f>SUM(B138:J138)</f>
        <v>53</v>
      </c>
    </row>
    <row r="139" spans="1:11" x14ac:dyDescent="0.2">
      <c r="A139" s="30">
        <f>A37</f>
        <v>10</v>
      </c>
      <c r="B139" s="18">
        <f>IF(AND(ISNUMBER($A133),ISNUMBER($A139)),IF((RANK(B$4,$B$4:$J$4,1))&lt;=($A139-$A133),1,0),"")</f>
        <v>0</v>
      </c>
      <c r="C139" s="6">
        <f t="shared" ref="C139:J139" si="70">IF(AND(ISNUMBER($A133),ISNUMBER($A139)),IF((RANK(C$4,$B$4:$J$4,1))&lt;=($A139-$A133),1,0),"")</f>
        <v>0</v>
      </c>
      <c r="D139" s="6">
        <f t="shared" si="70"/>
        <v>0</v>
      </c>
      <c r="E139" s="6">
        <f t="shared" si="70"/>
        <v>0</v>
      </c>
      <c r="F139" s="6">
        <f t="shared" si="70"/>
        <v>0</v>
      </c>
      <c r="G139" s="6">
        <f t="shared" si="70"/>
        <v>0</v>
      </c>
      <c r="H139" s="6">
        <f t="shared" si="70"/>
        <v>0</v>
      </c>
      <c r="I139" s="6">
        <f t="shared" si="70"/>
        <v>0</v>
      </c>
      <c r="J139" s="7">
        <f t="shared" si="70"/>
        <v>0</v>
      </c>
      <c r="K139" s="13">
        <f>SUM(B139:J139)</f>
        <v>0</v>
      </c>
    </row>
    <row r="140" spans="1:11" x14ac:dyDescent="0.2">
      <c r="A140" s="30">
        <f>IF((A139-A133)&gt;9,(A139-A133-9),0)</f>
        <v>0</v>
      </c>
      <c r="B140" s="18">
        <f>IF(AND(ISNUMBER($A134),ISNUMBER($A140)),IF((RANK(B$4,$B$4:$J$4,1))&lt;=($A140-$A134),1,0),"")</f>
        <v>0</v>
      </c>
      <c r="C140" s="6">
        <f t="shared" ref="C140:J140" si="71">IF(AND(ISNUMBER($A134),ISNUMBER($A140)),IF((RANK(C$4,$B$4:$J$4,1))&lt;=($A140-$A134),1,0),"")</f>
        <v>0</v>
      </c>
      <c r="D140" s="6">
        <f t="shared" si="71"/>
        <v>0</v>
      </c>
      <c r="E140" s="6">
        <f t="shared" si="71"/>
        <v>0</v>
      </c>
      <c r="F140" s="6">
        <f t="shared" si="71"/>
        <v>0</v>
      </c>
      <c r="G140" s="6">
        <f t="shared" si="71"/>
        <v>0</v>
      </c>
      <c r="H140" s="6">
        <f t="shared" si="71"/>
        <v>0</v>
      </c>
      <c r="I140" s="6">
        <f t="shared" si="71"/>
        <v>0</v>
      </c>
      <c r="J140" s="7">
        <f t="shared" si="71"/>
        <v>0</v>
      </c>
      <c r="K140" s="13">
        <f>SUM(B140:J140)</f>
        <v>0</v>
      </c>
    </row>
    <row r="141" spans="1:11" x14ac:dyDescent="0.2">
      <c r="A141" s="30"/>
      <c r="B141" s="82">
        <f t="shared" ref="B141:J141" si="72">IF(AND(ISNUMBER(B138),ISNUMBER(B139)),B138-B139-B140," ")</f>
        <v>4</v>
      </c>
      <c r="C141" s="83">
        <f t="shared" si="72"/>
        <v>6</v>
      </c>
      <c r="D141" s="83">
        <f t="shared" si="72"/>
        <v>6</v>
      </c>
      <c r="E141" s="83">
        <f t="shared" si="72"/>
        <v>7</v>
      </c>
      <c r="F141" s="83">
        <f t="shared" si="72"/>
        <v>4</v>
      </c>
      <c r="G141" s="83">
        <f t="shared" si="72"/>
        <v>6</v>
      </c>
      <c r="H141" s="83">
        <f t="shared" si="72"/>
        <v>6</v>
      </c>
      <c r="I141" s="83">
        <f t="shared" si="72"/>
        <v>6</v>
      </c>
      <c r="J141" s="84">
        <f t="shared" si="72"/>
        <v>8</v>
      </c>
      <c r="K141" s="13">
        <f>IF(ISNUMBER(FIND("Wins",K142)), 2, IF(ISNUMBER(FIND("Tie",K142)), 1, 0))</f>
        <v>2</v>
      </c>
    </row>
    <row r="142" spans="1:11" ht="13.5" thickBot="1" x14ac:dyDescent="0.25">
      <c r="A142" s="31"/>
      <c r="B142" s="19">
        <f>IF(AND(ISNUMBER(B135),ISNUMBER(B141)),IF(B141&lt;B135, 0+1, (IF(B141&gt;B135, 0-1, 0)))," ")</f>
        <v>1</v>
      </c>
      <c r="C142" s="9">
        <f t="shared" ref="C142:J142" si="73">IF(AND(ISNUMBER(C135),ISNUMBER(C141)),IF(C141&lt;C135, +B142+1, (IF(C141&gt;C135, +B142-1, +B142)))," ")</f>
        <v>0</v>
      </c>
      <c r="D142" s="9">
        <f t="shared" si="73"/>
        <v>-1</v>
      </c>
      <c r="E142" s="9">
        <f t="shared" si="73"/>
        <v>-2</v>
      </c>
      <c r="F142" s="9">
        <f t="shared" si="73"/>
        <v>-1</v>
      </c>
      <c r="G142" s="9">
        <f t="shared" si="73"/>
        <v>-1</v>
      </c>
      <c r="H142" s="9">
        <f t="shared" si="73"/>
        <v>-1</v>
      </c>
      <c r="I142" s="9">
        <f t="shared" si="73"/>
        <v>0</v>
      </c>
      <c r="J142" s="10">
        <f t="shared" si="73"/>
        <v>1</v>
      </c>
      <c r="K142" s="14" t="str">
        <f>IF(ISNUMBER(J142),IF(F142&gt;4,"Wins " &amp; F142 &amp; " &amp; 4",IF(G142&gt;3,"Wins " &amp; G142 &amp; " &amp; 3",IF(H142&gt;2,"Wins " &amp; H142 &amp; " &amp; 2",IF(I142&gt;1,"Wins " &amp; I142 &amp; " &amp; 1",IF(J142&gt;J136,"Wins " &amp; J142 &amp; " Up",IF(J142&lt;J136,"Loss","Tie"))))))," ")</f>
        <v>Wins 1 Up</v>
      </c>
    </row>
    <row r="143" spans="1:11" x14ac:dyDescent="0.2">
      <c r="A143" s="26"/>
      <c r="B143" s="85"/>
      <c r="C143" s="85"/>
      <c r="D143" s="85"/>
      <c r="E143" s="85"/>
      <c r="F143" s="85"/>
      <c r="G143" s="85"/>
      <c r="H143" s="85"/>
      <c r="I143" s="85"/>
      <c r="J143" s="85"/>
      <c r="K143" s="15"/>
    </row>
  </sheetData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43"/>
  <sheetViews>
    <sheetView zoomScaleNormal="100" workbookViewId="0">
      <selection activeCell="S22" sqref="S22"/>
    </sheetView>
  </sheetViews>
  <sheetFormatPr defaultColWidth="9.140625" defaultRowHeight="12.75" x14ac:dyDescent="0.2"/>
  <cols>
    <col min="1" max="1" width="19.7109375" style="20" customWidth="1"/>
    <col min="2" max="10" width="9.140625" style="2"/>
    <col min="11" max="11" width="13.42578125" style="2" customWidth="1"/>
    <col min="12" max="12" width="9.140625" style="1"/>
    <col min="13" max="13" width="11.140625" style="1" customWidth="1"/>
    <col min="14" max="15" width="11.140625" style="2" customWidth="1"/>
    <col min="16" max="20" width="11.85546875" style="52" customWidth="1"/>
    <col min="21" max="22" width="9.140625" style="1"/>
    <col min="23" max="26" width="9.140625" style="2"/>
    <col min="27" max="27" width="9.85546875" style="2" customWidth="1"/>
    <col min="28" max="16384" width="9.140625" style="1"/>
  </cols>
  <sheetData>
    <row r="1" spans="1:27" ht="13.5" thickBot="1" x14ac:dyDescent="0.25"/>
    <row r="2" spans="1:27" x14ac:dyDescent="0.2">
      <c r="A2" s="47" t="s">
        <v>1</v>
      </c>
      <c r="B2" s="76">
        <f>Courses!C40</f>
        <v>10</v>
      </c>
      <c r="C2" s="34">
        <f>Courses!D40</f>
        <v>11</v>
      </c>
      <c r="D2" s="34">
        <f>Courses!E40</f>
        <v>12</v>
      </c>
      <c r="E2" s="34">
        <f>Courses!F40</f>
        <v>13</v>
      </c>
      <c r="F2" s="34">
        <f>Courses!G40</f>
        <v>14</v>
      </c>
      <c r="G2" s="34">
        <f>Courses!H40</f>
        <v>15</v>
      </c>
      <c r="H2" s="34">
        <f>Courses!I40</f>
        <v>16</v>
      </c>
      <c r="I2" s="34">
        <f>Courses!J40</f>
        <v>17</v>
      </c>
      <c r="J2" s="35">
        <f>Courses!K40</f>
        <v>18</v>
      </c>
      <c r="K2" s="73"/>
    </row>
    <row r="3" spans="1:27" x14ac:dyDescent="0.2">
      <c r="A3" s="48" t="s">
        <v>2</v>
      </c>
      <c r="B3" s="77">
        <f>Courses!C41</f>
        <v>5</v>
      </c>
      <c r="C3" s="39">
        <f>Courses!D41</f>
        <v>4</v>
      </c>
      <c r="D3" s="39">
        <f>Courses!E41</f>
        <v>4</v>
      </c>
      <c r="E3" s="39">
        <f>Courses!F41</f>
        <v>3</v>
      </c>
      <c r="F3" s="39">
        <f>Courses!G41</f>
        <v>5</v>
      </c>
      <c r="G3" s="39">
        <f>Courses!H41</f>
        <v>3</v>
      </c>
      <c r="H3" s="39">
        <f>Courses!I41</f>
        <v>4</v>
      </c>
      <c r="I3" s="39">
        <f>Courses!J41</f>
        <v>3</v>
      </c>
      <c r="J3" s="40">
        <f>Courses!K41</f>
        <v>5</v>
      </c>
      <c r="K3" s="74">
        <f>SUM(B3:J3)</f>
        <v>36</v>
      </c>
      <c r="P3" s="55" t="s">
        <v>32</v>
      </c>
    </row>
    <row r="4" spans="1:27" ht="13.5" thickBot="1" x14ac:dyDescent="0.25">
      <c r="A4" s="236" t="s">
        <v>3</v>
      </c>
      <c r="B4" s="78">
        <f>Courses!C42</f>
        <v>16</v>
      </c>
      <c r="C4" s="44">
        <f>Courses!D42</f>
        <v>8</v>
      </c>
      <c r="D4" s="44">
        <f>Courses!E42</f>
        <v>4</v>
      </c>
      <c r="E4" s="44">
        <f>Courses!F42</f>
        <v>18</v>
      </c>
      <c r="F4" s="44">
        <f>Courses!G42</f>
        <v>2</v>
      </c>
      <c r="G4" s="44">
        <f>Courses!H42</f>
        <v>12</v>
      </c>
      <c r="H4" s="44">
        <f>Courses!I42</f>
        <v>10</v>
      </c>
      <c r="I4" s="44">
        <f>Courses!J42</f>
        <v>14</v>
      </c>
      <c r="J4" s="45">
        <f>Courses!K42</f>
        <v>6</v>
      </c>
      <c r="K4" s="75"/>
      <c r="P4" s="52" t="s">
        <v>34</v>
      </c>
      <c r="Q4" s="52" t="s">
        <v>128</v>
      </c>
      <c r="R4" s="52" t="s">
        <v>33</v>
      </c>
      <c r="T4" s="52" t="s">
        <v>129</v>
      </c>
    </row>
    <row r="5" spans="1:27" ht="13.5" thickBot="1" x14ac:dyDescent="0.25">
      <c r="A5" s="26"/>
      <c r="M5" s="167" t="s">
        <v>16</v>
      </c>
      <c r="N5" s="232" t="s">
        <v>17</v>
      </c>
      <c r="O5" s="232" t="s">
        <v>36</v>
      </c>
      <c r="P5" s="161" t="str">
        <f>Results!C40</f>
        <v>Long Drive</v>
      </c>
      <c r="Q5" s="50" t="str">
        <f>Results!D40</f>
        <v>Closest to Pin</v>
      </c>
      <c r="R5" s="50" t="str">
        <f>Results!E40</f>
        <v>Long Putt</v>
      </c>
      <c r="S5" s="50" t="str">
        <f>Results!F40</f>
        <v>Secret Snowman</v>
      </c>
      <c r="T5" s="51" t="str">
        <f>Results!G40</f>
        <v>Closest to Pin</v>
      </c>
      <c r="V5" s="2">
        <v>1</v>
      </c>
      <c r="W5" s="2">
        <v>2</v>
      </c>
      <c r="X5" s="2">
        <v>3</v>
      </c>
      <c r="Y5" s="2">
        <v>4</v>
      </c>
      <c r="Z5" s="2">
        <v>5</v>
      </c>
    </row>
    <row r="6" spans="1:27" x14ac:dyDescent="0.2">
      <c r="A6" s="21" t="str">
        <f>Matchups!F3</f>
        <v>Dave</v>
      </c>
      <c r="B6" s="115">
        <v>6</v>
      </c>
      <c r="C6" s="116">
        <v>5</v>
      </c>
      <c r="D6" s="116">
        <v>5</v>
      </c>
      <c r="E6" s="116">
        <v>5</v>
      </c>
      <c r="F6" s="116">
        <v>6</v>
      </c>
      <c r="G6" s="116">
        <v>3</v>
      </c>
      <c r="H6" s="116">
        <v>4</v>
      </c>
      <c r="I6" s="116">
        <v>4</v>
      </c>
      <c r="J6" s="117">
        <v>6</v>
      </c>
      <c r="K6" s="5">
        <f>SUM(B6:J6)</f>
        <v>44</v>
      </c>
      <c r="M6" s="90" t="str">
        <f>A14</f>
        <v>Mil</v>
      </c>
      <c r="N6" s="5">
        <f>K14</f>
        <v>46</v>
      </c>
      <c r="O6" s="5">
        <f>K70</f>
        <v>2</v>
      </c>
      <c r="P6" s="162"/>
      <c r="Q6" s="65"/>
      <c r="R6" s="65"/>
      <c r="S6" s="65"/>
      <c r="T6" s="153"/>
      <c r="V6" s="2">
        <f t="shared" ref="V6:V37" si="0">IF($S$39=V$5,S6*V$5,"")</f>
        <v>0</v>
      </c>
      <c r="W6" s="2" t="str">
        <f t="shared" ref="W6:W37" si="1">IF($S$39=W$5,S6*W$5,"")</f>
        <v/>
      </c>
      <c r="X6" s="2" t="str">
        <f t="shared" ref="X6:X37" si="2">IF($S$39=X$5,S6*X$5,"")</f>
        <v/>
      </c>
      <c r="Y6" s="2" t="str">
        <f t="shared" ref="Y6:Y37" si="3">IF($S$39=Y$5,S6*Y$5,"")</f>
        <v/>
      </c>
      <c r="Z6" s="2" t="str">
        <f t="shared" ref="Z6:Z37" si="4">IF($S$39=Z$5,S6*Z$5,"")</f>
        <v/>
      </c>
      <c r="AA6" s="144">
        <f>IF(SUM(V6:Z6)=0,0,Setup!F$44/SUM(V6:Z6))</f>
        <v>0</v>
      </c>
    </row>
    <row r="7" spans="1:27" hidden="1" x14ac:dyDescent="0.2">
      <c r="A7" s="22">
        <f>Matchups!F4</f>
        <v>5</v>
      </c>
      <c r="B7" s="118"/>
      <c r="C7" s="119"/>
      <c r="D7" s="119"/>
      <c r="E7" s="119"/>
      <c r="F7" s="119"/>
      <c r="G7" s="119"/>
      <c r="H7" s="119"/>
      <c r="I7" s="119"/>
      <c r="J7" s="120"/>
      <c r="K7" s="8"/>
      <c r="M7" s="91"/>
      <c r="N7" s="8"/>
      <c r="O7" s="8"/>
      <c r="P7" s="164"/>
      <c r="Q7" s="66"/>
      <c r="R7" s="66"/>
      <c r="S7" s="66"/>
      <c r="T7" s="154"/>
      <c r="V7" s="2">
        <f t="shared" si="0"/>
        <v>0</v>
      </c>
      <c r="W7" s="2" t="str">
        <f t="shared" si="1"/>
        <v/>
      </c>
      <c r="X7" s="2" t="str">
        <f t="shared" si="2"/>
        <v/>
      </c>
      <c r="Y7" s="2" t="str">
        <f t="shared" si="3"/>
        <v/>
      </c>
      <c r="Z7" s="2" t="str">
        <f t="shared" si="4"/>
        <v/>
      </c>
      <c r="AA7" s="144">
        <f>IF(SUM(V7:Z7)=0,0,Setup!F$44/SUM(V7:Z7))</f>
        <v>0</v>
      </c>
    </row>
    <row r="8" spans="1:27" x14ac:dyDescent="0.2">
      <c r="A8" s="22" t="str">
        <f>Matchups!F5</f>
        <v>Rick</v>
      </c>
      <c r="B8" s="118">
        <v>4</v>
      </c>
      <c r="C8" s="119">
        <v>4</v>
      </c>
      <c r="D8" s="119">
        <v>6</v>
      </c>
      <c r="E8" s="119">
        <v>5</v>
      </c>
      <c r="F8" s="119">
        <v>6</v>
      </c>
      <c r="G8" s="119">
        <v>3</v>
      </c>
      <c r="H8" s="119">
        <v>5</v>
      </c>
      <c r="I8" s="119">
        <v>5</v>
      </c>
      <c r="J8" s="120">
        <v>6</v>
      </c>
      <c r="K8" s="8">
        <f t="shared" ref="K8:K28" si="5">SUM(B8:J8)</f>
        <v>44</v>
      </c>
      <c r="M8" s="91" t="str">
        <f>A32</f>
        <v>John</v>
      </c>
      <c r="N8" s="8">
        <f>K32</f>
        <v>42</v>
      </c>
      <c r="O8" s="8">
        <f>K135</f>
        <v>2</v>
      </c>
      <c r="P8" s="164"/>
      <c r="Q8" s="66"/>
      <c r="R8" s="66"/>
      <c r="S8" s="66"/>
      <c r="T8" s="154"/>
      <c r="V8" s="2">
        <f t="shared" si="0"/>
        <v>0</v>
      </c>
      <c r="W8" s="2" t="str">
        <f t="shared" si="1"/>
        <v/>
      </c>
      <c r="X8" s="2" t="str">
        <f t="shared" si="2"/>
        <v/>
      </c>
      <c r="Y8" s="2" t="str">
        <f t="shared" si="3"/>
        <v/>
      </c>
      <c r="Z8" s="2" t="str">
        <f t="shared" si="4"/>
        <v/>
      </c>
      <c r="AA8" s="144">
        <f>IF(SUM(V8:Z8)=0,0,Setup!F$44/SUM(V8:Z8))</f>
        <v>0</v>
      </c>
    </row>
    <row r="9" spans="1:27" hidden="1" x14ac:dyDescent="0.2">
      <c r="A9" s="22">
        <f>Matchups!F6</f>
        <v>7</v>
      </c>
      <c r="B9" s="118"/>
      <c r="C9" s="119"/>
      <c r="D9" s="119"/>
      <c r="E9" s="119"/>
      <c r="F9" s="119"/>
      <c r="G9" s="119"/>
      <c r="H9" s="119"/>
      <c r="I9" s="119"/>
      <c r="J9" s="120"/>
      <c r="K9" s="8"/>
      <c r="M9" s="91"/>
      <c r="N9" s="8"/>
      <c r="O9" s="8"/>
      <c r="P9" s="164"/>
      <c r="Q9" s="66"/>
      <c r="R9" s="66"/>
      <c r="S9" s="66"/>
      <c r="T9" s="154"/>
      <c r="V9" s="2">
        <f t="shared" si="0"/>
        <v>0</v>
      </c>
      <c r="W9" s="2" t="str">
        <f t="shared" si="1"/>
        <v/>
      </c>
      <c r="X9" s="2" t="str">
        <f t="shared" si="2"/>
        <v/>
      </c>
      <c r="Y9" s="2" t="str">
        <f t="shared" si="3"/>
        <v/>
      </c>
      <c r="Z9" s="2" t="str">
        <f t="shared" si="4"/>
        <v/>
      </c>
      <c r="AA9" s="144">
        <f>IF(SUM(V9:Z9)=0,0,Setup!F$44/SUM(V9:Z9))</f>
        <v>0</v>
      </c>
    </row>
    <row r="10" spans="1:27" x14ac:dyDescent="0.2">
      <c r="A10" s="22" t="str">
        <f>Matchups!F7</f>
        <v>Brian S</v>
      </c>
      <c r="B10" s="118">
        <v>6</v>
      </c>
      <c r="C10" s="119">
        <v>7</v>
      </c>
      <c r="D10" s="119">
        <v>7</v>
      </c>
      <c r="E10" s="119">
        <v>5</v>
      </c>
      <c r="F10" s="119">
        <v>7</v>
      </c>
      <c r="G10" s="119">
        <v>4</v>
      </c>
      <c r="H10" s="119">
        <v>5</v>
      </c>
      <c r="I10" s="119">
        <v>4</v>
      </c>
      <c r="J10" s="120">
        <v>5</v>
      </c>
      <c r="K10" s="8">
        <f t="shared" si="5"/>
        <v>50</v>
      </c>
      <c r="M10" s="91" t="str">
        <f>A26</f>
        <v>Brian P</v>
      </c>
      <c r="N10" s="8">
        <f>K26</f>
        <v>42</v>
      </c>
      <c r="O10" s="8">
        <f>K102</f>
        <v>2</v>
      </c>
      <c r="P10" s="164"/>
      <c r="Q10" s="66"/>
      <c r="R10" s="66"/>
      <c r="S10" s="66"/>
      <c r="T10" s="154"/>
      <c r="V10" s="2">
        <f t="shared" si="0"/>
        <v>0</v>
      </c>
      <c r="W10" s="2" t="str">
        <f t="shared" si="1"/>
        <v/>
      </c>
      <c r="X10" s="2" t="str">
        <f t="shared" si="2"/>
        <v/>
      </c>
      <c r="Y10" s="2" t="str">
        <f t="shared" si="3"/>
        <v/>
      </c>
      <c r="Z10" s="2" t="str">
        <f t="shared" si="4"/>
        <v/>
      </c>
      <c r="AA10" s="144">
        <f>IF(SUM(V10:Z10)=0,0,Setup!F$44/SUM(V10:Z10))</f>
        <v>0</v>
      </c>
    </row>
    <row r="11" spans="1:27" hidden="1" x14ac:dyDescent="0.2">
      <c r="A11" s="22">
        <f>Matchups!F8</f>
        <v>13</v>
      </c>
      <c r="B11" s="118"/>
      <c r="C11" s="119"/>
      <c r="D11" s="119"/>
      <c r="E11" s="119"/>
      <c r="F11" s="119"/>
      <c r="G11" s="119"/>
      <c r="H11" s="119"/>
      <c r="I11" s="119"/>
      <c r="J11" s="120"/>
      <c r="K11" s="8"/>
      <c r="M11" s="91"/>
      <c r="N11" s="8"/>
      <c r="O11" s="8"/>
      <c r="P11" s="164"/>
      <c r="Q11" s="66"/>
      <c r="R11" s="66"/>
      <c r="S11" s="66"/>
      <c r="T11" s="154"/>
      <c r="V11" s="2">
        <f t="shared" si="0"/>
        <v>0</v>
      </c>
      <c r="W11" s="2" t="str">
        <f t="shared" si="1"/>
        <v/>
      </c>
      <c r="X11" s="2" t="str">
        <f t="shared" si="2"/>
        <v/>
      </c>
      <c r="Y11" s="2" t="str">
        <f t="shared" si="3"/>
        <v/>
      </c>
      <c r="Z11" s="2" t="str">
        <f t="shared" si="4"/>
        <v/>
      </c>
      <c r="AA11" s="144">
        <f>IF(SUM(V11:Z11)=0,0,Setup!F$44/SUM(V11:Z11))</f>
        <v>0</v>
      </c>
    </row>
    <row r="12" spans="1:27" ht="13.5" thickBot="1" x14ac:dyDescent="0.25">
      <c r="A12" s="23" t="str">
        <f>Matchups!F9</f>
        <v xml:space="preserve">Pat </v>
      </c>
      <c r="B12" s="121">
        <v>5</v>
      </c>
      <c r="C12" s="122">
        <v>5</v>
      </c>
      <c r="D12" s="122">
        <v>4</v>
      </c>
      <c r="E12" s="122">
        <v>4</v>
      </c>
      <c r="F12" s="122">
        <v>5</v>
      </c>
      <c r="G12" s="122">
        <v>5</v>
      </c>
      <c r="H12" s="122">
        <v>5</v>
      </c>
      <c r="I12" s="122">
        <v>5</v>
      </c>
      <c r="J12" s="123">
        <v>7</v>
      </c>
      <c r="K12" s="11">
        <f t="shared" si="5"/>
        <v>45</v>
      </c>
      <c r="M12" s="91" t="str">
        <f>A12</f>
        <v xml:space="preserve">Pat </v>
      </c>
      <c r="N12" s="8">
        <f>K12</f>
        <v>45</v>
      </c>
      <c r="O12" s="8">
        <f>K63</f>
        <v>0</v>
      </c>
      <c r="P12" s="164"/>
      <c r="Q12" s="66"/>
      <c r="R12" s="66"/>
      <c r="S12" s="66"/>
      <c r="T12" s="154"/>
      <c r="V12" s="2">
        <f t="shared" si="0"/>
        <v>0</v>
      </c>
      <c r="W12" s="2" t="str">
        <f t="shared" si="1"/>
        <v/>
      </c>
      <c r="X12" s="2" t="str">
        <f t="shared" si="2"/>
        <v/>
      </c>
      <c r="Y12" s="2" t="str">
        <f t="shared" si="3"/>
        <v/>
      </c>
      <c r="Z12" s="2" t="str">
        <f t="shared" si="4"/>
        <v/>
      </c>
      <c r="AA12" s="144">
        <f>IF(SUM(V12:Z12)=0,0,Setup!F$44/SUM(V12:Z12))</f>
        <v>0</v>
      </c>
    </row>
    <row r="13" spans="1:27" ht="13.5" hidden="1" thickBot="1" x14ac:dyDescent="0.25">
      <c r="A13" s="686">
        <f>Matchups!F10</f>
        <v>6</v>
      </c>
      <c r="B13" s="124"/>
      <c r="C13" s="125"/>
      <c r="D13" s="125"/>
      <c r="E13" s="125"/>
      <c r="F13" s="125"/>
      <c r="G13" s="125"/>
      <c r="H13" s="125"/>
      <c r="I13" s="125"/>
      <c r="J13" s="126"/>
      <c r="K13" s="89"/>
      <c r="M13" s="133"/>
      <c r="N13" s="70"/>
      <c r="O13" s="70"/>
      <c r="P13" s="165"/>
      <c r="Q13" s="155"/>
      <c r="R13" s="155"/>
      <c r="S13" s="155"/>
      <c r="T13" s="156"/>
      <c r="V13" s="2">
        <f t="shared" si="0"/>
        <v>0</v>
      </c>
      <c r="W13" s="2" t="str">
        <f t="shared" si="1"/>
        <v/>
      </c>
      <c r="X13" s="2" t="str">
        <f t="shared" si="2"/>
        <v/>
      </c>
      <c r="Y13" s="2" t="str">
        <f t="shared" si="3"/>
        <v/>
      </c>
      <c r="Z13" s="2" t="str">
        <f t="shared" si="4"/>
        <v/>
      </c>
      <c r="AA13" s="144">
        <f>IF(SUM(V13:Z13)=0,0,Setup!F$44/SUM(V13:Z13))</f>
        <v>0</v>
      </c>
    </row>
    <row r="14" spans="1:27" x14ac:dyDescent="0.2">
      <c r="A14" s="21" t="str">
        <f>Matchups!F11</f>
        <v>Mil</v>
      </c>
      <c r="B14" s="339">
        <v>6</v>
      </c>
      <c r="C14" s="116">
        <v>4</v>
      </c>
      <c r="D14" s="116">
        <v>6</v>
      </c>
      <c r="E14" s="116">
        <v>4</v>
      </c>
      <c r="F14" s="116">
        <v>6</v>
      </c>
      <c r="G14" s="116">
        <v>4</v>
      </c>
      <c r="H14" s="116">
        <v>5</v>
      </c>
      <c r="I14" s="116">
        <v>5</v>
      </c>
      <c r="J14" s="117">
        <v>6</v>
      </c>
      <c r="K14" s="12">
        <f t="shared" si="5"/>
        <v>46</v>
      </c>
      <c r="M14" s="226" t="str">
        <f>A8</f>
        <v>Rick</v>
      </c>
      <c r="N14" s="5">
        <f>K8</f>
        <v>44</v>
      </c>
      <c r="O14" s="12">
        <f>K57</f>
        <v>2</v>
      </c>
      <c r="P14" s="297"/>
      <c r="Q14" s="65"/>
      <c r="R14" s="65"/>
      <c r="S14" s="65"/>
      <c r="T14" s="153"/>
      <c r="V14" s="2">
        <f t="shared" si="0"/>
        <v>0</v>
      </c>
      <c r="W14" s="2" t="str">
        <f t="shared" si="1"/>
        <v/>
      </c>
      <c r="X14" s="2" t="str">
        <f t="shared" si="2"/>
        <v/>
      </c>
      <c r="Y14" s="2" t="str">
        <f t="shared" si="3"/>
        <v/>
      </c>
      <c r="Z14" s="2" t="str">
        <f t="shared" si="4"/>
        <v/>
      </c>
      <c r="AA14" s="144">
        <f>IF(SUM(V14:Z14)=0,0,Setup!F$44/SUM(V14:Z14))</f>
        <v>0</v>
      </c>
    </row>
    <row r="15" spans="1:27" hidden="1" x14ac:dyDescent="0.2">
      <c r="A15" s="22">
        <f>Matchups!F12</f>
        <v>6</v>
      </c>
      <c r="B15" s="341"/>
      <c r="C15" s="119"/>
      <c r="D15" s="119"/>
      <c r="E15" s="119"/>
      <c r="F15" s="119"/>
      <c r="G15" s="119"/>
      <c r="H15" s="119"/>
      <c r="I15" s="119"/>
      <c r="J15" s="120"/>
      <c r="K15" s="13"/>
      <c r="M15" s="227"/>
      <c r="N15" s="8"/>
      <c r="O15" s="13"/>
      <c r="P15" s="191"/>
      <c r="Q15" s="66"/>
      <c r="R15" s="66"/>
      <c r="S15" s="66"/>
      <c r="T15" s="154"/>
      <c r="V15" s="2">
        <f t="shared" si="0"/>
        <v>0</v>
      </c>
      <c r="W15" s="2" t="str">
        <f t="shared" si="1"/>
        <v/>
      </c>
      <c r="X15" s="2" t="str">
        <f t="shared" si="2"/>
        <v/>
      </c>
      <c r="Y15" s="2" t="str">
        <f t="shared" si="3"/>
        <v/>
      </c>
      <c r="Z15" s="2" t="str">
        <f t="shared" si="4"/>
        <v/>
      </c>
      <c r="AA15" s="144">
        <f>IF(SUM(V15:Z15)=0,0,Setup!F$44/SUM(V15:Z15))</f>
        <v>0</v>
      </c>
    </row>
    <row r="16" spans="1:27" x14ac:dyDescent="0.2">
      <c r="A16" s="22" t="str">
        <f>Matchups!F13</f>
        <v>Hunter</v>
      </c>
      <c r="B16" s="341">
        <v>6</v>
      </c>
      <c r="C16" s="119">
        <v>4</v>
      </c>
      <c r="D16" s="119">
        <v>4</v>
      </c>
      <c r="E16" s="119">
        <v>4</v>
      </c>
      <c r="F16" s="119">
        <v>6</v>
      </c>
      <c r="G16" s="119">
        <v>4</v>
      </c>
      <c r="H16" s="119">
        <v>4</v>
      </c>
      <c r="I16" s="119">
        <v>6</v>
      </c>
      <c r="J16" s="120">
        <v>6</v>
      </c>
      <c r="K16" s="13">
        <f t="shared" si="5"/>
        <v>44</v>
      </c>
      <c r="M16" s="227" t="str">
        <f>A22</f>
        <v>Keith</v>
      </c>
      <c r="N16" s="8">
        <f>K22</f>
        <v>54</v>
      </c>
      <c r="O16" s="13">
        <f>K96</f>
        <v>0</v>
      </c>
      <c r="P16" s="191"/>
      <c r="Q16" s="66"/>
      <c r="R16" s="66"/>
      <c r="S16" s="66"/>
      <c r="T16" s="154"/>
      <c r="V16" s="2">
        <f t="shared" si="0"/>
        <v>0</v>
      </c>
      <c r="W16" s="2" t="str">
        <f t="shared" si="1"/>
        <v/>
      </c>
      <c r="X16" s="2" t="str">
        <f t="shared" si="2"/>
        <v/>
      </c>
      <c r="Y16" s="2" t="str">
        <f t="shared" si="3"/>
        <v/>
      </c>
      <c r="Z16" s="2" t="str">
        <f t="shared" si="4"/>
        <v/>
      </c>
      <c r="AA16" s="144">
        <f>IF(SUM(V16:Z16)=0,0,Setup!F$44/SUM(V16:Z16))</f>
        <v>0</v>
      </c>
    </row>
    <row r="17" spans="1:27" hidden="1" x14ac:dyDescent="0.2">
      <c r="A17" s="22">
        <f>Matchups!F14</f>
        <v>7</v>
      </c>
      <c r="B17" s="341"/>
      <c r="C17" s="119"/>
      <c r="D17" s="119"/>
      <c r="E17" s="119"/>
      <c r="F17" s="119"/>
      <c r="G17" s="119"/>
      <c r="H17" s="119"/>
      <c r="I17" s="119"/>
      <c r="J17" s="120"/>
      <c r="K17" s="13"/>
      <c r="M17" s="227"/>
      <c r="N17" s="8"/>
      <c r="O17" s="13"/>
      <c r="P17" s="191"/>
      <c r="Q17" s="66"/>
      <c r="R17" s="66"/>
      <c r="S17" s="66"/>
      <c r="T17" s="154"/>
      <c r="V17" s="2">
        <f t="shared" si="0"/>
        <v>0</v>
      </c>
      <c r="W17" s="2" t="str">
        <f t="shared" si="1"/>
        <v/>
      </c>
      <c r="X17" s="2" t="str">
        <f t="shared" si="2"/>
        <v/>
      </c>
      <c r="Y17" s="2" t="str">
        <f t="shared" si="3"/>
        <v/>
      </c>
      <c r="Z17" s="2" t="str">
        <f t="shared" si="4"/>
        <v/>
      </c>
      <c r="AA17" s="144">
        <f>IF(SUM(V17:Z17)=0,0,Setup!F$44/SUM(V17:Z17))</f>
        <v>0</v>
      </c>
    </row>
    <row r="18" spans="1:27" x14ac:dyDescent="0.2">
      <c r="A18" s="22" t="str">
        <f>Matchups!F15</f>
        <v>Patrick</v>
      </c>
      <c r="B18" s="341">
        <v>7</v>
      </c>
      <c r="C18" s="119">
        <v>6</v>
      </c>
      <c r="D18" s="119">
        <v>4</v>
      </c>
      <c r="E18" s="119">
        <v>3</v>
      </c>
      <c r="F18" s="119">
        <v>7</v>
      </c>
      <c r="G18" s="119">
        <v>6</v>
      </c>
      <c r="H18" s="119">
        <v>6</v>
      </c>
      <c r="I18" s="119">
        <v>6</v>
      </c>
      <c r="J18" s="120">
        <v>7</v>
      </c>
      <c r="K18" s="13">
        <f t="shared" si="5"/>
        <v>52</v>
      </c>
      <c r="M18" s="227" t="str">
        <f>A34</f>
        <v>Tony W</v>
      </c>
      <c r="N18" s="8">
        <f>K34</f>
        <v>54</v>
      </c>
      <c r="O18" s="13">
        <f>K128</f>
        <v>0</v>
      </c>
      <c r="P18" s="191"/>
      <c r="Q18" s="66"/>
      <c r="R18" s="66"/>
      <c r="S18" s="66"/>
      <c r="T18" s="154"/>
      <c r="V18" s="2">
        <f t="shared" si="0"/>
        <v>0</v>
      </c>
      <c r="W18" s="2" t="str">
        <f t="shared" si="1"/>
        <v/>
      </c>
      <c r="X18" s="2" t="str">
        <f t="shared" si="2"/>
        <v/>
      </c>
      <c r="Y18" s="2" t="str">
        <f t="shared" si="3"/>
        <v/>
      </c>
      <c r="Z18" s="2" t="str">
        <f t="shared" si="4"/>
        <v/>
      </c>
      <c r="AA18" s="144">
        <f>IF(SUM(V18:Z18)=0,0,Setup!F$44/SUM(V18:Z18))</f>
        <v>0</v>
      </c>
    </row>
    <row r="19" spans="1:27" hidden="1" x14ac:dyDescent="0.2">
      <c r="A19" s="409">
        <f>Matchups!F16</f>
        <v>8</v>
      </c>
      <c r="B19" s="342"/>
      <c r="C19" s="337"/>
      <c r="D19" s="337"/>
      <c r="E19" s="337"/>
      <c r="F19" s="337"/>
      <c r="G19" s="337"/>
      <c r="H19" s="337"/>
      <c r="I19" s="337"/>
      <c r="J19" s="338"/>
      <c r="K19" s="229"/>
      <c r="M19" s="334"/>
      <c r="N19" s="70"/>
      <c r="O19" s="229"/>
      <c r="P19" s="404"/>
      <c r="Q19" s="155"/>
      <c r="R19" s="155"/>
      <c r="S19" s="155"/>
      <c r="T19" s="156"/>
      <c r="V19" s="2">
        <f t="shared" si="0"/>
        <v>0</v>
      </c>
      <c r="W19" s="2" t="str">
        <f t="shared" si="1"/>
        <v/>
      </c>
      <c r="X19" s="2" t="str">
        <f t="shared" si="2"/>
        <v/>
      </c>
      <c r="Y19" s="2" t="str">
        <f t="shared" si="3"/>
        <v/>
      </c>
      <c r="Z19" s="2" t="str">
        <f t="shared" si="4"/>
        <v/>
      </c>
      <c r="AA19" s="144">
        <f>IF(SUM(V19:Z19)=0,0,Setup!F$44/SUM(V19:Z19))</f>
        <v>0</v>
      </c>
    </row>
    <row r="20" spans="1:27" ht="13.5" thickBot="1" x14ac:dyDescent="0.25">
      <c r="A20" s="22" t="str">
        <f>Matchups!F17</f>
        <v>Manny</v>
      </c>
      <c r="B20" s="341">
        <v>7</v>
      </c>
      <c r="C20" s="119">
        <v>6</v>
      </c>
      <c r="D20" s="119">
        <v>4</v>
      </c>
      <c r="E20" s="119">
        <v>8</v>
      </c>
      <c r="F20" s="119">
        <v>8</v>
      </c>
      <c r="G20" s="119">
        <v>5</v>
      </c>
      <c r="H20" s="119">
        <v>9</v>
      </c>
      <c r="I20" s="119">
        <v>6</v>
      </c>
      <c r="J20" s="120">
        <v>8</v>
      </c>
      <c r="K20" s="13">
        <f t="shared" si="5"/>
        <v>61</v>
      </c>
      <c r="M20" s="227" t="str">
        <f>A20</f>
        <v>Manny</v>
      </c>
      <c r="N20" s="8">
        <f>K20</f>
        <v>61</v>
      </c>
      <c r="O20" s="13">
        <f>K89</f>
        <v>0</v>
      </c>
      <c r="P20" s="191"/>
      <c r="Q20" s="66"/>
      <c r="R20" s="66"/>
      <c r="S20" s="66">
        <v>1</v>
      </c>
      <c r="T20" s="154"/>
      <c r="V20" s="2">
        <f t="shared" si="0"/>
        <v>1</v>
      </c>
      <c r="W20" s="2" t="str">
        <f t="shared" si="1"/>
        <v/>
      </c>
      <c r="X20" s="2" t="str">
        <f t="shared" si="2"/>
        <v/>
      </c>
      <c r="Y20" s="2" t="str">
        <f t="shared" si="3"/>
        <v/>
      </c>
      <c r="Z20" s="2" t="str">
        <f t="shared" si="4"/>
        <v/>
      </c>
      <c r="AA20" s="144">
        <f>IF(SUM(V20:Z20)=0,0,Setup!F$44/SUM(V20:Z20))</f>
        <v>20</v>
      </c>
    </row>
    <row r="21" spans="1:27" ht="13.5" hidden="1" thickBot="1" x14ac:dyDescent="0.25">
      <c r="A21" s="409">
        <f>Matchups!F18</f>
        <v>14</v>
      </c>
      <c r="B21" s="342"/>
      <c r="C21" s="337"/>
      <c r="D21" s="337"/>
      <c r="E21" s="337"/>
      <c r="F21" s="337"/>
      <c r="G21" s="337"/>
      <c r="H21" s="337"/>
      <c r="I21" s="337"/>
      <c r="J21" s="338"/>
      <c r="K21" s="229"/>
      <c r="M21" s="334"/>
      <c r="N21" s="70"/>
      <c r="O21" s="229"/>
      <c r="P21" s="404"/>
      <c r="Q21" s="155"/>
      <c r="R21" s="155"/>
      <c r="S21" s="155"/>
      <c r="T21" s="156"/>
      <c r="V21" s="2">
        <f t="shared" si="0"/>
        <v>0</v>
      </c>
      <c r="W21" s="2" t="str">
        <f t="shared" si="1"/>
        <v/>
      </c>
      <c r="X21" s="2" t="str">
        <f t="shared" si="2"/>
        <v/>
      </c>
      <c r="Y21" s="2" t="str">
        <f t="shared" si="3"/>
        <v/>
      </c>
      <c r="Z21" s="2" t="str">
        <f t="shared" si="4"/>
        <v/>
      </c>
      <c r="AA21" s="144">
        <f>IF(SUM(V21:Z21)=0,0,Setup!F$44/SUM(V21:Z21))</f>
        <v>0</v>
      </c>
    </row>
    <row r="22" spans="1:27" x14ac:dyDescent="0.2">
      <c r="A22" s="21" t="str">
        <f>Matchups!F19</f>
        <v>Keith</v>
      </c>
      <c r="B22" s="339">
        <v>6</v>
      </c>
      <c r="C22" s="116">
        <v>7</v>
      </c>
      <c r="D22" s="116">
        <v>7</v>
      </c>
      <c r="E22" s="116">
        <v>6</v>
      </c>
      <c r="F22" s="116">
        <v>7</v>
      </c>
      <c r="G22" s="116">
        <v>5</v>
      </c>
      <c r="H22" s="116">
        <v>5</v>
      </c>
      <c r="I22" s="116">
        <v>4</v>
      </c>
      <c r="J22" s="117">
        <v>7</v>
      </c>
      <c r="K22" s="12">
        <f t="shared" si="5"/>
        <v>54</v>
      </c>
      <c r="M22" s="226" t="str">
        <f>A28</f>
        <v>Tommy</v>
      </c>
      <c r="N22" s="5">
        <f>K28</f>
        <v>43</v>
      </c>
      <c r="O22" s="12">
        <f>K115</f>
        <v>0</v>
      </c>
      <c r="P22" s="297"/>
      <c r="Q22" s="65"/>
      <c r="R22" s="65"/>
      <c r="S22" s="65"/>
      <c r="T22" s="153"/>
      <c r="V22" s="2">
        <f t="shared" si="0"/>
        <v>0</v>
      </c>
      <c r="W22" s="2" t="str">
        <f t="shared" si="1"/>
        <v/>
      </c>
      <c r="X22" s="2" t="str">
        <f t="shared" si="2"/>
        <v/>
      </c>
      <c r="Y22" s="2" t="str">
        <f t="shared" si="3"/>
        <v/>
      </c>
      <c r="Z22" s="2" t="str">
        <f t="shared" si="4"/>
        <v/>
      </c>
      <c r="AA22" s="144">
        <f>IF(SUM(V22:Z22)=0,0,Setup!F$44/SUM(V22:Z22))</f>
        <v>0</v>
      </c>
    </row>
    <row r="23" spans="1:27" hidden="1" x14ac:dyDescent="0.2">
      <c r="A23" s="22">
        <f>Matchups!F20</f>
        <v>16</v>
      </c>
      <c r="B23" s="341"/>
      <c r="C23" s="119"/>
      <c r="D23" s="119"/>
      <c r="E23" s="119"/>
      <c r="F23" s="119"/>
      <c r="G23" s="119"/>
      <c r="H23" s="119"/>
      <c r="I23" s="119"/>
      <c r="J23" s="120"/>
      <c r="K23" s="13"/>
      <c r="M23" s="227"/>
      <c r="N23" s="8"/>
      <c r="O23" s="13"/>
      <c r="P23" s="191"/>
      <c r="Q23" s="66"/>
      <c r="R23" s="66"/>
      <c r="S23" s="66"/>
      <c r="T23" s="154"/>
      <c r="V23" s="2">
        <f t="shared" si="0"/>
        <v>0</v>
      </c>
      <c r="W23" s="2" t="str">
        <f t="shared" si="1"/>
        <v/>
      </c>
      <c r="X23" s="2" t="str">
        <f t="shared" si="2"/>
        <v/>
      </c>
      <c r="Y23" s="2" t="str">
        <f t="shared" si="3"/>
        <v/>
      </c>
      <c r="Z23" s="2" t="str">
        <f t="shared" si="4"/>
        <v/>
      </c>
      <c r="AA23" s="144">
        <f>IF(SUM(V23:Z23)=0,0,Setup!F$44/SUM(V23:Z23))</f>
        <v>0</v>
      </c>
    </row>
    <row r="24" spans="1:27" x14ac:dyDescent="0.2">
      <c r="A24" s="22" t="str">
        <f>Matchups!F21</f>
        <v>Chris</v>
      </c>
      <c r="B24" s="341">
        <v>8</v>
      </c>
      <c r="C24" s="119">
        <v>4</v>
      </c>
      <c r="D24" s="119">
        <v>7</v>
      </c>
      <c r="E24" s="119">
        <v>5</v>
      </c>
      <c r="F24" s="119">
        <v>6</v>
      </c>
      <c r="G24" s="119">
        <v>7</v>
      </c>
      <c r="H24" s="119">
        <v>6</v>
      </c>
      <c r="I24" s="119">
        <v>4</v>
      </c>
      <c r="J24" s="120">
        <v>6</v>
      </c>
      <c r="K24" s="13">
        <f t="shared" si="5"/>
        <v>53</v>
      </c>
      <c r="M24" s="227" t="str">
        <f>A6</f>
        <v>Dave</v>
      </c>
      <c r="N24" s="8">
        <f>K6</f>
        <v>44</v>
      </c>
      <c r="O24" s="13">
        <f>K44</f>
        <v>0</v>
      </c>
      <c r="P24" s="191"/>
      <c r="Q24" s="66"/>
      <c r="R24" s="66"/>
      <c r="S24" s="66"/>
      <c r="T24" s="154"/>
      <c r="V24" s="2">
        <f t="shared" si="0"/>
        <v>0</v>
      </c>
      <c r="W24" s="2" t="str">
        <f t="shared" si="1"/>
        <v/>
      </c>
      <c r="X24" s="2" t="str">
        <f t="shared" si="2"/>
        <v/>
      </c>
      <c r="Y24" s="2" t="str">
        <f t="shared" si="3"/>
        <v/>
      </c>
      <c r="Z24" s="2" t="str">
        <f t="shared" si="4"/>
        <v/>
      </c>
      <c r="AA24" s="144">
        <f>IF(SUM(V24:Z24)=0,0,Setup!F$44/SUM(V24:Z24))</f>
        <v>0</v>
      </c>
    </row>
    <row r="25" spans="1:27" hidden="1" x14ac:dyDescent="0.2">
      <c r="A25" s="22">
        <f>Matchups!F22</f>
        <v>15</v>
      </c>
      <c r="B25" s="341"/>
      <c r="C25" s="119"/>
      <c r="D25" s="119"/>
      <c r="E25" s="119"/>
      <c r="F25" s="119"/>
      <c r="G25" s="119"/>
      <c r="H25" s="119"/>
      <c r="I25" s="119"/>
      <c r="J25" s="120"/>
      <c r="K25" s="13"/>
      <c r="M25" s="227"/>
      <c r="N25" s="8"/>
      <c r="O25" s="13"/>
      <c r="P25" s="191"/>
      <c r="Q25" s="66"/>
      <c r="R25" s="66"/>
      <c r="S25" s="66"/>
      <c r="T25" s="154"/>
      <c r="V25" s="2">
        <f t="shared" si="0"/>
        <v>0</v>
      </c>
      <c r="W25" s="2" t="str">
        <f t="shared" si="1"/>
        <v/>
      </c>
      <c r="X25" s="2" t="str">
        <f t="shared" si="2"/>
        <v/>
      </c>
      <c r="Y25" s="2" t="str">
        <f t="shared" si="3"/>
        <v/>
      </c>
      <c r="Z25" s="2" t="str">
        <f t="shared" si="4"/>
        <v/>
      </c>
      <c r="AA25" s="144">
        <f>IF(SUM(V25:Z25)=0,0,Setup!F$44/SUM(V25:Z25))</f>
        <v>0</v>
      </c>
    </row>
    <row r="26" spans="1:27" x14ac:dyDescent="0.2">
      <c r="A26" s="22" t="str">
        <f>Matchups!F23</f>
        <v>Brian P</v>
      </c>
      <c r="B26" s="341">
        <v>8</v>
      </c>
      <c r="C26" s="119">
        <v>5</v>
      </c>
      <c r="D26" s="119">
        <v>4</v>
      </c>
      <c r="E26" s="119">
        <v>3</v>
      </c>
      <c r="F26" s="119">
        <v>5</v>
      </c>
      <c r="G26" s="119">
        <v>5</v>
      </c>
      <c r="H26" s="119">
        <v>4</v>
      </c>
      <c r="I26" s="119">
        <v>3</v>
      </c>
      <c r="J26" s="120">
        <v>5</v>
      </c>
      <c r="K26" s="13">
        <f t="shared" si="5"/>
        <v>42</v>
      </c>
      <c r="M26" s="227" t="str">
        <f>A16</f>
        <v>Hunter</v>
      </c>
      <c r="N26" s="8">
        <f>K16</f>
        <v>44</v>
      </c>
      <c r="O26" s="13">
        <f>K83</f>
        <v>2</v>
      </c>
      <c r="P26" s="191"/>
      <c r="Q26" s="66"/>
      <c r="R26" s="66"/>
      <c r="S26" s="66"/>
      <c r="T26" s="154"/>
      <c r="V26" s="2">
        <f t="shared" si="0"/>
        <v>0</v>
      </c>
      <c r="W26" s="2" t="str">
        <f t="shared" si="1"/>
        <v/>
      </c>
      <c r="X26" s="2" t="str">
        <f t="shared" si="2"/>
        <v/>
      </c>
      <c r="Y26" s="2" t="str">
        <f t="shared" si="3"/>
        <v/>
      </c>
      <c r="Z26" s="2" t="str">
        <f t="shared" si="4"/>
        <v/>
      </c>
      <c r="AA26" s="144">
        <f>IF(SUM(V26:Z26)=0,0,Setup!F$44/SUM(V26:Z26))</f>
        <v>0</v>
      </c>
    </row>
    <row r="27" spans="1:27" hidden="1" x14ac:dyDescent="0.2">
      <c r="A27" s="22">
        <f>Matchups!F24</f>
        <v>6</v>
      </c>
      <c r="B27" s="341"/>
      <c r="C27" s="119"/>
      <c r="D27" s="119"/>
      <c r="E27" s="119"/>
      <c r="F27" s="119"/>
      <c r="G27" s="119"/>
      <c r="H27" s="119"/>
      <c r="I27" s="119"/>
      <c r="J27" s="120"/>
      <c r="K27" s="13"/>
      <c r="M27" s="227"/>
      <c r="N27" s="8"/>
      <c r="O27" s="13"/>
      <c r="P27" s="191"/>
      <c r="Q27" s="66"/>
      <c r="R27" s="66"/>
      <c r="S27" s="66"/>
      <c r="T27" s="154"/>
      <c r="V27" s="2">
        <f t="shared" si="0"/>
        <v>0</v>
      </c>
      <c r="W27" s="2" t="str">
        <f t="shared" si="1"/>
        <v/>
      </c>
      <c r="X27" s="2" t="str">
        <f t="shared" si="2"/>
        <v/>
      </c>
      <c r="Y27" s="2" t="str">
        <f t="shared" si="3"/>
        <v/>
      </c>
      <c r="Z27" s="2" t="str">
        <f t="shared" si="4"/>
        <v/>
      </c>
      <c r="AA27" s="144">
        <f>IF(SUM(V27:Z27)=0,0,Setup!F$44/SUM(V27:Z27))</f>
        <v>0</v>
      </c>
    </row>
    <row r="28" spans="1:27" ht="13.5" thickBot="1" x14ac:dyDescent="0.25">
      <c r="A28" s="23" t="str">
        <f>Matchups!F25</f>
        <v>Tommy</v>
      </c>
      <c r="B28" s="343">
        <v>3</v>
      </c>
      <c r="C28" s="122">
        <v>5</v>
      </c>
      <c r="D28" s="122">
        <v>4</v>
      </c>
      <c r="E28" s="122">
        <v>7</v>
      </c>
      <c r="F28" s="122">
        <v>6</v>
      </c>
      <c r="G28" s="122">
        <v>3</v>
      </c>
      <c r="H28" s="122">
        <v>4</v>
      </c>
      <c r="I28" s="122">
        <v>5</v>
      </c>
      <c r="J28" s="123">
        <v>6</v>
      </c>
      <c r="K28" s="14">
        <f t="shared" si="5"/>
        <v>43</v>
      </c>
      <c r="M28" s="228" t="str">
        <f>A30</f>
        <v>Gerald C</v>
      </c>
      <c r="N28" s="11">
        <f>K30</f>
        <v>53</v>
      </c>
      <c r="O28" s="14">
        <f>K122</f>
        <v>2</v>
      </c>
      <c r="P28" s="192"/>
      <c r="Q28" s="67"/>
      <c r="R28" s="67"/>
      <c r="S28" s="67"/>
      <c r="T28" s="157"/>
      <c r="V28" s="2">
        <f t="shared" si="0"/>
        <v>0</v>
      </c>
      <c r="W28" s="2" t="str">
        <f t="shared" si="1"/>
        <v/>
      </c>
      <c r="X28" s="2" t="str">
        <f t="shared" si="2"/>
        <v/>
      </c>
      <c r="Y28" s="2" t="str">
        <f t="shared" si="3"/>
        <v/>
      </c>
      <c r="Z28" s="2" t="str">
        <f t="shared" si="4"/>
        <v/>
      </c>
      <c r="AA28" s="144">
        <f>IF(SUM(V28:Z28)=0,0,Setup!F$44/SUM(V28:Z28))</f>
        <v>0</v>
      </c>
    </row>
    <row r="29" spans="1:27" ht="13.5" hidden="1" thickBot="1" x14ac:dyDescent="0.25">
      <c r="A29" s="400">
        <f>Matchups!F26</f>
        <v>5</v>
      </c>
      <c r="B29" s="124"/>
      <c r="C29" s="125"/>
      <c r="D29" s="125"/>
      <c r="E29" s="125"/>
      <c r="F29" s="125"/>
      <c r="G29" s="125"/>
      <c r="H29" s="125"/>
      <c r="I29" s="125"/>
      <c r="J29" s="126"/>
      <c r="K29" s="250"/>
      <c r="M29" s="333"/>
      <c r="N29" s="89"/>
      <c r="O29" s="250"/>
      <c r="P29" s="558"/>
      <c r="Q29" s="394"/>
      <c r="R29" s="394"/>
      <c r="S29" s="394"/>
      <c r="T29" s="405"/>
      <c r="V29" s="2">
        <f t="shared" si="0"/>
        <v>0</v>
      </c>
      <c r="W29" s="2" t="str">
        <f t="shared" si="1"/>
        <v/>
      </c>
      <c r="X29" s="2" t="str">
        <f t="shared" si="2"/>
        <v/>
      </c>
      <c r="Y29" s="2" t="str">
        <f t="shared" si="3"/>
        <v/>
      </c>
      <c r="Z29" s="2" t="str">
        <f t="shared" si="4"/>
        <v/>
      </c>
      <c r="AA29" s="144">
        <f>IF(SUM(V29:Z29)=0,0,Setup!F$44/SUM(V29:Z29))</f>
        <v>0</v>
      </c>
    </row>
    <row r="30" spans="1:27" x14ac:dyDescent="0.2">
      <c r="A30" s="21" t="str">
        <f>Matchups!F27</f>
        <v>Gerald C</v>
      </c>
      <c r="B30" s="339">
        <v>5</v>
      </c>
      <c r="C30" s="116">
        <v>6</v>
      </c>
      <c r="D30" s="116">
        <v>6</v>
      </c>
      <c r="E30" s="116">
        <v>5</v>
      </c>
      <c r="F30" s="116">
        <v>9</v>
      </c>
      <c r="G30" s="116">
        <v>4</v>
      </c>
      <c r="H30" s="116">
        <v>7</v>
      </c>
      <c r="I30" s="116">
        <v>5</v>
      </c>
      <c r="J30" s="401">
        <v>6</v>
      </c>
      <c r="K30" s="5">
        <f>SUM(B30:J30)</f>
        <v>53</v>
      </c>
      <c r="M30" s="226" t="str">
        <f>A36</f>
        <v>Bob</v>
      </c>
      <c r="N30" s="5">
        <f>K36</f>
        <v>57</v>
      </c>
      <c r="O30" s="12">
        <f>K141</f>
        <v>0</v>
      </c>
      <c r="P30" s="297"/>
      <c r="Q30" s="65"/>
      <c r="R30" s="65"/>
      <c r="S30" s="65"/>
      <c r="T30" s="153"/>
      <c r="V30" s="2">
        <f t="shared" si="0"/>
        <v>0</v>
      </c>
      <c r="W30" s="2" t="str">
        <f t="shared" si="1"/>
        <v/>
      </c>
      <c r="X30" s="2" t="str">
        <f t="shared" si="2"/>
        <v/>
      </c>
      <c r="Y30" s="2" t="str">
        <f t="shared" si="3"/>
        <v/>
      </c>
      <c r="Z30" s="2" t="str">
        <f t="shared" si="4"/>
        <v/>
      </c>
      <c r="AA30" s="144">
        <f>IF(SUM(V30:Z30)=0,0,Setup!F$44/SUM(V30:Z30))</f>
        <v>0</v>
      </c>
    </row>
    <row r="31" spans="1:27" hidden="1" x14ac:dyDescent="0.2">
      <c r="A31" s="22">
        <f>Matchups!F28</f>
        <v>12</v>
      </c>
      <c r="B31" s="341"/>
      <c r="C31" s="119"/>
      <c r="D31" s="119"/>
      <c r="E31" s="119"/>
      <c r="F31" s="119"/>
      <c r="G31" s="119"/>
      <c r="H31" s="119"/>
      <c r="I31" s="119"/>
      <c r="J31" s="402"/>
      <c r="K31" s="8"/>
      <c r="M31" s="227"/>
      <c r="N31" s="8"/>
      <c r="O31" s="13"/>
      <c r="P31" s="191"/>
      <c r="Q31" s="66"/>
      <c r="R31" s="66"/>
      <c r="S31" s="66"/>
      <c r="T31" s="154"/>
      <c r="V31" s="2">
        <f t="shared" si="0"/>
        <v>0</v>
      </c>
      <c r="W31" s="2" t="str">
        <f t="shared" si="1"/>
        <v/>
      </c>
      <c r="X31" s="2" t="str">
        <f t="shared" si="2"/>
        <v/>
      </c>
      <c r="Y31" s="2" t="str">
        <f t="shared" si="3"/>
        <v/>
      </c>
      <c r="Z31" s="2" t="str">
        <f t="shared" si="4"/>
        <v/>
      </c>
      <c r="AA31" s="144">
        <f>IF(SUM(V31:Z31)=0,0,Setup!F$44/SUM(V31:Z31))</f>
        <v>0</v>
      </c>
    </row>
    <row r="32" spans="1:27" x14ac:dyDescent="0.2">
      <c r="A32" s="22" t="str">
        <f>Matchups!F29</f>
        <v>John</v>
      </c>
      <c r="B32" s="341">
        <v>5</v>
      </c>
      <c r="C32" s="119">
        <v>6</v>
      </c>
      <c r="D32" s="119">
        <v>5</v>
      </c>
      <c r="E32" s="119">
        <v>3</v>
      </c>
      <c r="F32" s="119">
        <v>5</v>
      </c>
      <c r="G32" s="119">
        <v>3</v>
      </c>
      <c r="H32" s="119">
        <v>5</v>
      </c>
      <c r="I32" s="119">
        <v>5</v>
      </c>
      <c r="J32" s="402">
        <v>5</v>
      </c>
      <c r="K32" s="8">
        <f>SUM(B32:J32)</f>
        <v>42</v>
      </c>
      <c r="M32" s="227" t="str">
        <f>A18</f>
        <v>Patrick</v>
      </c>
      <c r="N32" s="8">
        <f>K18</f>
        <v>52</v>
      </c>
      <c r="O32" s="13">
        <f>K76</f>
        <v>0</v>
      </c>
      <c r="P32" s="191"/>
      <c r="Q32" s="66"/>
      <c r="R32" s="66"/>
      <c r="S32" s="66"/>
      <c r="T32" s="154"/>
      <c r="V32" s="2">
        <f t="shared" si="0"/>
        <v>0</v>
      </c>
      <c r="W32" s="2" t="str">
        <f t="shared" si="1"/>
        <v/>
      </c>
      <c r="X32" s="2" t="str">
        <f t="shared" si="2"/>
        <v/>
      </c>
      <c r="Y32" s="2" t="str">
        <f t="shared" si="3"/>
        <v/>
      </c>
      <c r="Z32" s="2" t="str">
        <f t="shared" si="4"/>
        <v/>
      </c>
      <c r="AA32" s="144">
        <f>IF(SUM(V32:Z32)=0,0,Setup!F$44/SUM(V32:Z32))</f>
        <v>0</v>
      </c>
    </row>
    <row r="33" spans="1:27" hidden="1" x14ac:dyDescent="0.2">
      <c r="A33" s="22">
        <f>Matchups!F30</f>
        <v>7</v>
      </c>
      <c r="B33" s="341"/>
      <c r="C33" s="119"/>
      <c r="D33" s="119"/>
      <c r="E33" s="119"/>
      <c r="F33" s="119"/>
      <c r="G33" s="119"/>
      <c r="H33" s="119"/>
      <c r="I33" s="119"/>
      <c r="J33" s="402"/>
      <c r="K33" s="8"/>
      <c r="M33" s="227"/>
      <c r="N33" s="8"/>
      <c r="O33" s="13"/>
      <c r="P33" s="191"/>
      <c r="Q33" s="66"/>
      <c r="R33" s="66"/>
      <c r="S33" s="66"/>
      <c r="T33" s="154"/>
      <c r="V33" s="2">
        <f t="shared" si="0"/>
        <v>0</v>
      </c>
      <c r="W33" s="2" t="str">
        <f t="shared" si="1"/>
        <v/>
      </c>
      <c r="X33" s="2" t="str">
        <f t="shared" si="2"/>
        <v/>
      </c>
      <c r="Y33" s="2" t="str">
        <f t="shared" si="3"/>
        <v/>
      </c>
      <c r="Z33" s="2" t="str">
        <f t="shared" si="4"/>
        <v/>
      </c>
      <c r="AA33" s="144">
        <f>IF(SUM(V33:Z33)=0,0,Setup!F$44/SUM(V33:Z33))</f>
        <v>0</v>
      </c>
    </row>
    <row r="34" spans="1:27" x14ac:dyDescent="0.2">
      <c r="A34" s="22" t="str">
        <f>Matchups!F31</f>
        <v>Tony W</v>
      </c>
      <c r="B34" s="341">
        <v>8</v>
      </c>
      <c r="C34" s="119">
        <v>8</v>
      </c>
      <c r="D34" s="119">
        <v>6</v>
      </c>
      <c r="E34" s="119">
        <v>4</v>
      </c>
      <c r="F34" s="119">
        <v>7</v>
      </c>
      <c r="G34" s="119">
        <v>6</v>
      </c>
      <c r="H34" s="119">
        <v>4</v>
      </c>
      <c r="I34" s="119">
        <v>3</v>
      </c>
      <c r="J34" s="402">
        <v>8</v>
      </c>
      <c r="K34" s="8">
        <f>SUM(B34:J34)</f>
        <v>54</v>
      </c>
      <c r="L34" s="425"/>
      <c r="M34" s="227" t="str">
        <f>A10</f>
        <v>Brian S</v>
      </c>
      <c r="N34" s="528">
        <f>K10</f>
        <v>50</v>
      </c>
      <c r="O34" s="535">
        <f>K50</f>
        <v>2</v>
      </c>
      <c r="P34" s="191"/>
      <c r="Q34" s="66"/>
      <c r="R34" s="66"/>
      <c r="S34" s="66"/>
      <c r="T34" s="154"/>
      <c r="V34" s="2">
        <f t="shared" si="0"/>
        <v>0</v>
      </c>
      <c r="W34" s="2" t="str">
        <f t="shared" si="1"/>
        <v/>
      </c>
      <c r="X34" s="2" t="str">
        <f t="shared" si="2"/>
        <v/>
      </c>
      <c r="Y34" s="2" t="str">
        <f t="shared" si="3"/>
        <v/>
      </c>
      <c r="Z34" s="2" t="str">
        <f t="shared" si="4"/>
        <v/>
      </c>
      <c r="AA34" s="144">
        <f>IF(SUM(V34:Z34)=0,0,Setup!F$44/SUM(V34:Z34))</f>
        <v>0</v>
      </c>
    </row>
    <row r="35" spans="1:27" hidden="1" x14ac:dyDescent="0.2">
      <c r="A35" s="22">
        <f>Matchups!F32</f>
        <v>10</v>
      </c>
      <c r="B35" s="341"/>
      <c r="C35" s="119"/>
      <c r="D35" s="119"/>
      <c r="E35" s="119"/>
      <c r="F35" s="119"/>
      <c r="G35" s="119"/>
      <c r="H35" s="119"/>
      <c r="I35" s="119"/>
      <c r="J35" s="402"/>
      <c r="K35" s="545"/>
      <c r="L35" s="425"/>
      <c r="M35" s="227"/>
      <c r="N35" s="528"/>
      <c r="O35" s="535"/>
      <c r="P35" s="191"/>
      <c r="Q35" s="66"/>
      <c r="R35" s="66"/>
      <c r="S35" s="66"/>
      <c r="T35" s="154"/>
      <c r="V35" s="2">
        <f t="shared" si="0"/>
        <v>0</v>
      </c>
      <c r="W35" s="2" t="str">
        <f t="shared" si="1"/>
        <v/>
      </c>
      <c r="X35" s="2" t="str">
        <f t="shared" si="2"/>
        <v/>
      </c>
      <c r="Y35" s="2" t="str">
        <f t="shared" si="3"/>
        <v/>
      </c>
      <c r="Z35" s="2" t="str">
        <f t="shared" si="4"/>
        <v/>
      </c>
      <c r="AA35" s="144">
        <f>IF(SUM(V35:Z35)=0,0,Setup!F$44/SUM(V35:Z35))</f>
        <v>0</v>
      </c>
    </row>
    <row r="36" spans="1:27" ht="13.5" thickBot="1" x14ac:dyDescent="0.25">
      <c r="A36" s="23" t="str">
        <f>Matchups!F33</f>
        <v>Bob</v>
      </c>
      <c r="B36" s="343">
        <v>7</v>
      </c>
      <c r="C36" s="122">
        <v>6</v>
      </c>
      <c r="D36" s="122">
        <v>7</v>
      </c>
      <c r="E36" s="122">
        <v>5</v>
      </c>
      <c r="F36" s="122">
        <v>6</v>
      </c>
      <c r="G36" s="122">
        <v>4</v>
      </c>
      <c r="H36" s="122">
        <v>6</v>
      </c>
      <c r="I36" s="122">
        <v>6</v>
      </c>
      <c r="J36" s="403">
        <v>10</v>
      </c>
      <c r="K36" s="11">
        <f>SUM(B36:J36)</f>
        <v>57</v>
      </c>
      <c r="L36" s="425"/>
      <c r="M36" s="228" t="str">
        <f>A24</f>
        <v>Chris</v>
      </c>
      <c r="N36" s="529">
        <f>K24</f>
        <v>53</v>
      </c>
      <c r="O36" s="536">
        <f>K109</f>
        <v>2</v>
      </c>
      <c r="P36" s="192"/>
      <c r="Q36" s="67"/>
      <c r="R36" s="67"/>
      <c r="S36" s="67"/>
      <c r="T36" s="157"/>
      <c r="V36" s="2">
        <f t="shared" si="0"/>
        <v>0</v>
      </c>
      <c r="W36" s="2" t="str">
        <f t="shared" si="1"/>
        <v/>
      </c>
      <c r="X36" s="2" t="str">
        <f t="shared" si="2"/>
        <v/>
      </c>
      <c r="Y36" s="2" t="str">
        <f t="shared" si="3"/>
        <v/>
      </c>
      <c r="Z36" s="2" t="str">
        <f t="shared" si="4"/>
        <v/>
      </c>
      <c r="AA36" s="144">
        <f>IF(SUM(V36:Z36)=0,0,Setup!F$44/SUM(V36:Z36))</f>
        <v>0</v>
      </c>
    </row>
    <row r="37" spans="1:27" ht="13.5" hidden="1" thickBot="1" x14ac:dyDescent="0.25">
      <c r="A37" s="679">
        <f>Matchups!F34</f>
        <v>10</v>
      </c>
      <c r="B37" s="683"/>
      <c r="C37" s="684"/>
      <c r="D37" s="684"/>
      <c r="E37" s="684"/>
      <c r="F37" s="684"/>
      <c r="G37" s="684"/>
      <c r="H37" s="684"/>
      <c r="I37" s="684"/>
      <c r="J37" s="685"/>
      <c r="K37" s="546"/>
      <c r="L37" s="425"/>
      <c r="M37" s="333"/>
      <c r="N37" s="545"/>
      <c r="O37" s="525"/>
      <c r="P37" s="558"/>
      <c r="Q37" s="394"/>
      <c r="R37" s="394"/>
      <c r="S37" s="394"/>
      <c r="T37" s="405"/>
      <c r="V37" s="2">
        <f t="shared" si="0"/>
        <v>0</v>
      </c>
      <c r="W37" s="2" t="str">
        <f t="shared" si="1"/>
        <v/>
      </c>
      <c r="X37" s="2" t="str">
        <f t="shared" si="2"/>
        <v/>
      </c>
      <c r="Y37" s="2" t="str">
        <f t="shared" si="3"/>
        <v/>
      </c>
      <c r="Z37" s="2" t="str">
        <f t="shared" si="4"/>
        <v/>
      </c>
      <c r="AA37" s="144">
        <f>IF(SUM(V37:Z37)=0,0,Setup!F$44/SUM(V37:Z37))</f>
        <v>0</v>
      </c>
    </row>
    <row r="38" spans="1:27" x14ac:dyDescent="0.2">
      <c r="A38" s="26"/>
      <c r="B38" s="15"/>
      <c r="C38" s="15"/>
      <c r="D38" s="15"/>
      <c r="E38" s="15"/>
      <c r="F38" s="15"/>
      <c r="G38" s="15"/>
      <c r="H38" s="15"/>
      <c r="I38" s="15"/>
      <c r="J38" s="15"/>
      <c r="K38" s="15"/>
      <c r="AA38" s="139"/>
    </row>
    <row r="39" spans="1:27" x14ac:dyDescent="0.2">
      <c r="S39" s="52">
        <f>COUNTIF(S6:S37,1)</f>
        <v>1</v>
      </c>
    </row>
    <row r="40" spans="1:27" ht="13.5" thickBot="1" x14ac:dyDescent="0.25">
      <c r="A40" s="24" t="s">
        <v>8</v>
      </c>
    </row>
    <row r="41" spans="1:27" x14ac:dyDescent="0.2">
      <c r="A41" s="79" t="str">
        <f t="shared" ref="A41:J41" si="6">A6</f>
        <v>Dave</v>
      </c>
      <c r="B41" s="17">
        <f t="shared" si="6"/>
        <v>6</v>
      </c>
      <c r="C41" s="3">
        <f t="shared" si="6"/>
        <v>5</v>
      </c>
      <c r="D41" s="3">
        <f t="shared" si="6"/>
        <v>5</v>
      </c>
      <c r="E41" s="3">
        <f t="shared" si="6"/>
        <v>5</v>
      </c>
      <c r="F41" s="3">
        <f t="shared" si="6"/>
        <v>6</v>
      </c>
      <c r="G41" s="3">
        <f t="shared" si="6"/>
        <v>3</v>
      </c>
      <c r="H41" s="3">
        <f t="shared" si="6"/>
        <v>4</v>
      </c>
      <c r="I41" s="3">
        <f t="shared" si="6"/>
        <v>4</v>
      </c>
      <c r="J41" s="4">
        <f t="shared" si="6"/>
        <v>6</v>
      </c>
      <c r="K41" s="12">
        <f>SUM(B41:J41)</f>
        <v>44</v>
      </c>
    </row>
    <row r="42" spans="1:27" x14ac:dyDescent="0.2">
      <c r="A42" s="80">
        <f>A7</f>
        <v>5</v>
      </c>
      <c r="B42" s="18">
        <f>IF(AND(ISNUMBER($A42),ISNUMBER($A48)),IF((RANK(B$4,$B$4:$J$4,1))&lt;=($A42-$A48),1,0),"")</f>
        <v>0</v>
      </c>
      <c r="C42" s="6">
        <f t="shared" ref="C42:J43" si="7">IF(AND(ISNUMBER($A42),ISNUMBER($A48)),IF((RANK(C$4,$B$4:$J$4,1))&lt;=($A42-$A48),1,0),"")</f>
        <v>0</v>
      </c>
      <c r="D42" s="6">
        <f t="shared" si="7"/>
        <v>0</v>
      </c>
      <c r="E42" s="6">
        <f t="shared" si="7"/>
        <v>0</v>
      </c>
      <c r="F42" s="6">
        <f t="shared" si="7"/>
        <v>0</v>
      </c>
      <c r="G42" s="6">
        <f t="shared" si="7"/>
        <v>0</v>
      </c>
      <c r="H42" s="6">
        <f t="shared" si="7"/>
        <v>0</v>
      </c>
      <c r="I42" s="6">
        <f t="shared" si="7"/>
        <v>0</v>
      </c>
      <c r="J42" s="7">
        <f t="shared" si="7"/>
        <v>0</v>
      </c>
      <c r="K42" s="8">
        <f>SUM(B42:J42)</f>
        <v>0</v>
      </c>
    </row>
    <row r="43" spans="1:27" x14ac:dyDescent="0.2">
      <c r="A43" s="80">
        <f>IF((A42-A48)&gt;9,(A42-A48-9),0)</f>
        <v>0</v>
      </c>
      <c r="B43" s="18">
        <f>IF(AND(ISNUMBER($A43),ISNUMBER($A49)),IF((RANK(B$4,$B$4:$J$4,1))&lt;=($A43-$A49),1,0),"")</f>
        <v>0</v>
      </c>
      <c r="C43" s="6">
        <f t="shared" si="7"/>
        <v>0</v>
      </c>
      <c r="D43" s="6">
        <f t="shared" si="7"/>
        <v>0</v>
      </c>
      <c r="E43" s="6">
        <f t="shared" si="7"/>
        <v>0</v>
      </c>
      <c r="F43" s="6">
        <f t="shared" si="7"/>
        <v>0</v>
      </c>
      <c r="G43" s="6">
        <f t="shared" si="7"/>
        <v>0</v>
      </c>
      <c r="H43" s="6">
        <f t="shared" si="7"/>
        <v>0</v>
      </c>
      <c r="I43" s="6">
        <f t="shared" si="7"/>
        <v>0</v>
      </c>
      <c r="J43" s="7">
        <f t="shared" si="7"/>
        <v>0</v>
      </c>
      <c r="K43" s="8">
        <f>SUM(B43:J43)</f>
        <v>0</v>
      </c>
    </row>
    <row r="44" spans="1:27" x14ac:dyDescent="0.2">
      <c r="A44" s="80"/>
      <c r="B44" s="82">
        <f>IF(AND(ISNUMBER(B41),ISNUMBER(B42)),B41-B42-B43," ")</f>
        <v>6</v>
      </c>
      <c r="C44" s="86">
        <f t="shared" ref="C44:J44" si="8">IF(AND(ISNUMBER(C41),ISNUMBER(C42)),C41-C42-C43," ")</f>
        <v>5</v>
      </c>
      <c r="D44" s="86">
        <f t="shared" si="8"/>
        <v>5</v>
      </c>
      <c r="E44" s="86">
        <f t="shared" si="8"/>
        <v>5</v>
      </c>
      <c r="F44" s="86">
        <f t="shared" si="8"/>
        <v>6</v>
      </c>
      <c r="G44" s="86">
        <f t="shared" si="8"/>
        <v>3</v>
      </c>
      <c r="H44" s="86">
        <f t="shared" si="8"/>
        <v>4</v>
      </c>
      <c r="I44" s="86">
        <f t="shared" si="8"/>
        <v>4</v>
      </c>
      <c r="J44" s="87">
        <f t="shared" si="8"/>
        <v>6</v>
      </c>
      <c r="K44" s="8">
        <f>IF(ISNUMBER(FIND("Wins",K45)), 2, IF(ISNUMBER(FIND("Tie",K45)), 1, 0))</f>
        <v>0</v>
      </c>
    </row>
    <row r="45" spans="1:27" ht="13.5" thickBot="1" x14ac:dyDescent="0.25">
      <c r="A45" s="81"/>
      <c r="B45" s="19">
        <f>IF(AND(ISNUMBER(B44),ISNUMBER(B50)),IF(B44&lt;B50, 0+1, (IF(B44&gt;B50, 0-1, 0)))," ")</f>
        <v>-1</v>
      </c>
      <c r="C45" s="9">
        <f t="shared" ref="C45:J45" si="9">IF(AND(ISNUMBER(C44),ISNUMBER(C50)),IF(C44&lt;C50, +B45+1, (IF(C44&gt;C50, +B45-1, +B45)))," ")</f>
        <v>0</v>
      </c>
      <c r="D45" s="9">
        <f t="shared" si="9"/>
        <v>1</v>
      </c>
      <c r="E45" s="9">
        <f t="shared" si="9"/>
        <v>1</v>
      </c>
      <c r="F45" s="9">
        <f t="shared" si="9"/>
        <v>1</v>
      </c>
      <c r="G45" s="9">
        <f t="shared" si="9"/>
        <v>1</v>
      </c>
      <c r="H45" s="9">
        <f t="shared" si="9"/>
        <v>1</v>
      </c>
      <c r="I45" s="9">
        <f t="shared" si="9"/>
        <v>0</v>
      </c>
      <c r="J45" s="10">
        <f t="shared" si="9"/>
        <v>-1</v>
      </c>
      <c r="K45" s="11" t="str">
        <f>IF(ISNUMBER(J45),IF(F45&gt;4,"Wins " &amp; F45 &amp; " &amp; 4",IF(G45&gt;3,"Wins " &amp; G45 &amp; " &amp; 3",IF(H45&gt;2,"Wins " &amp; H45 &amp; " &amp; 2",IF(I45&gt;1,"Wins " &amp; I45 &amp; " &amp; 1",IF(J45&gt;J51,"Wins " &amp; J45 &amp; " Up",IF(J45&lt;J51,"Loss","Tie"))))))," ")</f>
        <v>Loss</v>
      </c>
    </row>
    <row r="46" spans="1:27" ht="13.5" thickBot="1" x14ac:dyDescent="0.25">
      <c r="A46" s="32"/>
    </row>
    <row r="47" spans="1:27" x14ac:dyDescent="0.2">
      <c r="A47" s="29" t="str">
        <f t="shared" ref="A47:J47" si="10">A10</f>
        <v>Brian S</v>
      </c>
      <c r="B47" s="17">
        <f t="shared" si="10"/>
        <v>6</v>
      </c>
      <c r="C47" s="3">
        <f t="shared" si="10"/>
        <v>7</v>
      </c>
      <c r="D47" s="3">
        <f t="shared" si="10"/>
        <v>7</v>
      </c>
      <c r="E47" s="3">
        <f t="shared" si="10"/>
        <v>5</v>
      </c>
      <c r="F47" s="3">
        <f t="shared" si="10"/>
        <v>7</v>
      </c>
      <c r="G47" s="3">
        <f t="shared" si="10"/>
        <v>4</v>
      </c>
      <c r="H47" s="3">
        <f t="shared" si="10"/>
        <v>5</v>
      </c>
      <c r="I47" s="3">
        <f t="shared" si="10"/>
        <v>4</v>
      </c>
      <c r="J47" s="4">
        <f t="shared" si="10"/>
        <v>5</v>
      </c>
      <c r="K47" s="12">
        <f>SUM(B47:J47)</f>
        <v>50</v>
      </c>
    </row>
    <row r="48" spans="1:27" x14ac:dyDescent="0.2">
      <c r="A48" s="30">
        <f>A11</f>
        <v>13</v>
      </c>
      <c r="B48" s="18">
        <f>IF(AND(ISNUMBER($A42),ISNUMBER($A48)),IF((RANK(B$4,$B$4:$J$4,1))&lt;=($A48-$A42),1,0),"")</f>
        <v>1</v>
      </c>
      <c r="C48" s="6">
        <f t="shared" ref="C48:J49" si="11">IF(AND(ISNUMBER($A42),ISNUMBER($A48)),IF((RANK(C$4,$B$4:$J$4,1))&lt;=($A48-$A42),1,0),"")</f>
        <v>1</v>
      </c>
      <c r="D48" s="6">
        <f t="shared" si="11"/>
        <v>1</v>
      </c>
      <c r="E48" s="6">
        <f t="shared" si="11"/>
        <v>0</v>
      </c>
      <c r="F48" s="6">
        <f t="shared" si="11"/>
        <v>1</v>
      </c>
      <c r="G48" s="6">
        <f t="shared" si="11"/>
        <v>1</v>
      </c>
      <c r="H48" s="6">
        <f t="shared" si="11"/>
        <v>1</v>
      </c>
      <c r="I48" s="6">
        <f t="shared" si="11"/>
        <v>1</v>
      </c>
      <c r="J48" s="7">
        <f t="shared" si="11"/>
        <v>1</v>
      </c>
      <c r="K48" s="13">
        <f>SUM(B48:J48)</f>
        <v>8</v>
      </c>
    </row>
    <row r="49" spans="1:27" x14ac:dyDescent="0.2">
      <c r="A49" s="30">
        <f>IF((A48-A42)&gt;9,(A48-A42-9),0)</f>
        <v>0</v>
      </c>
      <c r="B49" s="18">
        <f>IF(AND(ISNUMBER($A43),ISNUMBER($A49)),IF((RANK(B$4,$B$4:$J$4,1))&lt;=($A49-$A43),1,0),"")</f>
        <v>0</v>
      </c>
      <c r="C49" s="6">
        <f t="shared" si="11"/>
        <v>0</v>
      </c>
      <c r="D49" s="6">
        <f t="shared" si="11"/>
        <v>0</v>
      </c>
      <c r="E49" s="6">
        <f t="shared" si="11"/>
        <v>0</v>
      </c>
      <c r="F49" s="6">
        <f t="shared" si="11"/>
        <v>0</v>
      </c>
      <c r="G49" s="6">
        <f t="shared" si="11"/>
        <v>0</v>
      </c>
      <c r="H49" s="6">
        <f t="shared" si="11"/>
        <v>0</v>
      </c>
      <c r="I49" s="6">
        <f t="shared" si="11"/>
        <v>0</v>
      </c>
      <c r="J49" s="7">
        <f t="shared" si="11"/>
        <v>0</v>
      </c>
      <c r="K49" s="13">
        <f>SUM(B49:J49)</f>
        <v>0</v>
      </c>
    </row>
    <row r="50" spans="1:27" x14ac:dyDescent="0.2">
      <c r="A50" s="30"/>
      <c r="B50" s="82">
        <f>IF(AND(ISNUMBER(B47),ISNUMBER(B48)),B47-B48-B49," ")</f>
        <v>5</v>
      </c>
      <c r="C50" s="83">
        <f t="shared" ref="C50:J50" si="12">IF(AND(ISNUMBER(C47),ISNUMBER(C48)),C47-C48-C49," ")</f>
        <v>6</v>
      </c>
      <c r="D50" s="83">
        <f t="shared" si="12"/>
        <v>6</v>
      </c>
      <c r="E50" s="83">
        <f t="shared" si="12"/>
        <v>5</v>
      </c>
      <c r="F50" s="83">
        <f t="shared" si="12"/>
        <v>6</v>
      </c>
      <c r="G50" s="83">
        <f t="shared" si="12"/>
        <v>3</v>
      </c>
      <c r="H50" s="83">
        <f t="shared" si="12"/>
        <v>4</v>
      </c>
      <c r="I50" s="83">
        <f t="shared" si="12"/>
        <v>3</v>
      </c>
      <c r="J50" s="84">
        <f t="shared" si="12"/>
        <v>4</v>
      </c>
      <c r="K50" s="13">
        <f>IF(ISNUMBER(FIND("Wins",K51)), 2, IF(ISNUMBER(FIND("Tie",K51)), 1, 0))</f>
        <v>2</v>
      </c>
    </row>
    <row r="51" spans="1:27" ht="13.5" thickBot="1" x14ac:dyDescent="0.25">
      <c r="A51" s="31"/>
      <c r="B51" s="19">
        <f>IF(AND(ISNUMBER(B44),ISNUMBER(B50)),IF(B50&lt;B44, 0+1, (IF(B50&gt;B44, 0-1, 0)))," ")</f>
        <v>1</v>
      </c>
      <c r="C51" s="9">
        <f t="shared" ref="C51:J51" si="13">IF(AND(ISNUMBER(C44),ISNUMBER(C50)),IF(C50&lt;C44, +B51+1, (IF(C50&gt;C44, +B51-1, +B51)))," ")</f>
        <v>0</v>
      </c>
      <c r="D51" s="9">
        <f t="shared" si="13"/>
        <v>-1</v>
      </c>
      <c r="E51" s="9">
        <f t="shared" si="13"/>
        <v>-1</v>
      </c>
      <c r="F51" s="9">
        <f t="shared" si="13"/>
        <v>-1</v>
      </c>
      <c r="G51" s="9">
        <f t="shared" si="13"/>
        <v>-1</v>
      </c>
      <c r="H51" s="9">
        <f t="shared" si="13"/>
        <v>-1</v>
      </c>
      <c r="I51" s="9">
        <f t="shared" si="13"/>
        <v>0</v>
      </c>
      <c r="J51" s="10">
        <f t="shared" si="13"/>
        <v>1</v>
      </c>
      <c r="K51" s="14" t="str">
        <f>IF(ISNUMBER(J51),IF(F51&gt;4,"Wins " &amp; F51 &amp; " &amp; 4",IF(G51&gt;3,"Wins " &amp; G51 &amp; " &amp; 3",IF(H51&gt;2,"Wins " &amp; H51 &amp; " &amp; 2",IF(I51&gt;1,"Wins " &amp; I51 &amp; " &amp; 1",IF(J51&gt;J45,"Wins " &amp; J51 &amp; " Up",IF(J51&lt;J45,"Loss","Tie"))))))," ")</f>
        <v>Wins 1 Up</v>
      </c>
    </row>
    <row r="53" spans="1:27" s="16" customFormat="1" ht="13.5" thickBot="1" x14ac:dyDescent="0.25">
      <c r="A53" s="24" t="s">
        <v>9</v>
      </c>
      <c r="B53" s="2"/>
      <c r="C53" s="2"/>
      <c r="D53" s="2"/>
      <c r="E53" s="2"/>
      <c r="F53" s="2"/>
      <c r="G53" s="2"/>
      <c r="H53" s="2"/>
      <c r="I53" s="2"/>
      <c r="J53" s="2"/>
      <c r="K53" s="2"/>
      <c r="N53" s="15"/>
      <c r="O53" s="15"/>
      <c r="P53" s="59"/>
      <c r="Q53" s="59"/>
      <c r="R53" s="59"/>
      <c r="S53" s="59"/>
      <c r="T53" s="59"/>
      <c r="W53" s="15"/>
      <c r="X53" s="15"/>
      <c r="Y53" s="15"/>
      <c r="Z53" s="15"/>
      <c r="AA53" s="15"/>
    </row>
    <row r="54" spans="1:27" s="16" customFormat="1" x14ac:dyDescent="0.2">
      <c r="A54" s="29" t="str">
        <f t="shared" ref="A54:J54" si="14">A8</f>
        <v>Rick</v>
      </c>
      <c r="B54" s="17">
        <f t="shared" si="14"/>
        <v>4</v>
      </c>
      <c r="C54" s="3">
        <f t="shared" si="14"/>
        <v>4</v>
      </c>
      <c r="D54" s="3">
        <f t="shared" si="14"/>
        <v>6</v>
      </c>
      <c r="E54" s="3">
        <f t="shared" si="14"/>
        <v>5</v>
      </c>
      <c r="F54" s="3">
        <f t="shared" si="14"/>
        <v>6</v>
      </c>
      <c r="G54" s="3">
        <f t="shared" si="14"/>
        <v>3</v>
      </c>
      <c r="H54" s="3">
        <f t="shared" si="14"/>
        <v>5</v>
      </c>
      <c r="I54" s="3">
        <f t="shared" si="14"/>
        <v>5</v>
      </c>
      <c r="J54" s="4">
        <f t="shared" si="14"/>
        <v>6</v>
      </c>
      <c r="K54" s="12">
        <f>SUM(B54:J54)</f>
        <v>44</v>
      </c>
      <c r="N54" s="15"/>
      <c r="O54" s="15"/>
      <c r="P54" s="59"/>
      <c r="Q54" s="59"/>
      <c r="R54" s="59"/>
      <c r="S54" s="59"/>
      <c r="T54" s="59"/>
      <c r="W54" s="15"/>
      <c r="X54" s="15"/>
      <c r="Y54" s="15"/>
      <c r="Z54" s="15"/>
      <c r="AA54" s="15"/>
    </row>
    <row r="55" spans="1:27" s="16" customFormat="1" x14ac:dyDescent="0.2">
      <c r="A55" s="30">
        <f>A9</f>
        <v>7</v>
      </c>
      <c r="B55" s="18">
        <f>IF(AND(ISNUMBER($A55),ISNUMBER($A61)),IF((RANK(B$4,$B$4:$J$4,1))&lt;=($A55-$A61),1,0),"")</f>
        <v>0</v>
      </c>
      <c r="C55" s="6">
        <f t="shared" ref="C55:J56" si="15">IF(AND(ISNUMBER($A55),ISNUMBER($A61)),IF((RANK(C$4,$B$4:$J$4,1))&lt;=($A55-$A61),1,0),"")</f>
        <v>0</v>
      </c>
      <c r="D55" s="6">
        <f t="shared" si="15"/>
        <v>0</v>
      </c>
      <c r="E55" s="6">
        <f t="shared" si="15"/>
        <v>0</v>
      </c>
      <c r="F55" s="6">
        <f t="shared" si="15"/>
        <v>1</v>
      </c>
      <c r="G55" s="6">
        <f t="shared" si="15"/>
        <v>0</v>
      </c>
      <c r="H55" s="6">
        <f t="shared" si="15"/>
        <v>0</v>
      </c>
      <c r="I55" s="6">
        <f t="shared" si="15"/>
        <v>0</v>
      </c>
      <c r="J55" s="7">
        <f t="shared" si="15"/>
        <v>0</v>
      </c>
      <c r="K55" s="13">
        <f>SUM(B55:J55)</f>
        <v>1</v>
      </c>
      <c r="N55" s="15"/>
      <c r="O55" s="15"/>
      <c r="P55" s="59"/>
      <c r="Q55" s="59"/>
      <c r="R55" s="59"/>
      <c r="S55" s="59"/>
      <c r="T55" s="59"/>
      <c r="W55" s="15"/>
      <c r="X55" s="15"/>
      <c r="Y55" s="15"/>
      <c r="Z55" s="15"/>
      <c r="AA55" s="15"/>
    </row>
    <row r="56" spans="1:27" s="16" customFormat="1" x14ac:dyDescent="0.2">
      <c r="A56" s="30">
        <f>IF((A55-A61)&gt;9,(A55-A61-9),0)</f>
        <v>0</v>
      </c>
      <c r="B56" s="18">
        <f>IF(AND(ISNUMBER($A56),ISNUMBER($A62)),IF((RANK(B$4,$B$4:$J$4,1))&lt;=($A56-$A62),1,0),"")</f>
        <v>0</v>
      </c>
      <c r="C56" s="6">
        <f t="shared" si="15"/>
        <v>0</v>
      </c>
      <c r="D56" s="6">
        <f t="shared" si="15"/>
        <v>0</v>
      </c>
      <c r="E56" s="6">
        <f t="shared" si="15"/>
        <v>0</v>
      </c>
      <c r="F56" s="6">
        <f t="shared" si="15"/>
        <v>0</v>
      </c>
      <c r="G56" s="6">
        <f t="shared" si="15"/>
        <v>0</v>
      </c>
      <c r="H56" s="6">
        <f t="shared" si="15"/>
        <v>0</v>
      </c>
      <c r="I56" s="6">
        <f t="shared" si="15"/>
        <v>0</v>
      </c>
      <c r="J56" s="7">
        <f t="shared" si="15"/>
        <v>0</v>
      </c>
      <c r="K56" s="13">
        <f>SUM(B56:J56)</f>
        <v>0</v>
      </c>
      <c r="N56" s="15"/>
      <c r="O56" s="15"/>
      <c r="P56" s="59"/>
      <c r="Q56" s="59"/>
      <c r="R56" s="59"/>
      <c r="S56" s="59"/>
      <c r="T56" s="59"/>
      <c r="W56" s="15"/>
      <c r="X56" s="15"/>
      <c r="Y56" s="15"/>
      <c r="Z56" s="15"/>
      <c r="AA56" s="15"/>
    </row>
    <row r="57" spans="1:27" s="16" customFormat="1" x14ac:dyDescent="0.2">
      <c r="A57" s="30"/>
      <c r="B57" s="82">
        <f>IF(AND(ISNUMBER(B54),ISNUMBER(B55)),B54-B55-B56," ")</f>
        <v>4</v>
      </c>
      <c r="C57" s="83">
        <f t="shared" ref="C57:J57" si="16">IF(AND(ISNUMBER(C54),ISNUMBER(C55)),C54-C55-C56," ")</f>
        <v>4</v>
      </c>
      <c r="D57" s="83">
        <f t="shared" si="16"/>
        <v>6</v>
      </c>
      <c r="E57" s="83">
        <f t="shared" si="16"/>
        <v>5</v>
      </c>
      <c r="F57" s="83">
        <f t="shared" si="16"/>
        <v>5</v>
      </c>
      <c r="G57" s="83">
        <f t="shared" si="16"/>
        <v>3</v>
      </c>
      <c r="H57" s="83">
        <f t="shared" si="16"/>
        <v>5</v>
      </c>
      <c r="I57" s="83">
        <f t="shared" si="16"/>
        <v>5</v>
      </c>
      <c r="J57" s="84">
        <f t="shared" si="16"/>
        <v>6</v>
      </c>
      <c r="K57" s="13">
        <f>IF(ISNUMBER(FIND("Wins",K58)), 2, IF(ISNUMBER(FIND("Tie",K58)), 1, 0))</f>
        <v>2</v>
      </c>
      <c r="N57" s="15"/>
      <c r="O57" s="15"/>
      <c r="P57" s="59"/>
      <c r="Q57" s="59"/>
      <c r="R57" s="59"/>
      <c r="S57" s="59"/>
      <c r="T57" s="59"/>
      <c r="W57" s="15"/>
      <c r="X57" s="15"/>
      <c r="Y57" s="15"/>
      <c r="Z57" s="15"/>
      <c r="AA57" s="15"/>
    </row>
    <row r="58" spans="1:27" s="16" customFormat="1" ht="13.5" thickBot="1" x14ac:dyDescent="0.25">
      <c r="A58" s="31"/>
      <c r="B58" s="19">
        <f>IF(AND(ISNUMBER(B57),ISNUMBER(B63)),IF(B57&lt;B63, 0+1, (IF(B57&gt;B63, 0-1, 0)))," ")</f>
        <v>1</v>
      </c>
      <c r="C58" s="9">
        <f t="shared" ref="C58:J58" si="17">IF(AND(ISNUMBER(C57),ISNUMBER(C63)),IF(C57&lt;C63, +B58+1, (IF(C57&gt;C63, +B58-1, +B58)))," ")</f>
        <v>2</v>
      </c>
      <c r="D58" s="9">
        <f t="shared" si="17"/>
        <v>1</v>
      </c>
      <c r="E58" s="9">
        <f t="shared" si="17"/>
        <v>0</v>
      </c>
      <c r="F58" s="9">
        <f t="shared" si="17"/>
        <v>0</v>
      </c>
      <c r="G58" s="9">
        <f t="shared" si="17"/>
        <v>1</v>
      </c>
      <c r="H58" s="9">
        <f t="shared" si="17"/>
        <v>1</v>
      </c>
      <c r="I58" s="9">
        <f t="shared" si="17"/>
        <v>1</v>
      </c>
      <c r="J58" s="10">
        <f t="shared" si="17"/>
        <v>2</v>
      </c>
      <c r="K58" s="14" t="str">
        <f>IF(ISNUMBER(J58),IF(F58&gt;4,"Wins " &amp; F58 &amp; " &amp; 4",IF(G58&gt;3,"Wins " &amp; G58 &amp; " &amp; 3",IF(H58&gt;2,"Wins " &amp; H58 &amp; " &amp; 2",IF(I58&gt;1,"Wins " &amp; I58 &amp; " &amp; 1",IF(J58&gt;J64,"Wins " &amp; J58 &amp; " Up",IF(J58&lt;J64,"Loss","Tie"))))))," ")</f>
        <v>Wins 2 Up</v>
      </c>
      <c r="N58" s="15"/>
      <c r="O58" s="15"/>
      <c r="P58" s="59"/>
      <c r="Q58" s="59"/>
      <c r="R58" s="59"/>
      <c r="S58" s="59"/>
      <c r="T58" s="59"/>
      <c r="W58" s="15"/>
      <c r="X58" s="15"/>
      <c r="Y58" s="15"/>
      <c r="Z58" s="15"/>
      <c r="AA58" s="15"/>
    </row>
    <row r="59" spans="1:27" s="16" customFormat="1" ht="13.5" thickBot="1" x14ac:dyDescent="0.25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N59" s="15"/>
      <c r="O59" s="15"/>
      <c r="P59" s="59"/>
      <c r="Q59" s="59"/>
      <c r="R59" s="59"/>
      <c r="S59" s="59"/>
      <c r="T59" s="59"/>
      <c r="W59" s="15"/>
      <c r="X59" s="15"/>
      <c r="Y59" s="15"/>
      <c r="Z59" s="15"/>
      <c r="AA59" s="15"/>
    </row>
    <row r="60" spans="1:27" s="16" customFormat="1" x14ac:dyDescent="0.2">
      <c r="A60" s="29" t="str">
        <f t="shared" ref="A60:J60" si="18">A12</f>
        <v xml:space="preserve">Pat </v>
      </c>
      <c r="B60" s="17">
        <f t="shared" si="18"/>
        <v>5</v>
      </c>
      <c r="C60" s="3">
        <f t="shared" si="18"/>
        <v>5</v>
      </c>
      <c r="D60" s="3">
        <f t="shared" si="18"/>
        <v>4</v>
      </c>
      <c r="E60" s="3">
        <f t="shared" si="18"/>
        <v>4</v>
      </c>
      <c r="F60" s="3">
        <f t="shared" si="18"/>
        <v>5</v>
      </c>
      <c r="G60" s="3">
        <f t="shared" si="18"/>
        <v>5</v>
      </c>
      <c r="H60" s="3">
        <f t="shared" si="18"/>
        <v>5</v>
      </c>
      <c r="I60" s="3">
        <f t="shared" si="18"/>
        <v>5</v>
      </c>
      <c r="J60" s="4">
        <f t="shared" si="18"/>
        <v>7</v>
      </c>
      <c r="K60" s="12">
        <f>SUM(B60:J60)</f>
        <v>45</v>
      </c>
      <c r="N60" s="15"/>
      <c r="O60" s="15"/>
      <c r="P60" s="59"/>
      <c r="Q60" s="59"/>
      <c r="R60" s="59"/>
      <c r="S60" s="59"/>
      <c r="T60" s="59"/>
      <c r="W60" s="15"/>
      <c r="X60" s="15"/>
      <c r="Y60" s="15"/>
      <c r="Z60" s="15"/>
      <c r="AA60" s="15"/>
    </row>
    <row r="61" spans="1:27" s="16" customFormat="1" x14ac:dyDescent="0.2">
      <c r="A61" s="30">
        <f>A13</f>
        <v>6</v>
      </c>
      <c r="B61" s="18">
        <f>IF(AND(ISNUMBER($A55),ISNUMBER($A61)),IF((RANK(B$4,$B$4:$J$4,1))&lt;=($A61-$A55),1,0),"")</f>
        <v>0</v>
      </c>
      <c r="C61" s="6">
        <f t="shared" ref="C61:J62" si="19">IF(AND(ISNUMBER($A55),ISNUMBER($A61)),IF((RANK(C$4,$B$4:$J$4,1))&lt;=($A61-$A55),1,0),"")</f>
        <v>0</v>
      </c>
      <c r="D61" s="6">
        <f t="shared" si="19"/>
        <v>0</v>
      </c>
      <c r="E61" s="6">
        <f t="shared" si="19"/>
        <v>0</v>
      </c>
      <c r="F61" s="6">
        <f t="shared" si="19"/>
        <v>0</v>
      </c>
      <c r="G61" s="6">
        <f t="shared" si="19"/>
        <v>0</v>
      </c>
      <c r="H61" s="6">
        <f t="shared" si="19"/>
        <v>0</v>
      </c>
      <c r="I61" s="6">
        <f t="shared" si="19"/>
        <v>0</v>
      </c>
      <c r="J61" s="7">
        <f t="shared" si="19"/>
        <v>0</v>
      </c>
      <c r="K61" s="13">
        <f>SUM(B61:J61)</f>
        <v>0</v>
      </c>
      <c r="N61" s="15"/>
      <c r="O61" s="15"/>
      <c r="P61" s="59"/>
      <c r="Q61" s="59"/>
      <c r="R61" s="59"/>
      <c r="S61" s="59"/>
      <c r="T61" s="59"/>
      <c r="W61" s="15"/>
      <c r="X61" s="15"/>
      <c r="Y61" s="15"/>
      <c r="Z61" s="15"/>
      <c r="AA61" s="15"/>
    </row>
    <row r="62" spans="1:27" s="16" customFormat="1" x14ac:dyDescent="0.2">
      <c r="A62" s="30">
        <f>IF((A61-A55)&gt;9,(A61-A55-9),0)</f>
        <v>0</v>
      </c>
      <c r="B62" s="18">
        <f>IF(AND(ISNUMBER($A56),ISNUMBER($A62)),IF((RANK(B$4,$B$4:$J$4,1))&lt;=($A62-$A56),1,0),"")</f>
        <v>0</v>
      </c>
      <c r="C62" s="6">
        <f t="shared" si="19"/>
        <v>0</v>
      </c>
      <c r="D62" s="6">
        <f t="shared" si="19"/>
        <v>0</v>
      </c>
      <c r="E62" s="6">
        <f t="shared" si="19"/>
        <v>0</v>
      </c>
      <c r="F62" s="6">
        <f t="shared" si="19"/>
        <v>0</v>
      </c>
      <c r="G62" s="6">
        <f t="shared" si="19"/>
        <v>0</v>
      </c>
      <c r="H62" s="6">
        <f t="shared" si="19"/>
        <v>0</v>
      </c>
      <c r="I62" s="6">
        <f t="shared" si="19"/>
        <v>0</v>
      </c>
      <c r="J62" s="7">
        <f t="shared" si="19"/>
        <v>0</v>
      </c>
      <c r="K62" s="13">
        <f>SUM(B62:J62)</f>
        <v>0</v>
      </c>
      <c r="N62" s="15"/>
      <c r="O62" s="15"/>
      <c r="P62" s="59"/>
      <c r="Q62" s="59"/>
      <c r="R62" s="59"/>
      <c r="S62" s="59"/>
      <c r="T62" s="59"/>
      <c r="W62" s="15"/>
      <c r="X62" s="15"/>
      <c r="Y62" s="15"/>
      <c r="Z62" s="15"/>
      <c r="AA62" s="15"/>
    </row>
    <row r="63" spans="1:27" s="16" customFormat="1" x14ac:dyDescent="0.2">
      <c r="A63" s="30"/>
      <c r="B63" s="82">
        <f>IF(AND(ISNUMBER(B60),ISNUMBER(B61)),B60-B61-B62," ")</f>
        <v>5</v>
      </c>
      <c r="C63" s="83">
        <f t="shared" ref="C63:J63" si="20">IF(AND(ISNUMBER(C60),ISNUMBER(C61)),C60-C61-C62," ")</f>
        <v>5</v>
      </c>
      <c r="D63" s="83">
        <f t="shared" si="20"/>
        <v>4</v>
      </c>
      <c r="E63" s="83">
        <f t="shared" si="20"/>
        <v>4</v>
      </c>
      <c r="F63" s="83">
        <f t="shared" si="20"/>
        <v>5</v>
      </c>
      <c r="G63" s="83">
        <f t="shared" si="20"/>
        <v>5</v>
      </c>
      <c r="H63" s="83">
        <f t="shared" si="20"/>
        <v>5</v>
      </c>
      <c r="I63" s="83">
        <f t="shared" si="20"/>
        <v>5</v>
      </c>
      <c r="J63" s="84">
        <f t="shared" si="20"/>
        <v>7</v>
      </c>
      <c r="K63" s="13">
        <f>IF(ISNUMBER(FIND("Wins",K64)), 2, IF(ISNUMBER(FIND("Tie",K64)), 1, 0))</f>
        <v>0</v>
      </c>
      <c r="N63" s="15"/>
      <c r="O63" s="15"/>
      <c r="P63" s="59"/>
      <c r="Q63" s="59"/>
      <c r="R63" s="59"/>
      <c r="S63" s="59"/>
      <c r="T63" s="59"/>
      <c r="W63" s="15"/>
      <c r="X63" s="15"/>
      <c r="Y63" s="15"/>
      <c r="Z63" s="15"/>
      <c r="AA63" s="15"/>
    </row>
    <row r="64" spans="1:27" s="16" customFormat="1" ht="13.5" thickBot="1" x14ac:dyDescent="0.25">
      <c r="A64" s="31"/>
      <c r="B64" s="19">
        <f>IF(AND(ISNUMBER(B57),ISNUMBER(B63)),IF(B63&lt;B57, 0+1, (IF(B63&gt;B57, 0-1, 0)))," ")</f>
        <v>-1</v>
      </c>
      <c r="C64" s="9">
        <f t="shared" ref="C64:J64" si="21">IF(AND(ISNUMBER(C57),ISNUMBER(C63)),IF(C63&lt;C57, +B64+1, (IF(C63&gt;C57, +B64-1, +B64)))," ")</f>
        <v>-2</v>
      </c>
      <c r="D64" s="9">
        <f t="shared" si="21"/>
        <v>-1</v>
      </c>
      <c r="E64" s="9">
        <f t="shared" si="21"/>
        <v>0</v>
      </c>
      <c r="F64" s="9">
        <f t="shared" si="21"/>
        <v>0</v>
      </c>
      <c r="G64" s="9">
        <f t="shared" si="21"/>
        <v>-1</v>
      </c>
      <c r="H64" s="9">
        <f t="shared" si="21"/>
        <v>-1</v>
      </c>
      <c r="I64" s="9">
        <f t="shared" si="21"/>
        <v>-1</v>
      </c>
      <c r="J64" s="10">
        <f t="shared" si="21"/>
        <v>-2</v>
      </c>
      <c r="K64" s="14" t="str">
        <f>IF(ISNUMBER(J64),IF(F64&gt;4,"Wins " &amp; F64 &amp; " &amp; 4",IF(G64&gt;3,"Wins " &amp; G64 &amp; " &amp; 3",IF(H64&gt;2,"Wins " &amp; H64 &amp; " &amp; 2",IF(I64&gt;1,"Wins " &amp; I64 &amp; " &amp; 1",IF(J64&gt;J58,"Wins " &amp; J64 &amp; " Up",IF(J64&lt;J58,"Loss","Tie"))))))," ")</f>
        <v>Loss</v>
      </c>
      <c r="N64" s="15"/>
      <c r="O64" s="15"/>
      <c r="P64" s="59"/>
      <c r="Q64" s="59"/>
      <c r="R64" s="59"/>
      <c r="S64" s="59"/>
      <c r="T64" s="59"/>
      <c r="W64" s="15"/>
      <c r="X64" s="15"/>
      <c r="Y64" s="15"/>
      <c r="Z64" s="15"/>
      <c r="AA64" s="15"/>
    </row>
    <row r="65" spans="1:27" s="16" customFormat="1" x14ac:dyDescent="0.2">
      <c r="A65" s="25"/>
      <c r="B65" s="15"/>
      <c r="C65" s="15"/>
      <c r="D65" s="15"/>
      <c r="E65" s="15"/>
      <c r="F65" s="15"/>
      <c r="G65" s="15"/>
      <c r="H65" s="15"/>
      <c r="I65" s="15"/>
      <c r="J65" s="15"/>
      <c r="K65" s="15"/>
      <c r="N65" s="15"/>
      <c r="O65" s="15"/>
      <c r="P65" s="59"/>
      <c r="Q65" s="59"/>
      <c r="R65" s="59"/>
      <c r="S65" s="59"/>
      <c r="T65" s="59"/>
      <c r="W65" s="15"/>
      <c r="X65" s="15"/>
      <c r="Y65" s="15"/>
      <c r="Z65" s="15"/>
      <c r="AA65" s="15"/>
    </row>
    <row r="66" spans="1:27" s="16" customFormat="1" ht="13.5" thickBot="1" x14ac:dyDescent="0.25">
      <c r="A66" s="24" t="s">
        <v>10</v>
      </c>
      <c r="B66" s="2"/>
      <c r="C66" s="2"/>
      <c r="D66" s="2"/>
      <c r="E66" s="2"/>
      <c r="F66" s="2"/>
      <c r="G66" s="2"/>
      <c r="H66" s="2"/>
      <c r="I66" s="2"/>
      <c r="J66" s="2"/>
      <c r="K66" s="2"/>
      <c r="N66" s="15"/>
      <c r="O66" s="15"/>
      <c r="P66" s="59"/>
      <c r="Q66" s="59"/>
      <c r="R66" s="59"/>
      <c r="S66" s="59"/>
      <c r="T66" s="59"/>
      <c r="W66" s="15"/>
      <c r="X66" s="15"/>
      <c r="Y66" s="15"/>
      <c r="Z66" s="15"/>
      <c r="AA66" s="15"/>
    </row>
    <row r="67" spans="1:27" s="16" customFormat="1" x14ac:dyDescent="0.2">
      <c r="A67" s="79" t="str">
        <f t="shared" ref="A67:J67" si="22">A14</f>
        <v>Mil</v>
      </c>
      <c r="B67" s="17">
        <f t="shared" si="22"/>
        <v>6</v>
      </c>
      <c r="C67" s="3">
        <f t="shared" si="22"/>
        <v>4</v>
      </c>
      <c r="D67" s="3">
        <f t="shared" si="22"/>
        <v>6</v>
      </c>
      <c r="E67" s="3">
        <f t="shared" si="22"/>
        <v>4</v>
      </c>
      <c r="F67" s="3">
        <f t="shared" si="22"/>
        <v>6</v>
      </c>
      <c r="G67" s="3">
        <f t="shared" si="22"/>
        <v>4</v>
      </c>
      <c r="H67" s="3">
        <f t="shared" si="22"/>
        <v>5</v>
      </c>
      <c r="I67" s="3">
        <f t="shared" si="22"/>
        <v>5</v>
      </c>
      <c r="J67" s="4">
        <f t="shared" si="22"/>
        <v>6</v>
      </c>
      <c r="K67" s="12">
        <f>SUM(B67:J67)</f>
        <v>46</v>
      </c>
      <c r="N67" s="15"/>
      <c r="O67" s="15"/>
      <c r="P67" s="59"/>
      <c r="Q67" s="59"/>
      <c r="R67" s="59"/>
      <c r="S67" s="59"/>
      <c r="T67" s="59"/>
      <c r="W67" s="15"/>
      <c r="X67" s="15"/>
      <c r="Y67" s="15"/>
      <c r="Z67" s="15"/>
      <c r="AA67" s="15"/>
    </row>
    <row r="68" spans="1:27" s="16" customFormat="1" x14ac:dyDescent="0.2">
      <c r="A68" s="80">
        <f>A15</f>
        <v>6</v>
      </c>
      <c r="B68" s="18">
        <f>IF(AND(ISNUMBER($A68),ISNUMBER($A74)),IF((RANK(B$4,$B$4:$J$4,1))&lt;=($A68-$A74),1,0),"")</f>
        <v>0</v>
      </c>
      <c r="C68" s="6">
        <f t="shared" ref="C68:J69" si="23">IF(AND(ISNUMBER($A68),ISNUMBER($A74)),IF((RANK(C$4,$B$4:$J$4,1))&lt;=($A68-$A74),1,0),"")</f>
        <v>0</v>
      </c>
      <c r="D68" s="6">
        <f t="shared" si="23"/>
        <v>0</v>
      </c>
      <c r="E68" s="6">
        <f t="shared" si="23"/>
        <v>0</v>
      </c>
      <c r="F68" s="6">
        <f t="shared" si="23"/>
        <v>0</v>
      </c>
      <c r="G68" s="6">
        <f t="shared" si="23"/>
        <v>0</v>
      </c>
      <c r="H68" s="6">
        <f t="shared" si="23"/>
        <v>0</v>
      </c>
      <c r="I68" s="6">
        <f t="shared" si="23"/>
        <v>0</v>
      </c>
      <c r="J68" s="7">
        <f t="shared" si="23"/>
        <v>0</v>
      </c>
      <c r="K68" s="13">
        <f>SUM(B68:J68)</f>
        <v>0</v>
      </c>
      <c r="N68" s="15"/>
      <c r="O68" s="15"/>
      <c r="P68" s="59"/>
      <c r="Q68" s="59"/>
      <c r="R68" s="59"/>
      <c r="S68" s="59"/>
      <c r="T68" s="59"/>
      <c r="W68" s="15"/>
      <c r="X68" s="15"/>
      <c r="Y68" s="15"/>
      <c r="Z68" s="15"/>
      <c r="AA68" s="15"/>
    </row>
    <row r="69" spans="1:27" s="16" customFormat="1" x14ac:dyDescent="0.2">
      <c r="A69" s="80">
        <f>IF((A68-A74)&gt;9,(A68-A74-9),0)</f>
        <v>0</v>
      </c>
      <c r="B69" s="18">
        <f>IF(AND(ISNUMBER($A69),ISNUMBER($A75)),IF((RANK(B$4,$B$4:$J$4,1))&lt;=($A69-$A75),1,0),"")</f>
        <v>0</v>
      </c>
      <c r="C69" s="6">
        <f t="shared" si="23"/>
        <v>0</v>
      </c>
      <c r="D69" s="6">
        <f t="shared" si="23"/>
        <v>0</v>
      </c>
      <c r="E69" s="6">
        <f t="shared" si="23"/>
        <v>0</v>
      </c>
      <c r="F69" s="6">
        <f t="shared" si="23"/>
        <v>0</v>
      </c>
      <c r="G69" s="6">
        <f t="shared" si="23"/>
        <v>0</v>
      </c>
      <c r="H69" s="6">
        <f t="shared" si="23"/>
        <v>0</v>
      </c>
      <c r="I69" s="6">
        <f t="shared" si="23"/>
        <v>0</v>
      </c>
      <c r="J69" s="7">
        <f t="shared" si="23"/>
        <v>0</v>
      </c>
      <c r="K69" s="13">
        <f>SUM(B69:J69)</f>
        <v>0</v>
      </c>
      <c r="N69" s="15"/>
      <c r="O69" s="15"/>
      <c r="P69" s="59"/>
      <c r="Q69" s="59"/>
      <c r="R69" s="59"/>
      <c r="S69" s="59"/>
      <c r="T69" s="59"/>
      <c r="W69" s="15"/>
      <c r="X69" s="15"/>
      <c r="Y69" s="15"/>
      <c r="Z69" s="15"/>
      <c r="AA69" s="15"/>
    </row>
    <row r="70" spans="1:27" s="16" customFormat="1" x14ac:dyDescent="0.2">
      <c r="A70" s="80"/>
      <c r="B70" s="82">
        <f>IF(AND(ISNUMBER(B67),ISNUMBER(B68)),B67-B68-B69," ")</f>
        <v>6</v>
      </c>
      <c r="C70" s="83">
        <f t="shared" ref="C70:J70" si="24">IF(AND(ISNUMBER(C67),ISNUMBER(C68)),C67-C68-C69," ")</f>
        <v>4</v>
      </c>
      <c r="D70" s="83">
        <f t="shared" si="24"/>
        <v>6</v>
      </c>
      <c r="E70" s="83">
        <f t="shared" si="24"/>
        <v>4</v>
      </c>
      <c r="F70" s="83">
        <f t="shared" si="24"/>
        <v>6</v>
      </c>
      <c r="G70" s="83">
        <f t="shared" si="24"/>
        <v>4</v>
      </c>
      <c r="H70" s="83">
        <f t="shared" si="24"/>
        <v>5</v>
      </c>
      <c r="I70" s="83">
        <f t="shared" si="24"/>
        <v>5</v>
      </c>
      <c r="J70" s="84">
        <f t="shared" si="24"/>
        <v>6</v>
      </c>
      <c r="K70" s="13">
        <f>IF(ISNUMBER(FIND("Wins",K71)), 2, IF(ISNUMBER(FIND("Tie",K71)), 1, 0))</f>
        <v>2</v>
      </c>
      <c r="N70" s="15"/>
      <c r="O70" s="15"/>
      <c r="P70" s="59"/>
      <c r="Q70" s="59"/>
      <c r="R70" s="59"/>
      <c r="S70" s="59"/>
      <c r="T70" s="59"/>
      <c r="W70" s="15"/>
      <c r="X70" s="15"/>
      <c r="Y70" s="15"/>
      <c r="Z70" s="15"/>
      <c r="AA70" s="15"/>
    </row>
    <row r="71" spans="1:27" s="16" customFormat="1" ht="13.5" thickBot="1" x14ac:dyDescent="0.25">
      <c r="A71" s="81"/>
      <c r="B71" s="19">
        <f>IF(AND(ISNUMBER(B70),ISNUMBER(B76)),IF(B70&lt;B76, 0+1, (IF(B70&gt;B76, 0-1, 0)))," ")</f>
        <v>1</v>
      </c>
      <c r="C71" s="9">
        <f t="shared" ref="C71:J71" si="25">IF(AND(ISNUMBER(C70),ISNUMBER(C76)),IF(C70&lt;C76, +B71+1, (IF(C70&gt;C76, +B71-1, +B71)))," ")</f>
        <v>2</v>
      </c>
      <c r="D71" s="9">
        <f t="shared" si="25"/>
        <v>1</v>
      </c>
      <c r="E71" s="9">
        <f t="shared" si="25"/>
        <v>0</v>
      </c>
      <c r="F71" s="9">
        <f t="shared" si="25"/>
        <v>0</v>
      </c>
      <c r="G71" s="9">
        <f t="shared" si="25"/>
        <v>1</v>
      </c>
      <c r="H71" s="9">
        <f t="shared" si="25"/>
        <v>2</v>
      </c>
      <c r="I71" s="9">
        <f t="shared" si="25"/>
        <v>3</v>
      </c>
      <c r="J71" s="10">
        <f t="shared" si="25"/>
        <v>4</v>
      </c>
      <c r="K71" s="14" t="str">
        <f>IF(ISNUMBER(J71),IF(F71&gt;4,"Wins " &amp; F71 &amp; " &amp; 4",IF(G71&gt;3,"Wins " &amp; G71 &amp; " &amp; 3",IF(H71&gt;2,"Wins " &amp; H71 &amp; " &amp; 2",IF(I71&gt;1,"Wins " &amp; I71 &amp; " &amp; 1",IF(J71&gt;J77,"Wins " &amp; J71 &amp; " Up",IF(J71&lt;J77,"Loss","Tie"))))))," ")</f>
        <v>Wins 3 &amp; 1</v>
      </c>
      <c r="N71" s="15"/>
      <c r="O71" s="15"/>
      <c r="P71" s="59"/>
      <c r="Q71" s="59"/>
      <c r="R71" s="59"/>
      <c r="S71" s="59"/>
      <c r="T71" s="59"/>
      <c r="W71" s="15"/>
      <c r="X71" s="15"/>
      <c r="Y71" s="15"/>
      <c r="Z71" s="15"/>
      <c r="AA71" s="15"/>
    </row>
    <row r="72" spans="1:27" s="16" customFormat="1" ht="13.5" thickBot="1" x14ac:dyDescent="0.25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N72" s="15"/>
      <c r="O72" s="15"/>
      <c r="P72" s="59"/>
      <c r="Q72" s="59"/>
      <c r="R72" s="59"/>
      <c r="S72" s="59"/>
      <c r="T72" s="59"/>
      <c r="W72" s="15"/>
      <c r="X72" s="15"/>
      <c r="Y72" s="15"/>
      <c r="Z72" s="15"/>
      <c r="AA72" s="15"/>
    </row>
    <row r="73" spans="1:27" s="16" customFormat="1" x14ac:dyDescent="0.2">
      <c r="A73" s="29" t="str">
        <f t="shared" ref="A73:J73" si="26">A18</f>
        <v>Patrick</v>
      </c>
      <c r="B73" s="17">
        <f t="shared" si="26"/>
        <v>7</v>
      </c>
      <c r="C73" s="3">
        <f t="shared" si="26"/>
        <v>6</v>
      </c>
      <c r="D73" s="3">
        <f t="shared" si="26"/>
        <v>4</v>
      </c>
      <c r="E73" s="3">
        <f t="shared" si="26"/>
        <v>3</v>
      </c>
      <c r="F73" s="3">
        <f t="shared" si="26"/>
        <v>7</v>
      </c>
      <c r="G73" s="3">
        <f t="shared" si="26"/>
        <v>6</v>
      </c>
      <c r="H73" s="3">
        <f t="shared" si="26"/>
        <v>6</v>
      </c>
      <c r="I73" s="3">
        <f t="shared" si="26"/>
        <v>6</v>
      </c>
      <c r="J73" s="4">
        <f t="shared" si="26"/>
        <v>7</v>
      </c>
      <c r="K73" s="12">
        <f>SUM(B73:J73)</f>
        <v>52</v>
      </c>
      <c r="N73" s="15"/>
      <c r="O73" s="15"/>
      <c r="P73" s="59"/>
      <c r="Q73" s="59"/>
      <c r="R73" s="59"/>
      <c r="S73" s="59"/>
      <c r="T73" s="59"/>
      <c r="W73" s="15"/>
      <c r="X73" s="15"/>
      <c r="Y73" s="15"/>
      <c r="Z73" s="15"/>
      <c r="AA73" s="15"/>
    </row>
    <row r="74" spans="1:27" s="16" customFormat="1" x14ac:dyDescent="0.2">
      <c r="A74" s="30">
        <f>A19</f>
        <v>8</v>
      </c>
      <c r="B74" s="18">
        <f>IF(AND(ISNUMBER($A68),ISNUMBER($A74)),IF((RANK(B$4,$B$4:$J$4,1))&lt;=($A74-$A68),1,0),"")</f>
        <v>0</v>
      </c>
      <c r="C74" s="6">
        <f t="shared" ref="C74:J75" si="27">IF(AND(ISNUMBER($A68),ISNUMBER($A74)),IF((RANK(C$4,$B$4:$J$4,1))&lt;=($A74-$A68),1,0),"")</f>
        <v>0</v>
      </c>
      <c r="D74" s="6">
        <f t="shared" si="27"/>
        <v>1</v>
      </c>
      <c r="E74" s="6">
        <f t="shared" si="27"/>
        <v>0</v>
      </c>
      <c r="F74" s="6">
        <f t="shared" si="27"/>
        <v>1</v>
      </c>
      <c r="G74" s="6">
        <f t="shared" si="27"/>
        <v>0</v>
      </c>
      <c r="H74" s="6">
        <f t="shared" si="27"/>
        <v>0</v>
      </c>
      <c r="I74" s="6">
        <f t="shared" si="27"/>
        <v>0</v>
      </c>
      <c r="J74" s="7">
        <f t="shared" si="27"/>
        <v>0</v>
      </c>
      <c r="K74" s="13">
        <f>SUM(B74:J74)</f>
        <v>2</v>
      </c>
      <c r="N74" s="15"/>
      <c r="O74" s="15"/>
      <c r="P74" s="59"/>
      <c r="Q74" s="59"/>
      <c r="R74" s="59"/>
      <c r="S74" s="59"/>
      <c r="T74" s="59"/>
      <c r="W74" s="15"/>
      <c r="X74" s="15"/>
      <c r="Y74" s="15"/>
      <c r="Z74" s="15"/>
      <c r="AA74" s="15"/>
    </row>
    <row r="75" spans="1:27" s="16" customFormat="1" x14ac:dyDescent="0.2">
      <c r="A75" s="30">
        <f>IF((A74-A68)&gt;9,(A74-A68-9),0)</f>
        <v>0</v>
      </c>
      <c r="B75" s="18">
        <f>IF(AND(ISNUMBER($A69),ISNUMBER($A75)),IF((RANK(B$4,$B$4:$J$4,1))&lt;=($A75-$A69),1,0),"")</f>
        <v>0</v>
      </c>
      <c r="C75" s="6">
        <f t="shared" si="27"/>
        <v>0</v>
      </c>
      <c r="D75" s="6">
        <f t="shared" si="27"/>
        <v>0</v>
      </c>
      <c r="E75" s="6">
        <f t="shared" si="27"/>
        <v>0</v>
      </c>
      <c r="F75" s="6">
        <f t="shared" si="27"/>
        <v>0</v>
      </c>
      <c r="G75" s="6">
        <f t="shared" si="27"/>
        <v>0</v>
      </c>
      <c r="H75" s="6">
        <f t="shared" si="27"/>
        <v>0</v>
      </c>
      <c r="I75" s="6">
        <f t="shared" si="27"/>
        <v>0</v>
      </c>
      <c r="J75" s="7">
        <f t="shared" si="27"/>
        <v>0</v>
      </c>
      <c r="K75" s="13">
        <f>SUM(B75:J75)</f>
        <v>0</v>
      </c>
      <c r="N75" s="15"/>
      <c r="O75" s="15"/>
      <c r="P75" s="59"/>
      <c r="Q75" s="59"/>
      <c r="R75" s="59"/>
      <c r="S75" s="59"/>
      <c r="T75" s="59"/>
      <c r="W75" s="15"/>
      <c r="X75" s="15"/>
      <c r="Y75" s="15"/>
      <c r="Z75" s="15"/>
      <c r="AA75" s="15"/>
    </row>
    <row r="76" spans="1:27" s="16" customFormat="1" x14ac:dyDescent="0.2">
      <c r="A76" s="30"/>
      <c r="B76" s="82">
        <f>IF(AND(ISNUMBER(B73),ISNUMBER(B74)),B73-B74-B75," ")</f>
        <v>7</v>
      </c>
      <c r="C76" s="83">
        <f t="shared" ref="C76:J76" si="28">IF(AND(ISNUMBER(C73),ISNUMBER(C74)),C73-C74-C75," ")</f>
        <v>6</v>
      </c>
      <c r="D76" s="83">
        <f t="shared" si="28"/>
        <v>3</v>
      </c>
      <c r="E76" s="83">
        <f t="shared" si="28"/>
        <v>3</v>
      </c>
      <c r="F76" s="83">
        <f t="shared" si="28"/>
        <v>6</v>
      </c>
      <c r="G76" s="83">
        <f t="shared" si="28"/>
        <v>6</v>
      </c>
      <c r="H76" s="83">
        <f t="shared" si="28"/>
        <v>6</v>
      </c>
      <c r="I76" s="83">
        <f t="shared" si="28"/>
        <v>6</v>
      </c>
      <c r="J76" s="84">
        <f t="shared" si="28"/>
        <v>7</v>
      </c>
      <c r="K76" s="13">
        <f>IF(ISNUMBER(FIND("Wins",K77)), 2, IF(ISNUMBER(FIND("Tie",K77)), 1, 0))</f>
        <v>0</v>
      </c>
      <c r="N76" s="15"/>
      <c r="O76" s="15"/>
      <c r="P76" s="59"/>
      <c r="Q76" s="59"/>
      <c r="R76" s="59"/>
      <c r="S76" s="59"/>
      <c r="T76" s="59"/>
      <c r="W76" s="15"/>
      <c r="X76" s="15"/>
      <c r="Y76" s="15"/>
      <c r="Z76" s="15"/>
      <c r="AA76" s="15"/>
    </row>
    <row r="77" spans="1:27" s="16" customFormat="1" ht="13.5" thickBot="1" x14ac:dyDescent="0.25">
      <c r="A77" s="31"/>
      <c r="B77" s="19">
        <f>IF(AND(ISNUMBER(B70),ISNUMBER(B76)),IF(B76&lt;B70, 0+1, (IF(B76&gt;B70, 0-1, 0)))," ")</f>
        <v>-1</v>
      </c>
      <c r="C77" s="9">
        <f t="shared" ref="C77:J77" si="29">IF(AND(ISNUMBER(C70),ISNUMBER(C76)),IF(C76&lt;C70, +B77+1, (IF(C76&gt;C70, +B77-1, +B77)))," ")</f>
        <v>-2</v>
      </c>
      <c r="D77" s="9">
        <f t="shared" si="29"/>
        <v>-1</v>
      </c>
      <c r="E77" s="9">
        <f t="shared" si="29"/>
        <v>0</v>
      </c>
      <c r="F77" s="9">
        <f t="shared" si="29"/>
        <v>0</v>
      </c>
      <c r="G77" s="9">
        <f t="shared" si="29"/>
        <v>-1</v>
      </c>
      <c r="H77" s="9">
        <f t="shared" si="29"/>
        <v>-2</v>
      </c>
      <c r="I77" s="9">
        <f t="shared" si="29"/>
        <v>-3</v>
      </c>
      <c r="J77" s="10">
        <f t="shared" si="29"/>
        <v>-4</v>
      </c>
      <c r="K77" s="14" t="str">
        <f>IF(ISNUMBER(J77),IF(F77&gt;4,"Wins " &amp; F77 &amp; " &amp; 4",IF(G77&gt;3,"Wins " &amp; G77 &amp; " &amp; 3",IF(H77&gt;2,"Wins " &amp; H77 &amp; " &amp; 2",IF(I77&gt;1,"Wins " &amp; I77 &amp; " &amp; 1",IF(J77&gt;J71,"Wins " &amp; J77 &amp; " Up",IF(J77&lt;J71,"Loss","Tie"))))))," ")</f>
        <v>Loss</v>
      </c>
      <c r="N77" s="15"/>
      <c r="O77" s="15"/>
      <c r="P77" s="59"/>
      <c r="Q77" s="59"/>
      <c r="R77" s="59"/>
      <c r="S77" s="59"/>
      <c r="T77" s="59"/>
      <c r="W77" s="15"/>
      <c r="X77" s="15"/>
      <c r="Y77" s="15"/>
      <c r="Z77" s="15"/>
      <c r="AA77" s="15"/>
    </row>
    <row r="78" spans="1:27" s="16" customFormat="1" x14ac:dyDescent="0.2">
      <c r="A78" s="26"/>
      <c r="B78" s="15"/>
      <c r="C78" s="15"/>
      <c r="D78" s="15"/>
      <c r="E78" s="15"/>
      <c r="F78" s="15"/>
      <c r="G78" s="15"/>
      <c r="H78" s="15"/>
      <c r="I78" s="15"/>
      <c r="J78" s="15"/>
      <c r="K78" s="15"/>
      <c r="N78" s="15"/>
      <c r="O78" s="15"/>
      <c r="P78" s="59"/>
      <c r="Q78" s="59"/>
      <c r="R78" s="59"/>
      <c r="S78" s="59"/>
      <c r="T78" s="59"/>
      <c r="W78" s="15"/>
      <c r="X78" s="15"/>
      <c r="Y78" s="15"/>
      <c r="Z78" s="15"/>
      <c r="AA78" s="15"/>
    </row>
    <row r="79" spans="1:27" s="16" customFormat="1" ht="13.5" thickBot="1" x14ac:dyDescent="0.25">
      <c r="A79" s="24" t="s">
        <v>11</v>
      </c>
      <c r="B79" s="2"/>
      <c r="C79" s="2"/>
      <c r="D79" s="2"/>
      <c r="E79" s="2"/>
      <c r="F79" s="2"/>
      <c r="G79" s="2"/>
      <c r="H79" s="2"/>
      <c r="I79" s="2"/>
      <c r="J79" s="2"/>
      <c r="K79" s="2"/>
      <c r="N79" s="15"/>
      <c r="O79" s="15"/>
      <c r="P79" s="59"/>
      <c r="Q79" s="59"/>
      <c r="R79" s="59"/>
      <c r="S79" s="59"/>
      <c r="T79" s="59"/>
      <c r="W79" s="15"/>
      <c r="X79" s="15"/>
      <c r="Y79" s="15"/>
      <c r="Z79" s="15"/>
      <c r="AA79" s="15"/>
    </row>
    <row r="80" spans="1:27" s="16" customFormat="1" x14ac:dyDescent="0.2">
      <c r="A80" s="29" t="str">
        <f t="shared" ref="A80:J80" si="30">A16</f>
        <v>Hunter</v>
      </c>
      <c r="B80" s="17">
        <f t="shared" si="30"/>
        <v>6</v>
      </c>
      <c r="C80" s="3">
        <f t="shared" si="30"/>
        <v>4</v>
      </c>
      <c r="D80" s="3">
        <f t="shared" si="30"/>
        <v>4</v>
      </c>
      <c r="E80" s="3">
        <f t="shared" si="30"/>
        <v>4</v>
      </c>
      <c r="F80" s="3">
        <f t="shared" si="30"/>
        <v>6</v>
      </c>
      <c r="G80" s="3">
        <f t="shared" si="30"/>
        <v>4</v>
      </c>
      <c r="H80" s="3">
        <f t="shared" si="30"/>
        <v>4</v>
      </c>
      <c r="I80" s="3">
        <f t="shared" si="30"/>
        <v>6</v>
      </c>
      <c r="J80" s="4">
        <f t="shared" si="30"/>
        <v>6</v>
      </c>
      <c r="K80" s="12">
        <f>SUM(B80:J80)</f>
        <v>44</v>
      </c>
      <c r="N80" s="15"/>
      <c r="O80" s="15"/>
      <c r="P80" s="59"/>
      <c r="Q80" s="59"/>
      <c r="R80" s="59"/>
      <c r="S80" s="59"/>
      <c r="T80" s="59"/>
      <c r="W80" s="15"/>
      <c r="X80" s="15"/>
      <c r="Y80" s="15"/>
      <c r="Z80" s="15"/>
      <c r="AA80" s="15"/>
    </row>
    <row r="81" spans="1:27" s="16" customFormat="1" x14ac:dyDescent="0.2">
      <c r="A81" s="30">
        <f>A17</f>
        <v>7</v>
      </c>
      <c r="B81" s="18">
        <f>IF(AND(ISNUMBER($A81),ISNUMBER($A87)),IF((RANK(B$4,$B$4:$J$4,1))&lt;=($A81-$A87),1,0),"")</f>
        <v>0</v>
      </c>
      <c r="C81" s="6">
        <f t="shared" ref="C81:J82" si="31">IF(AND(ISNUMBER($A81),ISNUMBER($A87)),IF((RANK(C$4,$B$4:$J$4,1))&lt;=($A81-$A87),1,0),"")</f>
        <v>0</v>
      </c>
      <c r="D81" s="6">
        <f t="shared" si="31"/>
        <v>0</v>
      </c>
      <c r="E81" s="6">
        <f t="shared" si="31"/>
        <v>0</v>
      </c>
      <c r="F81" s="6">
        <f t="shared" si="31"/>
        <v>0</v>
      </c>
      <c r="G81" s="6">
        <f t="shared" si="31"/>
        <v>0</v>
      </c>
      <c r="H81" s="6">
        <f t="shared" si="31"/>
        <v>0</v>
      </c>
      <c r="I81" s="6">
        <f t="shared" si="31"/>
        <v>0</v>
      </c>
      <c r="J81" s="7">
        <f t="shared" si="31"/>
        <v>0</v>
      </c>
      <c r="K81" s="13">
        <f>SUM(B81:J81)</f>
        <v>0</v>
      </c>
      <c r="N81" s="15"/>
      <c r="O81" s="15"/>
      <c r="P81" s="59"/>
      <c r="Q81" s="59"/>
      <c r="R81" s="59"/>
      <c r="S81" s="59"/>
      <c r="T81" s="59"/>
      <c r="W81" s="15"/>
      <c r="X81" s="15"/>
      <c r="Y81" s="15"/>
      <c r="Z81" s="15"/>
      <c r="AA81" s="15"/>
    </row>
    <row r="82" spans="1:27" s="16" customFormat="1" x14ac:dyDescent="0.2">
      <c r="A82" s="30">
        <f>IF((A81-A87)&gt;9,(A81-A87-9),0)</f>
        <v>0</v>
      </c>
      <c r="B82" s="18">
        <f>IF(AND(ISNUMBER($A82),ISNUMBER($A88)),IF((RANK(B$4,$B$4:$J$4,1))&lt;=($A82-$A88),1,0),"")</f>
        <v>0</v>
      </c>
      <c r="C82" s="6">
        <f t="shared" si="31"/>
        <v>0</v>
      </c>
      <c r="D82" s="6">
        <f t="shared" si="31"/>
        <v>0</v>
      </c>
      <c r="E82" s="6">
        <f t="shared" si="31"/>
        <v>0</v>
      </c>
      <c r="F82" s="6">
        <f t="shared" si="31"/>
        <v>0</v>
      </c>
      <c r="G82" s="6">
        <f t="shared" si="31"/>
        <v>0</v>
      </c>
      <c r="H82" s="6">
        <f t="shared" si="31"/>
        <v>0</v>
      </c>
      <c r="I82" s="6">
        <f t="shared" si="31"/>
        <v>0</v>
      </c>
      <c r="J82" s="7">
        <f t="shared" si="31"/>
        <v>0</v>
      </c>
      <c r="K82" s="13">
        <f>SUM(B82:J82)</f>
        <v>0</v>
      </c>
      <c r="N82" s="15"/>
      <c r="O82" s="15"/>
      <c r="P82" s="59"/>
      <c r="Q82" s="59"/>
      <c r="R82" s="59"/>
      <c r="S82" s="59"/>
      <c r="T82" s="59"/>
      <c r="W82" s="15"/>
      <c r="X82" s="15"/>
      <c r="Y82" s="15"/>
      <c r="Z82" s="15"/>
      <c r="AA82" s="15"/>
    </row>
    <row r="83" spans="1:27" s="16" customFormat="1" x14ac:dyDescent="0.2">
      <c r="A83" s="30"/>
      <c r="B83" s="82">
        <f>IF(AND(ISNUMBER(B80),ISNUMBER(B81)),B80-B81-B82," ")</f>
        <v>6</v>
      </c>
      <c r="C83" s="83">
        <f t="shared" ref="C83:J83" si="32">IF(AND(ISNUMBER(C80),ISNUMBER(C81)),C80-C81-C82," ")</f>
        <v>4</v>
      </c>
      <c r="D83" s="83">
        <f t="shared" si="32"/>
        <v>4</v>
      </c>
      <c r="E83" s="83">
        <f t="shared" si="32"/>
        <v>4</v>
      </c>
      <c r="F83" s="83">
        <f t="shared" si="32"/>
        <v>6</v>
      </c>
      <c r="G83" s="83">
        <f t="shared" si="32"/>
        <v>4</v>
      </c>
      <c r="H83" s="83">
        <f t="shared" si="32"/>
        <v>4</v>
      </c>
      <c r="I83" s="83">
        <f t="shared" si="32"/>
        <v>6</v>
      </c>
      <c r="J83" s="84">
        <f t="shared" si="32"/>
        <v>6</v>
      </c>
      <c r="K83" s="13">
        <f>IF(ISNUMBER(FIND("Wins",K84)), 2, IF(ISNUMBER(FIND("Tie",K84)), 1, 0))</f>
        <v>2</v>
      </c>
      <c r="N83" s="15"/>
      <c r="O83" s="15"/>
      <c r="P83" s="59"/>
      <c r="Q83" s="59"/>
      <c r="R83" s="59"/>
      <c r="S83" s="59"/>
      <c r="T83" s="59"/>
      <c r="W83" s="15"/>
      <c r="X83" s="15"/>
      <c r="Y83" s="15"/>
      <c r="Z83" s="15"/>
      <c r="AA83" s="15"/>
    </row>
    <row r="84" spans="1:27" s="16" customFormat="1" ht="13.5" thickBot="1" x14ac:dyDescent="0.25">
      <c r="A84" s="31"/>
      <c r="B84" s="19">
        <f>IF(AND(ISNUMBER(B83),ISNUMBER(B89)),IF(B83&lt;B89, 0+1, (IF(B83&gt;B89, 0-1, 0)))," ")</f>
        <v>1</v>
      </c>
      <c r="C84" s="9">
        <f t="shared" ref="C84:J84" si="33">IF(AND(ISNUMBER(C83),ISNUMBER(C89)),IF(C83&lt;C89, +B84+1, (IF(C83&gt;C89, +B84-1, +B84)))," ")</f>
        <v>2</v>
      </c>
      <c r="D84" s="9">
        <f t="shared" si="33"/>
        <v>1</v>
      </c>
      <c r="E84" s="9">
        <f t="shared" si="33"/>
        <v>2</v>
      </c>
      <c r="F84" s="9">
        <f t="shared" si="33"/>
        <v>3</v>
      </c>
      <c r="G84" s="9">
        <f t="shared" si="33"/>
        <v>3</v>
      </c>
      <c r="H84" s="9">
        <f t="shared" si="33"/>
        <v>4</v>
      </c>
      <c r="I84" s="9">
        <f t="shared" si="33"/>
        <v>3</v>
      </c>
      <c r="J84" s="10">
        <f t="shared" si="33"/>
        <v>4</v>
      </c>
      <c r="K84" s="14" t="str">
        <f>IF(ISNUMBER(J84),IF(F84&gt;4,"Wins " &amp; F84 &amp; " &amp; 4",IF(G84&gt;3,"Wins " &amp; G84 &amp; " &amp; 3",IF(H84&gt;2,"Wins " &amp; H84 &amp; " &amp; 2",IF(I84&gt;1,"Wins " &amp; I84 &amp; " &amp; 1",IF(J84&gt;J90,"Wins " &amp; J84 &amp; " Up",IF(J84&lt;J90,"Loss","Tie"))))))," ")</f>
        <v>Wins 4 &amp; 2</v>
      </c>
      <c r="N84" s="15"/>
      <c r="O84" s="15"/>
      <c r="P84" s="59"/>
      <c r="Q84" s="59"/>
      <c r="R84" s="59"/>
      <c r="S84" s="59"/>
      <c r="T84" s="59"/>
      <c r="W84" s="15"/>
      <c r="X84" s="15"/>
      <c r="Y84" s="15"/>
      <c r="Z84" s="15"/>
      <c r="AA84" s="15"/>
    </row>
    <row r="85" spans="1:27" s="16" customFormat="1" ht="13.5" thickBot="1" x14ac:dyDescent="0.2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N85" s="15"/>
      <c r="O85" s="15"/>
      <c r="P85" s="59"/>
      <c r="Q85" s="59"/>
      <c r="R85" s="59"/>
      <c r="S85" s="59"/>
      <c r="T85" s="59"/>
      <c r="W85" s="15"/>
      <c r="X85" s="15"/>
      <c r="Y85" s="15"/>
      <c r="Z85" s="15"/>
      <c r="AA85" s="15"/>
    </row>
    <row r="86" spans="1:27" s="16" customFormat="1" x14ac:dyDescent="0.2">
      <c r="A86" s="29" t="str">
        <f t="shared" ref="A86:J86" si="34">A20</f>
        <v>Manny</v>
      </c>
      <c r="B86" s="17">
        <f t="shared" si="34"/>
        <v>7</v>
      </c>
      <c r="C86" s="3">
        <f t="shared" si="34"/>
        <v>6</v>
      </c>
      <c r="D86" s="3">
        <f t="shared" si="34"/>
        <v>4</v>
      </c>
      <c r="E86" s="3">
        <f t="shared" si="34"/>
        <v>8</v>
      </c>
      <c r="F86" s="3">
        <f t="shared" si="34"/>
        <v>8</v>
      </c>
      <c r="G86" s="3">
        <f t="shared" si="34"/>
        <v>5</v>
      </c>
      <c r="H86" s="3">
        <f t="shared" si="34"/>
        <v>9</v>
      </c>
      <c r="I86" s="3">
        <f t="shared" si="34"/>
        <v>6</v>
      </c>
      <c r="J86" s="4">
        <f t="shared" si="34"/>
        <v>8</v>
      </c>
      <c r="K86" s="12">
        <f>SUM(B86:J86)</f>
        <v>61</v>
      </c>
      <c r="N86" s="15"/>
      <c r="O86" s="15"/>
      <c r="P86" s="59"/>
      <c r="Q86" s="59"/>
      <c r="R86" s="59"/>
      <c r="S86" s="59"/>
      <c r="T86" s="59"/>
      <c r="W86" s="15"/>
      <c r="X86" s="15"/>
      <c r="Y86" s="15"/>
      <c r="Z86" s="15"/>
      <c r="AA86" s="15"/>
    </row>
    <row r="87" spans="1:27" s="16" customFormat="1" x14ac:dyDescent="0.2">
      <c r="A87" s="30">
        <f>A21</f>
        <v>14</v>
      </c>
      <c r="B87" s="18">
        <f>IF(AND(ISNUMBER($A81),ISNUMBER($A87)),IF((RANK(B$4,$B$4:$J$4,1))&lt;=($A87-$A81),1,0),"")</f>
        <v>0</v>
      </c>
      <c r="C87" s="6">
        <f t="shared" ref="C87:J88" si="35">IF(AND(ISNUMBER($A81),ISNUMBER($A87)),IF((RANK(C$4,$B$4:$J$4,1))&lt;=($A87-$A81),1,0),"")</f>
        <v>1</v>
      </c>
      <c r="D87" s="6">
        <f t="shared" si="35"/>
        <v>1</v>
      </c>
      <c r="E87" s="6">
        <f t="shared" si="35"/>
        <v>0</v>
      </c>
      <c r="F87" s="6">
        <f t="shared" si="35"/>
        <v>1</v>
      </c>
      <c r="G87" s="6">
        <f t="shared" si="35"/>
        <v>1</v>
      </c>
      <c r="H87" s="6">
        <f t="shared" si="35"/>
        <v>1</v>
      </c>
      <c r="I87" s="6">
        <f t="shared" si="35"/>
        <v>1</v>
      </c>
      <c r="J87" s="7">
        <f t="shared" si="35"/>
        <v>1</v>
      </c>
      <c r="K87" s="13">
        <f>SUM(B87:J87)</f>
        <v>7</v>
      </c>
      <c r="N87" s="15"/>
      <c r="O87" s="15"/>
      <c r="P87" s="59"/>
      <c r="Q87" s="59"/>
      <c r="R87" s="59"/>
      <c r="S87" s="59"/>
      <c r="T87" s="59"/>
      <c r="W87" s="15"/>
      <c r="X87" s="15"/>
      <c r="Y87" s="15"/>
      <c r="Z87" s="15"/>
      <c r="AA87" s="15"/>
    </row>
    <row r="88" spans="1:27" s="16" customFormat="1" x14ac:dyDescent="0.2">
      <c r="A88" s="30">
        <f>IF((A87-A81)&gt;9,(A87-A81-9),0)</f>
        <v>0</v>
      </c>
      <c r="B88" s="18">
        <f>IF(AND(ISNUMBER($A82),ISNUMBER($A88)),IF((RANK(B$4,$B$4:$J$4,1))&lt;=($A88-$A82),1,0),"")</f>
        <v>0</v>
      </c>
      <c r="C88" s="6">
        <f t="shared" si="35"/>
        <v>0</v>
      </c>
      <c r="D88" s="6">
        <f t="shared" si="35"/>
        <v>0</v>
      </c>
      <c r="E88" s="6">
        <f t="shared" si="35"/>
        <v>0</v>
      </c>
      <c r="F88" s="6">
        <f t="shared" si="35"/>
        <v>0</v>
      </c>
      <c r="G88" s="6">
        <f t="shared" si="35"/>
        <v>0</v>
      </c>
      <c r="H88" s="6">
        <f t="shared" si="35"/>
        <v>0</v>
      </c>
      <c r="I88" s="6">
        <f t="shared" si="35"/>
        <v>0</v>
      </c>
      <c r="J88" s="7">
        <f t="shared" si="35"/>
        <v>0</v>
      </c>
      <c r="K88" s="13">
        <f>SUM(B88:J88)</f>
        <v>0</v>
      </c>
      <c r="N88" s="15"/>
      <c r="O88" s="15"/>
      <c r="P88" s="59"/>
      <c r="Q88" s="59"/>
      <c r="R88" s="59"/>
      <c r="S88" s="59"/>
      <c r="T88" s="59"/>
      <c r="W88" s="15"/>
      <c r="X88" s="15"/>
      <c r="Y88" s="15"/>
      <c r="Z88" s="15"/>
      <c r="AA88" s="15"/>
    </row>
    <row r="89" spans="1:27" s="16" customFormat="1" x14ac:dyDescent="0.2">
      <c r="A89" s="30"/>
      <c r="B89" s="82">
        <f>IF(AND(ISNUMBER(B86),ISNUMBER(B87)),B86-B87-B88," ")</f>
        <v>7</v>
      </c>
      <c r="C89" s="83">
        <f t="shared" ref="C89:J89" si="36">IF(AND(ISNUMBER(C86),ISNUMBER(C87)),C86-C87-C88," ")</f>
        <v>5</v>
      </c>
      <c r="D89" s="83">
        <f t="shared" si="36"/>
        <v>3</v>
      </c>
      <c r="E89" s="83">
        <f t="shared" si="36"/>
        <v>8</v>
      </c>
      <c r="F89" s="83">
        <f t="shared" si="36"/>
        <v>7</v>
      </c>
      <c r="G89" s="83">
        <f t="shared" si="36"/>
        <v>4</v>
      </c>
      <c r="H89" s="83">
        <f t="shared" si="36"/>
        <v>8</v>
      </c>
      <c r="I89" s="83">
        <f t="shared" si="36"/>
        <v>5</v>
      </c>
      <c r="J89" s="84">
        <f t="shared" si="36"/>
        <v>7</v>
      </c>
      <c r="K89" s="13">
        <f>IF(ISNUMBER(FIND("Wins",K90)), 2, IF(ISNUMBER(FIND("Tie",K90)), 1, 0))</f>
        <v>0</v>
      </c>
      <c r="N89" s="15"/>
      <c r="O89" s="15"/>
      <c r="P89" s="59"/>
      <c r="Q89" s="59"/>
      <c r="R89" s="59"/>
      <c r="S89" s="59"/>
      <c r="T89" s="59"/>
      <c r="W89" s="15"/>
      <c r="X89" s="15"/>
      <c r="Y89" s="15"/>
      <c r="Z89" s="15"/>
      <c r="AA89" s="15"/>
    </row>
    <row r="90" spans="1:27" s="16" customFormat="1" ht="13.5" thickBot="1" x14ac:dyDescent="0.25">
      <c r="A90" s="31"/>
      <c r="B90" s="19">
        <f>IF(AND(ISNUMBER(B83),ISNUMBER(B89)),IF(B89&lt;B83, 0+1, (IF(B89&gt;B83, 0-1, 0)))," ")</f>
        <v>-1</v>
      </c>
      <c r="C90" s="9">
        <f t="shared" ref="C90:J90" si="37">IF(AND(ISNUMBER(C83),ISNUMBER(C89)),IF(C89&lt;C83, +B90+1, (IF(C89&gt;C83, +B90-1, +B90)))," ")</f>
        <v>-2</v>
      </c>
      <c r="D90" s="9">
        <f t="shared" si="37"/>
        <v>-1</v>
      </c>
      <c r="E90" s="9">
        <f t="shared" si="37"/>
        <v>-2</v>
      </c>
      <c r="F90" s="9">
        <f t="shared" si="37"/>
        <v>-3</v>
      </c>
      <c r="G90" s="9">
        <f t="shared" si="37"/>
        <v>-3</v>
      </c>
      <c r="H90" s="9">
        <f t="shared" si="37"/>
        <v>-4</v>
      </c>
      <c r="I90" s="9">
        <f t="shared" si="37"/>
        <v>-3</v>
      </c>
      <c r="J90" s="10">
        <f t="shared" si="37"/>
        <v>-4</v>
      </c>
      <c r="K90" s="14" t="str">
        <f>IF(ISNUMBER(J90),IF(F90&gt;4,"Wins " &amp; F90 &amp; " &amp; 4",IF(G90&gt;3,"Wins " &amp; G90 &amp; " &amp; 3",IF(H90&gt;2,"Wins " &amp; H90 &amp; " &amp; 2",IF(I90&gt;1,"Wins " &amp; I90 &amp; " &amp; 1",IF(J90&gt;J84,"Wins " &amp; J90 &amp; " Up",IF(J90&lt;J84,"Loss","Tie"))))))," ")</f>
        <v>Loss</v>
      </c>
      <c r="N90" s="15"/>
      <c r="O90" s="15"/>
      <c r="P90" s="59"/>
      <c r="Q90" s="59"/>
      <c r="R90" s="59"/>
      <c r="S90" s="59"/>
      <c r="T90" s="59"/>
      <c r="W90" s="15"/>
      <c r="X90" s="15"/>
      <c r="Y90" s="15"/>
      <c r="Z90" s="15"/>
      <c r="AA90" s="15"/>
    </row>
    <row r="91" spans="1:27" s="16" customFormat="1" x14ac:dyDescent="0.2">
      <c r="A91" s="26"/>
      <c r="B91" s="15"/>
      <c r="C91" s="15"/>
      <c r="D91" s="15"/>
      <c r="E91" s="15"/>
      <c r="F91" s="15"/>
      <c r="G91" s="15"/>
      <c r="H91" s="15"/>
      <c r="I91" s="15"/>
      <c r="J91" s="15"/>
      <c r="K91" s="15"/>
      <c r="N91" s="15"/>
      <c r="O91" s="15"/>
      <c r="P91" s="59"/>
      <c r="Q91" s="59"/>
      <c r="R91" s="59"/>
      <c r="S91" s="59"/>
      <c r="T91" s="59"/>
      <c r="W91" s="15"/>
      <c r="X91" s="15"/>
      <c r="Y91" s="15"/>
      <c r="Z91" s="15"/>
      <c r="AA91" s="15"/>
    </row>
    <row r="92" spans="1:27" s="16" customFormat="1" ht="13.5" thickBot="1" x14ac:dyDescent="0.25">
      <c r="A92" s="24" t="s">
        <v>12</v>
      </c>
      <c r="B92" s="2"/>
      <c r="C92" s="2"/>
      <c r="D92" s="2"/>
      <c r="E92" s="2"/>
      <c r="F92" s="2"/>
      <c r="G92" s="2"/>
      <c r="H92" s="2"/>
      <c r="I92" s="2"/>
      <c r="J92" s="2"/>
      <c r="K92" s="2"/>
      <c r="N92" s="15"/>
      <c r="O92" s="15"/>
      <c r="P92" s="59"/>
      <c r="Q92" s="59"/>
      <c r="R92" s="59"/>
      <c r="S92" s="59"/>
      <c r="T92" s="59"/>
      <c r="W92" s="15"/>
      <c r="X92" s="15"/>
      <c r="Y92" s="15"/>
      <c r="Z92" s="15"/>
      <c r="AA92" s="15"/>
    </row>
    <row r="93" spans="1:27" s="16" customFormat="1" x14ac:dyDescent="0.2">
      <c r="A93" s="29" t="str">
        <f t="shared" ref="A93:J93" si="38">A22</f>
        <v>Keith</v>
      </c>
      <c r="B93" s="17">
        <f t="shared" si="38"/>
        <v>6</v>
      </c>
      <c r="C93" s="3">
        <f t="shared" si="38"/>
        <v>7</v>
      </c>
      <c r="D93" s="3">
        <f t="shared" si="38"/>
        <v>7</v>
      </c>
      <c r="E93" s="3">
        <f t="shared" si="38"/>
        <v>6</v>
      </c>
      <c r="F93" s="3">
        <f t="shared" si="38"/>
        <v>7</v>
      </c>
      <c r="G93" s="3">
        <f t="shared" si="38"/>
        <v>5</v>
      </c>
      <c r="H93" s="3">
        <f t="shared" si="38"/>
        <v>5</v>
      </c>
      <c r="I93" s="3">
        <f t="shared" si="38"/>
        <v>4</v>
      </c>
      <c r="J93" s="4">
        <f t="shared" si="38"/>
        <v>7</v>
      </c>
      <c r="K93" s="12">
        <f>SUM(B93:J93)</f>
        <v>54</v>
      </c>
      <c r="N93" s="15"/>
      <c r="O93" s="15"/>
      <c r="P93" s="59"/>
      <c r="Q93" s="59"/>
      <c r="R93" s="59"/>
      <c r="S93" s="59"/>
      <c r="T93" s="59"/>
      <c r="W93" s="15"/>
      <c r="X93" s="15"/>
      <c r="Y93" s="15"/>
      <c r="Z93" s="15"/>
      <c r="AA93" s="15"/>
    </row>
    <row r="94" spans="1:27" s="16" customFormat="1" x14ac:dyDescent="0.2">
      <c r="A94" s="30">
        <f>A23</f>
        <v>16</v>
      </c>
      <c r="B94" s="18">
        <f>IF(AND(ISNUMBER($A94),ISNUMBER($A100)),IF((RANK(B$4,$B$4:$J$4,1))&lt;=($A94-$A100),1,0),"")</f>
        <v>1</v>
      </c>
      <c r="C94" s="6">
        <f t="shared" ref="C94:J95" si="39">IF(AND(ISNUMBER($A94),ISNUMBER($A100)),IF((RANK(C$4,$B$4:$J$4,1))&lt;=($A94-$A100),1,0),"")</f>
        <v>1</v>
      </c>
      <c r="D94" s="6">
        <f t="shared" si="39"/>
        <v>1</v>
      </c>
      <c r="E94" s="6">
        <f t="shared" si="39"/>
        <v>1</v>
      </c>
      <c r="F94" s="6">
        <f t="shared" si="39"/>
        <v>1</v>
      </c>
      <c r="G94" s="6">
        <f t="shared" si="39"/>
        <v>1</v>
      </c>
      <c r="H94" s="6">
        <f t="shared" si="39"/>
        <v>1</v>
      </c>
      <c r="I94" s="6">
        <f t="shared" si="39"/>
        <v>1</v>
      </c>
      <c r="J94" s="7">
        <f t="shared" si="39"/>
        <v>1</v>
      </c>
      <c r="K94" s="13">
        <f>SUM(B94:J94)</f>
        <v>9</v>
      </c>
      <c r="N94" s="15"/>
      <c r="O94" s="15"/>
      <c r="P94" s="59"/>
      <c r="Q94" s="59"/>
      <c r="R94" s="59"/>
      <c r="S94" s="59"/>
      <c r="T94" s="59"/>
      <c r="W94" s="15"/>
      <c r="X94" s="15"/>
      <c r="Y94" s="15"/>
      <c r="Z94" s="15"/>
      <c r="AA94" s="15"/>
    </row>
    <row r="95" spans="1:27" s="16" customFormat="1" x14ac:dyDescent="0.2">
      <c r="A95" s="30">
        <f>IF((A94-A100)&gt;9,(A94-A100-9),0)</f>
        <v>1</v>
      </c>
      <c r="B95" s="18">
        <f>IF(AND(ISNUMBER($A95),ISNUMBER($A101)),IF((RANK(B$4,$B$4:$J$4,1))&lt;=($A95-$A101),1,0),"")</f>
        <v>0</v>
      </c>
      <c r="C95" s="6">
        <f t="shared" si="39"/>
        <v>0</v>
      </c>
      <c r="D95" s="6">
        <f t="shared" si="39"/>
        <v>0</v>
      </c>
      <c r="E95" s="6">
        <f t="shared" si="39"/>
        <v>0</v>
      </c>
      <c r="F95" s="6">
        <f t="shared" si="39"/>
        <v>1</v>
      </c>
      <c r="G95" s="6">
        <f t="shared" si="39"/>
        <v>0</v>
      </c>
      <c r="H95" s="6">
        <f t="shared" si="39"/>
        <v>0</v>
      </c>
      <c r="I95" s="6">
        <f t="shared" si="39"/>
        <v>0</v>
      </c>
      <c r="J95" s="7">
        <f t="shared" si="39"/>
        <v>0</v>
      </c>
      <c r="K95" s="13">
        <f>SUM(B95:J95)</f>
        <v>1</v>
      </c>
      <c r="N95" s="15"/>
      <c r="O95" s="15"/>
      <c r="P95" s="59"/>
      <c r="Q95" s="59"/>
      <c r="R95" s="59"/>
      <c r="S95" s="59"/>
      <c r="T95" s="59"/>
      <c r="W95" s="15"/>
      <c r="X95" s="15"/>
      <c r="Y95" s="15"/>
      <c r="Z95" s="15"/>
      <c r="AA95" s="15"/>
    </row>
    <row r="96" spans="1:27" s="16" customFormat="1" x14ac:dyDescent="0.2">
      <c r="A96" s="30"/>
      <c r="B96" s="82">
        <f>IF(AND(ISNUMBER(B93),ISNUMBER(B94)),B93-B94-B95," ")</f>
        <v>5</v>
      </c>
      <c r="C96" s="83">
        <f t="shared" ref="C96:J96" si="40">IF(AND(ISNUMBER(C93),ISNUMBER(C94)),C93-C94-C95," ")</f>
        <v>6</v>
      </c>
      <c r="D96" s="83">
        <f t="shared" si="40"/>
        <v>6</v>
      </c>
      <c r="E96" s="83">
        <f t="shared" si="40"/>
        <v>5</v>
      </c>
      <c r="F96" s="83">
        <f t="shared" si="40"/>
        <v>5</v>
      </c>
      <c r="G96" s="83">
        <f t="shared" si="40"/>
        <v>4</v>
      </c>
      <c r="H96" s="83">
        <f t="shared" si="40"/>
        <v>4</v>
      </c>
      <c r="I96" s="83">
        <f t="shared" si="40"/>
        <v>3</v>
      </c>
      <c r="J96" s="84">
        <f t="shared" si="40"/>
        <v>6</v>
      </c>
      <c r="K96" s="13">
        <f>IF(ISNUMBER(FIND("Wins",K97)), 2, IF(ISNUMBER(FIND("Tie",K97)), 1, 0))</f>
        <v>0</v>
      </c>
      <c r="N96" s="15"/>
      <c r="O96" s="15"/>
      <c r="P96" s="59"/>
      <c r="Q96" s="59"/>
      <c r="R96" s="59"/>
      <c r="S96" s="59"/>
      <c r="T96" s="59"/>
      <c r="W96" s="15"/>
      <c r="X96" s="15"/>
      <c r="Y96" s="15"/>
      <c r="Z96" s="15"/>
      <c r="AA96" s="15"/>
    </row>
    <row r="97" spans="1:27" s="16" customFormat="1" ht="13.5" thickBot="1" x14ac:dyDescent="0.25">
      <c r="A97" s="31"/>
      <c r="B97" s="19">
        <f>IF(AND(ISNUMBER(B96),ISNUMBER(B102)),IF(B96&lt;B102, 0+1, (IF(B96&gt;B102, 0-1, 0)))," ")</f>
        <v>1</v>
      </c>
      <c r="C97" s="9">
        <f t="shared" ref="C97:J97" si="41">IF(AND(ISNUMBER(C96),ISNUMBER(C102)),IF(C96&lt;C102, +B97+1, (IF(C96&gt;C102, +B97-1, +B97)))," ")</f>
        <v>0</v>
      </c>
      <c r="D97" s="9">
        <f t="shared" si="41"/>
        <v>-1</v>
      </c>
      <c r="E97" s="9">
        <f t="shared" si="41"/>
        <v>-2</v>
      </c>
      <c r="F97" s="9">
        <f t="shared" si="41"/>
        <v>-2</v>
      </c>
      <c r="G97" s="9">
        <f t="shared" si="41"/>
        <v>-1</v>
      </c>
      <c r="H97" s="9">
        <f t="shared" si="41"/>
        <v>-1</v>
      </c>
      <c r="I97" s="9">
        <f t="shared" si="41"/>
        <v>-1</v>
      </c>
      <c r="J97" s="10">
        <f t="shared" si="41"/>
        <v>-2</v>
      </c>
      <c r="K97" s="14" t="str">
        <f>IF(ISNUMBER(J97),IF(F97&gt;4,"Wins " &amp; F97 &amp; " &amp; 4",IF(G97&gt;3,"Wins " &amp; G97 &amp; " &amp; 3",IF(H97&gt;2,"Wins " &amp; H97 &amp; " &amp; 2",IF(I97&gt;1,"Wins " &amp; I97 &amp; " &amp; 1",IF(J97&gt;J103,"Wins " &amp; J97 &amp; " Up",IF(J97&lt;J103,"Loss","Tie"))))))," ")</f>
        <v>Loss</v>
      </c>
      <c r="N97" s="15"/>
      <c r="O97" s="15"/>
      <c r="P97" s="59"/>
      <c r="Q97" s="59"/>
      <c r="R97" s="59"/>
      <c r="S97" s="59"/>
      <c r="T97" s="59"/>
      <c r="W97" s="15"/>
      <c r="X97" s="15"/>
      <c r="Y97" s="15"/>
      <c r="Z97" s="15"/>
      <c r="AA97" s="15"/>
    </row>
    <row r="98" spans="1:27" s="16" customFormat="1" ht="13.5" thickBot="1" x14ac:dyDescent="0.25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N98" s="15"/>
      <c r="O98" s="15"/>
      <c r="P98" s="59"/>
      <c r="Q98" s="59"/>
      <c r="R98" s="59"/>
      <c r="S98" s="59"/>
      <c r="T98" s="59"/>
      <c r="W98" s="15"/>
      <c r="X98" s="15"/>
      <c r="Y98" s="15"/>
      <c r="Z98" s="15"/>
      <c r="AA98" s="15"/>
    </row>
    <row r="99" spans="1:27" s="16" customFormat="1" x14ac:dyDescent="0.2">
      <c r="A99" s="79" t="str">
        <f t="shared" ref="A99:J99" si="42">A26</f>
        <v>Brian P</v>
      </c>
      <c r="B99" s="17">
        <f t="shared" si="42"/>
        <v>8</v>
      </c>
      <c r="C99" s="3">
        <f t="shared" si="42"/>
        <v>5</v>
      </c>
      <c r="D99" s="3">
        <f t="shared" si="42"/>
        <v>4</v>
      </c>
      <c r="E99" s="3">
        <f t="shared" si="42"/>
        <v>3</v>
      </c>
      <c r="F99" s="3">
        <f t="shared" si="42"/>
        <v>5</v>
      </c>
      <c r="G99" s="3">
        <f t="shared" si="42"/>
        <v>5</v>
      </c>
      <c r="H99" s="3">
        <f t="shared" si="42"/>
        <v>4</v>
      </c>
      <c r="I99" s="3">
        <f t="shared" si="42"/>
        <v>3</v>
      </c>
      <c r="J99" s="4">
        <f t="shared" si="42"/>
        <v>5</v>
      </c>
      <c r="K99" s="12">
        <f>SUM(B99:J99)</f>
        <v>42</v>
      </c>
      <c r="N99" s="15"/>
      <c r="O99" s="15"/>
      <c r="P99" s="59"/>
      <c r="Q99" s="59"/>
      <c r="R99" s="59"/>
      <c r="S99" s="59"/>
      <c r="T99" s="59"/>
      <c r="W99" s="15"/>
      <c r="X99" s="15"/>
      <c r="Y99" s="15"/>
      <c r="Z99" s="15"/>
      <c r="AA99" s="15"/>
    </row>
    <row r="100" spans="1:27" s="16" customFormat="1" x14ac:dyDescent="0.2">
      <c r="A100" s="80">
        <f>A27</f>
        <v>6</v>
      </c>
      <c r="B100" s="18">
        <f>IF(AND(ISNUMBER($A94),ISNUMBER($A100)),IF((RANK(B$4,$B$4:$J$4,1))&lt;=($A100-$A94),1,0),"")</f>
        <v>0</v>
      </c>
      <c r="C100" s="6">
        <f t="shared" ref="C100:J101" si="43">IF(AND(ISNUMBER($A94),ISNUMBER($A100)),IF((RANK(C$4,$B$4:$J$4,1))&lt;=($A100-$A94),1,0),"")</f>
        <v>0</v>
      </c>
      <c r="D100" s="6">
        <f t="shared" si="43"/>
        <v>0</v>
      </c>
      <c r="E100" s="6">
        <f t="shared" si="43"/>
        <v>0</v>
      </c>
      <c r="F100" s="6">
        <f t="shared" si="43"/>
        <v>0</v>
      </c>
      <c r="G100" s="6">
        <f t="shared" si="43"/>
        <v>0</v>
      </c>
      <c r="H100" s="6">
        <f t="shared" si="43"/>
        <v>0</v>
      </c>
      <c r="I100" s="6">
        <f t="shared" si="43"/>
        <v>0</v>
      </c>
      <c r="J100" s="7">
        <f t="shared" si="43"/>
        <v>0</v>
      </c>
      <c r="K100" s="13">
        <f>SUM(B100:J100)</f>
        <v>0</v>
      </c>
      <c r="N100" s="15"/>
      <c r="O100" s="15"/>
      <c r="P100" s="59"/>
      <c r="Q100" s="59"/>
      <c r="R100" s="59"/>
      <c r="S100" s="59"/>
      <c r="T100" s="59"/>
      <c r="W100" s="15"/>
      <c r="X100" s="15"/>
      <c r="Y100" s="15"/>
      <c r="Z100" s="15"/>
      <c r="AA100" s="15"/>
    </row>
    <row r="101" spans="1:27" s="16" customFormat="1" x14ac:dyDescent="0.2">
      <c r="A101" s="80">
        <f>IF((A100-A94)&gt;9,(A100-A94-9),0)</f>
        <v>0</v>
      </c>
      <c r="B101" s="18">
        <f>IF(AND(ISNUMBER($A95),ISNUMBER($A101)),IF((RANK(B$4,$B$4:$J$4,1))&lt;=($A101-$A95),1,0),"")</f>
        <v>0</v>
      </c>
      <c r="C101" s="6">
        <f t="shared" si="43"/>
        <v>0</v>
      </c>
      <c r="D101" s="6">
        <f t="shared" si="43"/>
        <v>0</v>
      </c>
      <c r="E101" s="6">
        <f t="shared" si="43"/>
        <v>0</v>
      </c>
      <c r="F101" s="6">
        <f t="shared" si="43"/>
        <v>0</v>
      </c>
      <c r="G101" s="6">
        <f t="shared" si="43"/>
        <v>0</v>
      </c>
      <c r="H101" s="6">
        <f t="shared" si="43"/>
        <v>0</v>
      </c>
      <c r="I101" s="6">
        <f t="shared" si="43"/>
        <v>0</v>
      </c>
      <c r="J101" s="7">
        <f t="shared" si="43"/>
        <v>0</v>
      </c>
      <c r="K101" s="13">
        <f>SUM(B101:J101)</f>
        <v>0</v>
      </c>
      <c r="N101" s="15"/>
      <c r="O101" s="15"/>
      <c r="P101" s="59"/>
      <c r="Q101" s="59"/>
      <c r="R101" s="59"/>
      <c r="S101" s="59"/>
      <c r="T101" s="59"/>
      <c r="W101" s="15"/>
      <c r="X101" s="15"/>
      <c r="Y101" s="15"/>
      <c r="Z101" s="15"/>
      <c r="AA101" s="15"/>
    </row>
    <row r="102" spans="1:27" s="16" customFormat="1" x14ac:dyDescent="0.2">
      <c r="A102" s="80"/>
      <c r="B102" s="82">
        <f>IF(AND(ISNUMBER(B99),ISNUMBER(B100)),B99-B100-B101," ")</f>
        <v>8</v>
      </c>
      <c r="C102" s="83">
        <f t="shared" ref="C102:J102" si="44">IF(AND(ISNUMBER(C99),ISNUMBER(C100)),C99-C100-C101," ")</f>
        <v>5</v>
      </c>
      <c r="D102" s="83">
        <f t="shared" si="44"/>
        <v>4</v>
      </c>
      <c r="E102" s="83">
        <f t="shared" si="44"/>
        <v>3</v>
      </c>
      <c r="F102" s="83">
        <f t="shared" si="44"/>
        <v>5</v>
      </c>
      <c r="G102" s="83">
        <f t="shared" si="44"/>
        <v>5</v>
      </c>
      <c r="H102" s="83">
        <f t="shared" si="44"/>
        <v>4</v>
      </c>
      <c r="I102" s="83">
        <f t="shared" si="44"/>
        <v>3</v>
      </c>
      <c r="J102" s="84">
        <f t="shared" si="44"/>
        <v>5</v>
      </c>
      <c r="K102" s="13">
        <f>IF(ISNUMBER(FIND("Wins",K103)), 2, IF(ISNUMBER(FIND("Tie",K103)), 1, 0))</f>
        <v>2</v>
      </c>
      <c r="N102" s="15"/>
      <c r="O102" s="15"/>
      <c r="P102" s="59"/>
      <c r="Q102" s="59"/>
      <c r="R102" s="59"/>
      <c r="S102" s="59"/>
      <c r="T102" s="59"/>
      <c r="W102" s="15"/>
      <c r="X102" s="15"/>
      <c r="Y102" s="15"/>
      <c r="Z102" s="15"/>
      <c r="AA102" s="15"/>
    </row>
    <row r="103" spans="1:27" s="16" customFormat="1" ht="13.5" thickBot="1" x14ac:dyDescent="0.25">
      <c r="A103" s="81"/>
      <c r="B103" s="19">
        <f>IF(AND(ISNUMBER(B96),ISNUMBER(B102)),IF(B102&lt;B96, 0+1, (IF(B102&gt;B96, 0-1, 0)))," ")</f>
        <v>-1</v>
      </c>
      <c r="C103" s="9">
        <f t="shared" ref="C103:J103" si="45">IF(AND(ISNUMBER(C96),ISNUMBER(C102)),IF(C102&lt;C96, +B103+1, (IF(C102&gt;C96, +B103-1, +B103)))," ")</f>
        <v>0</v>
      </c>
      <c r="D103" s="9">
        <f t="shared" si="45"/>
        <v>1</v>
      </c>
      <c r="E103" s="9">
        <f t="shared" si="45"/>
        <v>2</v>
      </c>
      <c r="F103" s="9">
        <f t="shared" si="45"/>
        <v>2</v>
      </c>
      <c r="G103" s="9">
        <f t="shared" si="45"/>
        <v>1</v>
      </c>
      <c r="H103" s="9">
        <f t="shared" si="45"/>
        <v>1</v>
      </c>
      <c r="I103" s="9">
        <f t="shared" si="45"/>
        <v>1</v>
      </c>
      <c r="J103" s="10">
        <f t="shared" si="45"/>
        <v>2</v>
      </c>
      <c r="K103" s="14" t="str">
        <f>IF(ISNUMBER(J103),IF(F103&gt;4,"Wins " &amp; F103 &amp; " &amp; 4",IF(G103&gt;3,"Wins " &amp; G103 &amp; " &amp; 3",IF(H103&gt;2,"Wins " &amp; H103 &amp; " &amp; 2",IF(I103&gt;1,"Wins " &amp; I103 &amp; " &amp; 1",IF(J103&gt;J97,"Wins " &amp; J103 &amp; " Up",IF(J103&lt;J97,"Loss","Tie"))))))," ")</f>
        <v>Wins 2 Up</v>
      </c>
      <c r="N103" s="15"/>
      <c r="O103" s="15"/>
      <c r="P103" s="59"/>
      <c r="Q103" s="59"/>
      <c r="R103" s="59"/>
      <c r="S103" s="59"/>
      <c r="T103" s="59"/>
      <c r="W103" s="15"/>
      <c r="X103" s="15"/>
      <c r="Y103" s="15"/>
      <c r="Z103" s="15"/>
      <c r="AA103" s="15"/>
    </row>
    <row r="104" spans="1:27" s="16" customFormat="1" x14ac:dyDescent="0.2">
      <c r="A104" s="2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N104" s="15"/>
      <c r="O104" s="15"/>
      <c r="P104" s="59"/>
      <c r="Q104" s="59"/>
      <c r="R104" s="59"/>
      <c r="S104" s="59"/>
      <c r="T104" s="59"/>
      <c r="W104" s="15"/>
      <c r="X104" s="15"/>
      <c r="Y104" s="15"/>
      <c r="Z104" s="15"/>
      <c r="AA104" s="15"/>
    </row>
    <row r="105" spans="1:27" s="16" customFormat="1" ht="13.5" thickBot="1" x14ac:dyDescent="0.25">
      <c r="A105" s="24" t="s">
        <v>13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N105" s="15"/>
      <c r="O105" s="15"/>
      <c r="P105" s="59"/>
      <c r="Q105" s="59"/>
      <c r="R105" s="59"/>
      <c r="S105" s="59"/>
      <c r="T105" s="59"/>
      <c r="W105" s="15"/>
      <c r="X105" s="15"/>
      <c r="Y105" s="15"/>
      <c r="Z105" s="15"/>
      <c r="AA105" s="15"/>
    </row>
    <row r="106" spans="1:27" s="16" customFormat="1" x14ac:dyDescent="0.2">
      <c r="A106" s="29" t="str">
        <f t="shared" ref="A106:J106" si="46">A24</f>
        <v>Chris</v>
      </c>
      <c r="B106" s="17">
        <f t="shared" si="46"/>
        <v>8</v>
      </c>
      <c r="C106" s="3">
        <f t="shared" si="46"/>
        <v>4</v>
      </c>
      <c r="D106" s="3">
        <f t="shared" si="46"/>
        <v>7</v>
      </c>
      <c r="E106" s="3">
        <f t="shared" si="46"/>
        <v>5</v>
      </c>
      <c r="F106" s="3">
        <f t="shared" si="46"/>
        <v>6</v>
      </c>
      <c r="G106" s="3">
        <f t="shared" si="46"/>
        <v>7</v>
      </c>
      <c r="H106" s="3">
        <f t="shared" si="46"/>
        <v>6</v>
      </c>
      <c r="I106" s="3">
        <f t="shared" si="46"/>
        <v>4</v>
      </c>
      <c r="J106" s="4">
        <f t="shared" si="46"/>
        <v>6</v>
      </c>
      <c r="K106" s="12">
        <f>SUM(B106:J106)</f>
        <v>53</v>
      </c>
      <c r="N106" s="15"/>
      <c r="O106" s="15"/>
      <c r="P106" s="59"/>
      <c r="Q106" s="59"/>
      <c r="R106" s="59"/>
      <c r="S106" s="59"/>
      <c r="T106" s="59"/>
      <c r="W106" s="15"/>
      <c r="X106" s="15"/>
      <c r="Y106" s="15"/>
      <c r="Z106" s="15"/>
      <c r="AA106" s="15"/>
    </row>
    <row r="107" spans="1:27" s="16" customFormat="1" x14ac:dyDescent="0.2">
      <c r="A107" s="30">
        <f>A25</f>
        <v>15</v>
      </c>
      <c r="B107" s="18">
        <f>IF(AND(ISNUMBER($A107),ISNUMBER($A113)),IF((RANK(B$4,$B$4:$J$4,1))&lt;=($A107-$A113),1,0),"")</f>
        <v>1</v>
      </c>
      <c r="C107" s="6">
        <f t="shared" ref="C107:J108" si="47">IF(AND(ISNUMBER($A107),ISNUMBER($A113)),IF((RANK(C$4,$B$4:$J$4,1))&lt;=($A107-$A113),1,0),"")</f>
        <v>1</v>
      </c>
      <c r="D107" s="6">
        <f t="shared" si="47"/>
        <v>1</v>
      </c>
      <c r="E107" s="6">
        <f t="shared" si="47"/>
        <v>1</v>
      </c>
      <c r="F107" s="6">
        <f t="shared" si="47"/>
        <v>1</v>
      </c>
      <c r="G107" s="6">
        <f t="shared" si="47"/>
        <v>1</v>
      </c>
      <c r="H107" s="6">
        <f t="shared" si="47"/>
        <v>1</v>
      </c>
      <c r="I107" s="6">
        <f t="shared" si="47"/>
        <v>1</v>
      </c>
      <c r="J107" s="7">
        <f t="shared" si="47"/>
        <v>1</v>
      </c>
      <c r="K107" s="13">
        <f>SUM(B107:J107)</f>
        <v>9</v>
      </c>
      <c r="N107" s="15"/>
      <c r="O107" s="15"/>
      <c r="P107" s="59"/>
      <c r="Q107" s="59"/>
      <c r="R107" s="59"/>
      <c r="S107" s="59"/>
      <c r="T107" s="59"/>
      <c r="W107" s="15"/>
      <c r="X107" s="15"/>
      <c r="Y107" s="15"/>
      <c r="Z107" s="15"/>
      <c r="AA107" s="15"/>
    </row>
    <row r="108" spans="1:27" s="16" customFormat="1" x14ac:dyDescent="0.2">
      <c r="A108" s="30">
        <f>IF((A107-A113)&gt;9,(A107-A113-9),0)</f>
        <v>1</v>
      </c>
      <c r="B108" s="18">
        <f>IF(AND(ISNUMBER($A108),ISNUMBER($A114)),IF((RANK(B$4,$B$4:$J$4,1))&lt;=($A108-$A114),1,0),"")</f>
        <v>0</v>
      </c>
      <c r="C108" s="6">
        <f t="shared" si="47"/>
        <v>0</v>
      </c>
      <c r="D108" s="6">
        <f t="shared" si="47"/>
        <v>0</v>
      </c>
      <c r="E108" s="6">
        <f t="shared" si="47"/>
        <v>0</v>
      </c>
      <c r="F108" s="6">
        <f t="shared" si="47"/>
        <v>1</v>
      </c>
      <c r="G108" s="6">
        <f t="shared" si="47"/>
        <v>0</v>
      </c>
      <c r="H108" s="6">
        <f t="shared" si="47"/>
        <v>0</v>
      </c>
      <c r="I108" s="6">
        <f t="shared" si="47"/>
        <v>0</v>
      </c>
      <c r="J108" s="7">
        <f t="shared" si="47"/>
        <v>0</v>
      </c>
      <c r="K108" s="13">
        <f>SUM(B108:J108)</f>
        <v>1</v>
      </c>
      <c r="N108" s="15"/>
      <c r="O108" s="15"/>
      <c r="P108" s="59"/>
      <c r="Q108" s="59"/>
      <c r="R108" s="59"/>
      <c r="S108" s="59"/>
      <c r="T108" s="59"/>
      <c r="W108" s="15"/>
      <c r="X108" s="15"/>
      <c r="Y108" s="15"/>
      <c r="Z108" s="15"/>
      <c r="AA108" s="15"/>
    </row>
    <row r="109" spans="1:27" s="16" customFormat="1" x14ac:dyDescent="0.2">
      <c r="A109" s="30"/>
      <c r="B109" s="82">
        <f>IF(AND(ISNUMBER(B106),ISNUMBER(B107)),B106-B107-B108," ")</f>
        <v>7</v>
      </c>
      <c r="C109" s="83">
        <f t="shared" ref="C109:J109" si="48">IF(AND(ISNUMBER(C106),ISNUMBER(C107)),C106-C107-C108," ")</f>
        <v>3</v>
      </c>
      <c r="D109" s="83">
        <f t="shared" si="48"/>
        <v>6</v>
      </c>
      <c r="E109" s="83">
        <f t="shared" si="48"/>
        <v>4</v>
      </c>
      <c r="F109" s="83">
        <f t="shared" si="48"/>
        <v>4</v>
      </c>
      <c r="G109" s="83">
        <f t="shared" si="48"/>
        <v>6</v>
      </c>
      <c r="H109" s="83">
        <f t="shared" si="48"/>
        <v>5</v>
      </c>
      <c r="I109" s="83">
        <f t="shared" si="48"/>
        <v>3</v>
      </c>
      <c r="J109" s="84">
        <f t="shared" si="48"/>
        <v>5</v>
      </c>
      <c r="K109" s="13">
        <f>IF(ISNUMBER(FIND("Wins",K110)), 2, IF(ISNUMBER(FIND("Tie",K110)), 1, 0))</f>
        <v>2</v>
      </c>
      <c r="N109" s="15"/>
      <c r="O109" s="15"/>
      <c r="P109" s="59"/>
      <c r="Q109" s="59"/>
      <c r="R109" s="59"/>
      <c r="S109" s="59"/>
      <c r="T109" s="59"/>
      <c r="W109" s="15"/>
      <c r="X109" s="15"/>
      <c r="Y109" s="15"/>
      <c r="Z109" s="15"/>
      <c r="AA109" s="15"/>
    </row>
    <row r="110" spans="1:27" s="16" customFormat="1" ht="13.5" thickBot="1" x14ac:dyDescent="0.25">
      <c r="A110" s="31"/>
      <c r="B110" s="19">
        <f>IF(AND(ISNUMBER(B109),ISNUMBER(B115)),IF(B109&lt;B115, 0+1, (IF(B109&gt;B115, 0-1, 0)))," ")</f>
        <v>-1</v>
      </c>
      <c r="C110" s="9">
        <f t="shared" ref="C110:J110" si="49">IF(AND(ISNUMBER(C109),ISNUMBER(C115)),IF(C109&lt;C115, +B110+1, (IF(C109&gt;C115, +B110-1, +B110)))," ")</f>
        <v>0</v>
      </c>
      <c r="D110" s="9">
        <f t="shared" si="49"/>
        <v>-1</v>
      </c>
      <c r="E110" s="9">
        <f t="shared" si="49"/>
        <v>0</v>
      </c>
      <c r="F110" s="9">
        <f t="shared" si="49"/>
        <v>1</v>
      </c>
      <c r="G110" s="9">
        <f t="shared" si="49"/>
        <v>0</v>
      </c>
      <c r="H110" s="9">
        <f t="shared" si="49"/>
        <v>-1</v>
      </c>
      <c r="I110" s="9">
        <f t="shared" si="49"/>
        <v>0</v>
      </c>
      <c r="J110" s="10">
        <f t="shared" si="49"/>
        <v>1</v>
      </c>
      <c r="K110" s="14" t="str">
        <f>IF(ISNUMBER(J110),IF(F110&gt;4,"Wins " &amp; F110 &amp; " &amp; 4",IF(G110&gt;3,"Wins " &amp; G110 &amp; " &amp; 3",IF(H110&gt;2,"Wins " &amp; H110 &amp; " &amp; 2",IF(I110&gt;1,"Wins " &amp; I110 &amp; " &amp; 1",IF(J110&gt;J116,"Wins " &amp; J110 &amp; " Up",IF(J110&lt;J116,"Loss","Tie"))))))," ")</f>
        <v>Wins 1 Up</v>
      </c>
      <c r="N110" s="15"/>
      <c r="O110" s="15"/>
      <c r="P110" s="59"/>
      <c r="Q110" s="59"/>
      <c r="R110" s="59"/>
      <c r="S110" s="59"/>
      <c r="T110" s="59"/>
      <c r="W110" s="15"/>
      <c r="X110" s="15"/>
      <c r="Y110" s="15"/>
      <c r="Z110" s="15"/>
      <c r="AA110" s="15"/>
    </row>
    <row r="111" spans="1:27" s="16" customFormat="1" ht="13.5" thickBot="1" x14ac:dyDescent="0.25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N111" s="15"/>
      <c r="O111" s="15"/>
      <c r="P111" s="59"/>
      <c r="Q111" s="59"/>
      <c r="R111" s="59"/>
      <c r="S111" s="59"/>
      <c r="T111" s="59"/>
      <c r="W111" s="15"/>
      <c r="X111" s="15"/>
      <c r="Y111" s="15"/>
      <c r="Z111" s="15"/>
      <c r="AA111" s="15"/>
    </row>
    <row r="112" spans="1:27" s="16" customFormat="1" x14ac:dyDescent="0.2">
      <c r="A112" s="29" t="str">
        <f t="shared" ref="A112:J112" si="50">A28</f>
        <v>Tommy</v>
      </c>
      <c r="B112" s="17">
        <f t="shared" si="50"/>
        <v>3</v>
      </c>
      <c r="C112" s="3">
        <f t="shared" si="50"/>
        <v>5</v>
      </c>
      <c r="D112" s="3">
        <f t="shared" si="50"/>
        <v>4</v>
      </c>
      <c r="E112" s="3">
        <f t="shared" si="50"/>
        <v>7</v>
      </c>
      <c r="F112" s="3">
        <f t="shared" si="50"/>
        <v>6</v>
      </c>
      <c r="G112" s="3">
        <f t="shared" si="50"/>
        <v>3</v>
      </c>
      <c r="H112" s="3">
        <f t="shared" si="50"/>
        <v>4</v>
      </c>
      <c r="I112" s="3">
        <f t="shared" si="50"/>
        <v>5</v>
      </c>
      <c r="J112" s="4">
        <f t="shared" si="50"/>
        <v>6</v>
      </c>
      <c r="K112" s="12">
        <f>SUM(B112:J112)</f>
        <v>43</v>
      </c>
      <c r="N112" s="15"/>
      <c r="O112" s="15"/>
      <c r="P112" s="59"/>
      <c r="Q112" s="59"/>
      <c r="R112" s="59"/>
      <c r="S112" s="59"/>
      <c r="T112" s="59"/>
      <c r="W112" s="15"/>
      <c r="X112" s="15"/>
      <c r="Y112" s="15"/>
      <c r="Z112" s="15"/>
      <c r="AA112" s="15"/>
    </row>
    <row r="113" spans="1:27" s="16" customFormat="1" x14ac:dyDescent="0.2">
      <c r="A113" s="30">
        <f>A29</f>
        <v>5</v>
      </c>
      <c r="B113" s="18">
        <f>IF(AND(ISNUMBER($A107),ISNUMBER($A113)),IF((RANK(B$4,$B$4:$J$4,1))&lt;=($A113-$A107),1,0),"")</f>
        <v>0</v>
      </c>
      <c r="C113" s="6">
        <f t="shared" ref="C113:J114" si="51">IF(AND(ISNUMBER($A107),ISNUMBER($A113)),IF((RANK(C$4,$B$4:$J$4,1))&lt;=($A113-$A107),1,0),"")</f>
        <v>0</v>
      </c>
      <c r="D113" s="6">
        <f t="shared" si="51"/>
        <v>0</v>
      </c>
      <c r="E113" s="6">
        <f t="shared" si="51"/>
        <v>0</v>
      </c>
      <c r="F113" s="6">
        <f t="shared" si="51"/>
        <v>0</v>
      </c>
      <c r="G113" s="6">
        <f t="shared" si="51"/>
        <v>0</v>
      </c>
      <c r="H113" s="6">
        <f t="shared" si="51"/>
        <v>0</v>
      </c>
      <c r="I113" s="6">
        <f t="shared" si="51"/>
        <v>0</v>
      </c>
      <c r="J113" s="7">
        <f t="shared" si="51"/>
        <v>0</v>
      </c>
      <c r="K113" s="13">
        <f>SUM(B113:J113)</f>
        <v>0</v>
      </c>
      <c r="N113" s="15"/>
      <c r="O113" s="15"/>
      <c r="P113" s="59"/>
      <c r="Q113" s="59"/>
      <c r="R113" s="59"/>
      <c r="S113" s="59"/>
      <c r="T113" s="59"/>
      <c r="W113" s="15"/>
      <c r="X113" s="15"/>
      <c r="Y113" s="15"/>
      <c r="Z113" s="15"/>
      <c r="AA113" s="15"/>
    </row>
    <row r="114" spans="1:27" s="16" customFormat="1" x14ac:dyDescent="0.2">
      <c r="A114" s="30">
        <f>IF((A113-A107)&gt;9,(A113-A107-9),0)</f>
        <v>0</v>
      </c>
      <c r="B114" s="18">
        <f>IF(AND(ISNUMBER($A108),ISNUMBER($A114)),IF((RANK(B$4,$B$4:$J$4,1))&lt;=($A114-$A108),1,0),"")</f>
        <v>0</v>
      </c>
      <c r="C114" s="6">
        <f t="shared" si="51"/>
        <v>0</v>
      </c>
      <c r="D114" s="6">
        <f t="shared" si="51"/>
        <v>0</v>
      </c>
      <c r="E114" s="6">
        <f t="shared" si="51"/>
        <v>0</v>
      </c>
      <c r="F114" s="6">
        <f t="shared" si="51"/>
        <v>0</v>
      </c>
      <c r="G114" s="6">
        <f t="shared" si="51"/>
        <v>0</v>
      </c>
      <c r="H114" s="6">
        <f t="shared" si="51"/>
        <v>0</v>
      </c>
      <c r="I114" s="6">
        <f t="shared" si="51"/>
        <v>0</v>
      </c>
      <c r="J114" s="7">
        <f t="shared" si="51"/>
        <v>0</v>
      </c>
      <c r="K114" s="13">
        <f>SUM(B114:J114)</f>
        <v>0</v>
      </c>
      <c r="N114" s="15"/>
      <c r="O114" s="15"/>
      <c r="P114" s="59"/>
      <c r="Q114" s="59"/>
      <c r="R114" s="59"/>
      <c r="S114" s="59"/>
      <c r="T114" s="59"/>
      <c r="W114" s="15"/>
      <c r="X114" s="15"/>
      <c r="Y114" s="15"/>
      <c r="Z114" s="15"/>
      <c r="AA114" s="15"/>
    </row>
    <row r="115" spans="1:27" s="16" customFormat="1" x14ac:dyDescent="0.2">
      <c r="A115" s="30"/>
      <c r="B115" s="82">
        <f>IF(AND(ISNUMBER(B112),ISNUMBER(B113)),B112-B113-B114," ")</f>
        <v>3</v>
      </c>
      <c r="C115" s="83">
        <f t="shared" ref="C115:J115" si="52">IF(AND(ISNUMBER(C112),ISNUMBER(C113)),C112-C113-C114," ")</f>
        <v>5</v>
      </c>
      <c r="D115" s="83">
        <f t="shared" si="52"/>
        <v>4</v>
      </c>
      <c r="E115" s="83">
        <f t="shared" si="52"/>
        <v>7</v>
      </c>
      <c r="F115" s="83">
        <f t="shared" si="52"/>
        <v>6</v>
      </c>
      <c r="G115" s="83">
        <f t="shared" si="52"/>
        <v>3</v>
      </c>
      <c r="H115" s="83">
        <f t="shared" si="52"/>
        <v>4</v>
      </c>
      <c r="I115" s="83">
        <f t="shared" si="52"/>
        <v>5</v>
      </c>
      <c r="J115" s="84">
        <f t="shared" si="52"/>
        <v>6</v>
      </c>
      <c r="K115" s="13">
        <f>IF(ISNUMBER(FIND("Wins",K116)), 2, IF(ISNUMBER(FIND("Tie",K116)), 1, 0))</f>
        <v>0</v>
      </c>
      <c r="N115" s="15"/>
      <c r="O115" s="15"/>
      <c r="P115" s="59"/>
      <c r="Q115" s="59"/>
      <c r="R115" s="59"/>
      <c r="S115" s="59"/>
      <c r="T115" s="59"/>
      <c r="W115" s="15"/>
      <c r="X115" s="15"/>
      <c r="Y115" s="15"/>
      <c r="Z115" s="15"/>
      <c r="AA115" s="15"/>
    </row>
    <row r="116" spans="1:27" s="16" customFormat="1" ht="13.5" thickBot="1" x14ac:dyDescent="0.25">
      <c r="A116" s="31"/>
      <c r="B116" s="19">
        <f>IF(AND(ISNUMBER(B109),ISNUMBER(B115)),IF(B115&lt;B109, 0+1, (IF(B115&gt;B109, 0-1, 0)))," ")</f>
        <v>1</v>
      </c>
      <c r="C116" s="9">
        <f t="shared" ref="C116:J116" si="53">IF(AND(ISNUMBER(C109),ISNUMBER(C115)),IF(C115&lt;C109, +B116+1, (IF(C115&gt;C109, +B116-1, +B116)))," ")</f>
        <v>0</v>
      </c>
      <c r="D116" s="9">
        <f t="shared" si="53"/>
        <v>1</v>
      </c>
      <c r="E116" s="9">
        <f t="shared" si="53"/>
        <v>0</v>
      </c>
      <c r="F116" s="9">
        <f t="shared" si="53"/>
        <v>-1</v>
      </c>
      <c r="G116" s="9">
        <f t="shared" si="53"/>
        <v>0</v>
      </c>
      <c r="H116" s="9">
        <f t="shared" si="53"/>
        <v>1</v>
      </c>
      <c r="I116" s="9">
        <f t="shared" si="53"/>
        <v>0</v>
      </c>
      <c r="J116" s="10">
        <f t="shared" si="53"/>
        <v>-1</v>
      </c>
      <c r="K116" s="14" t="str">
        <f>IF(ISNUMBER(J116),IF(F116&gt;4,"Wins " &amp; F116 &amp; " &amp; 4",IF(G116&gt;3,"Wins " &amp; G116 &amp; " &amp; 3",IF(H116&gt;2,"Wins " &amp; H116 &amp; " &amp; 2",IF(I116&gt;1,"Wins " &amp; I116 &amp; " &amp; 1",IF(J116&gt;J110,"Wins " &amp; J116 &amp; " Up",IF(J116&lt;J110,"Loss","Tie"))))))," ")</f>
        <v>Loss</v>
      </c>
      <c r="N116" s="15"/>
      <c r="O116" s="15"/>
      <c r="P116" s="59"/>
      <c r="Q116" s="59"/>
      <c r="R116" s="59"/>
      <c r="S116" s="59"/>
      <c r="T116" s="59"/>
      <c r="W116" s="15"/>
      <c r="X116" s="15"/>
      <c r="Y116" s="15"/>
      <c r="Z116" s="15"/>
      <c r="AA116" s="15"/>
    </row>
    <row r="117" spans="1:27" s="16" customFormat="1" x14ac:dyDescent="0.2">
      <c r="A117" s="26"/>
      <c r="B117" s="85"/>
      <c r="C117" s="85"/>
      <c r="D117" s="85"/>
      <c r="E117" s="85"/>
      <c r="F117" s="85"/>
      <c r="G117" s="85"/>
      <c r="H117" s="85"/>
      <c r="I117" s="85"/>
      <c r="J117" s="85"/>
      <c r="K117" s="15"/>
      <c r="N117" s="15"/>
      <c r="O117" s="15"/>
      <c r="P117" s="59"/>
      <c r="Q117" s="59"/>
      <c r="R117" s="59"/>
      <c r="S117" s="59"/>
      <c r="T117" s="59"/>
      <c r="W117" s="15"/>
      <c r="X117" s="15"/>
      <c r="Y117" s="15"/>
      <c r="Z117" s="15"/>
      <c r="AA117" s="15"/>
    </row>
    <row r="118" spans="1:27" ht="13.5" thickBot="1" x14ac:dyDescent="0.25">
      <c r="A118" s="24" t="s">
        <v>82</v>
      </c>
    </row>
    <row r="119" spans="1:27" x14ac:dyDescent="0.2">
      <c r="A119" s="79" t="str">
        <f t="shared" ref="A119:J119" si="54">A30</f>
        <v>Gerald C</v>
      </c>
      <c r="B119" s="17">
        <f t="shared" si="54"/>
        <v>5</v>
      </c>
      <c r="C119" s="3">
        <f t="shared" si="54"/>
        <v>6</v>
      </c>
      <c r="D119" s="3">
        <f t="shared" si="54"/>
        <v>6</v>
      </c>
      <c r="E119" s="3">
        <f t="shared" si="54"/>
        <v>5</v>
      </c>
      <c r="F119" s="3">
        <f t="shared" si="54"/>
        <v>9</v>
      </c>
      <c r="G119" s="3">
        <f t="shared" si="54"/>
        <v>4</v>
      </c>
      <c r="H119" s="3">
        <f t="shared" si="54"/>
        <v>7</v>
      </c>
      <c r="I119" s="3">
        <f t="shared" si="54"/>
        <v>5</v>
      </c>
      <c r="J119" s="4">
        <f t="shared" si="54"/>
        <v>6</v>
      </c>
      <c r="K119" s="12">
        <f>SUM(B119:J119)</f>
        <v>53</v>
      </c>
    </row>
    <row r="120" spans="1:27" x14ac:dyDescent="0.2">
      <c r="A120" s="80">
        <f>A31</f>
        <v>12</v>
      </c>
      <c r="B120" s="18">
        <f>IF(AND(ISNUMBER($A120),ISNUMBER($A126)),IF((RANK(B$4,$B$4:$J$4,1))&lt;=($A120-$A126),1,0),"")</f>
        <v>0</v>
      </c>
      <c r="C120" s="6">
        <f t="shared" ref="C120:J120" si="55">IF(AND(ISNUMBER($A120),ISNUMBER($A126)),IF((RANK(C$4,$B$4:$J$4,1))&lt;=($A120-$A126),1,0),"")</f>
        <v>0</v>
      </c>
      <c r="D120" s="6">
        <f t="shared" si="55"/>
        <v>1</v>
      </c>
      <c r="E120" s="6">
        <f t="shared" si="55"/>
        <v>0</v>
      </c>
      <c r="F120" s="6">
        <f t="shared" si="55"/>
        <v>1</v>
      </c>
      <c r="G120" s="6">
        <f t="shared" si="55"/>
        <v>0</v>
      </c>
      <c r="H120" s="6">
        <f t="shared" si="55"/>
        <v>0</v>
      </c>
      <c r="I120" s="6">
        <f t="shared" si="55"/>
        <v>0</v>
      </c>
      <c r="J120" s="7">
        <f t="shared" si="55"/>
        <v>0</v>
      </c>
      <c r="K120" s="13">
        <f>SUM(B120:J120)</f>
        <v>2</v>
      </c>
    </row>
    <row r="121" spans="1:27" x14ac:dyDescent="0.2">
      <c r="A121" s="80">
        <f>IF((A120-A126)&gt;9,(A120-A126-9),0)</f>
        <v>0</v>
      </c>
      <c r="B121" s="18">
        <f>IF(AND(ISNUMBER($A121),ISNUMBER($A127)),IF((RANK(B$4,$B$4:$J$4,1))&lt;=($A121-$A127),1,0),"")</f>
        <v>0</v>
      </c>
      <c r="C121" s="6">
        <f t="shared" ref="C121:J121" si="56">IF(AND(ISNUMBER($A121),ISNUMBER($A127)),IF((RANK(C$4,$B$4:$J$4,1))&lt;=($A121-$A127),1,0),"")</f>
        <v>0</v>
      </c>
      <c r="D121" s="6">
        <f t="shared" si="56"/>
        <v>0</v>
      </c>
      <c r="E121" s="6">
        <f t="shared" si="56"/>
        <v>0</v>
      </c>
      <c r="F121" s="6">
        <f t="shared" si="56"/>
        <v>0</v>
      </c>
      <c r="G121" s="6">
        <f t="shared" si="56"/>
        <v>0</v>
      </c>
      <c r="H121" s="6">
        <f t="shared" si="56"/>
        <v>0</v>
      </c>
      <c r="I121" s="6">
        <f t="shared" si="56"/>
        <v>0</v>
      </c>
      <c r="J121" s="7">
        <f t="shared" si="56"/>
        <v>0</v>
      </c>
      <c r="K121" s="13">
        <f>SUM(B121:J121)</f>
        <v>0</v>
      </c>
    </row>
    <row r="122" spans="1:27" x14ac:dyDescent="0.2">
      <c r="A122" s="80"/>
      <c r="B122" s="82">
        <f>IF(AND(ISNUMBER(B119),ISNUMBER(B120)),B119-B120-B121," ")</f>
        <v>5</v>
      </c>
      <c r="C122" s="83">
        <f t="shared" ref="C122:J122" si="57">IF(AND(ISNUMBER(C119),ISNUMBER(C120)),C119-C120-C121," ")</f>
        <v>6</v>
      </c>
      <c r="D122" s="83">
        <f t="shared" si="57"/>
        <v>5</v>
      </c>
      <c r="E122" s="83">
        <f t="shared" si="57"/>
        <v>5</v>
      </c>
      <c r="F122" s="83">
        <f t="shared" si="57"/>
        <v>8</v>
      </c>
      <c r="G122" s="83">
        <f t="shared" si="57"/>
        <v>4</v>
      </c>
      <c r="H122" s="83">
        <f t="shared" si="57"/>
        <v>7</v>
      </c>
      <c r="I122" s="83">
        <f t="shared" si="57"/>
        <v>5</v>
      </c>
      <c r="J122" s="84">
        <f t="shared" si="57"/>
        <v>6</v>
      </c>
      <c r="K122" s="13">
        <f>IF(ISNUMBER(FIND("Wins",K123)), 2, IF(ISNUMBER(FIND("Tie",K123)), 1, 0))</f>
        <v>2</v>
      </c>
    </row>
    <row r="123" spans="1:27" ht="13.5" thickBot="1" x14ac:dyDescent="0.25">
      <c r="A123" s="81"/>
      <c r="B123" s="19">
        <f>IF(AND(ISNUMBER(B122),ISNUMBER(B128)),IF(B122&lt;B128, 0+1, (IF(B122&gt;B128, 0-1, 0)))," ")</f>
        <v>1</v>
      </c>
      <c r="C123" s="9">
        <f t="shared" ref="C123:J123" si="58">IF(AND(ISNUMBER(C122),ISNUMBER(C128)),IF(C122&lt;C128, +B123+1, (IF(C122&gt;C128, +B123-1, +B123)))," ")</f>
        <v>2</v>
      </c>
      <c r="D123" s="9">
        <f t="shared" si="58"/>
        <v>3</v>
      </c>
      <c r="E123" s="9">
        <f t="shared" si="58"/>
        <v>2</v>
      </c>
      <c r="F123" s="9">
        <f t="shared" si="58"/>
        <v>1</v>
      </c>
      <c r="G123" s="9">
        <f t="shared" si="58"/>
        <v>2</v>
      </c>
      <c r="H123" s="9">
        <f t="shared" si="58"/>
        <v>1</v>
      </c>
      <c r="I123" s="9">
        <f t="shared" si="58"/>
        <v>0</v>
      </c>
      <c r="J123" s="10">
        <f t="shared" si="58"/>
        <v>1</v>
      </c>
      <c r="K123" s="14" t="str">
        <f>IF(ISNUMBER(J123),IF(F123&gt;4,"Wins " &amp; F123 &amp; " &amp; 4",IF(G123&gt;3,"Wins " &amp; G123 &amp; " &amp; 3",IF(H123&gt;2,"Wins " &amp; H123 &amp; " &amp; 2",IF(I123&gt;1,"Wins " &amp; I123 &amp; " &amp; 1",IF(J123&gt;J129,"Wins " &amp; J123 &amp; " Up",IF(J123&lt;J129,"Loss","Tie"))))))," ")</f>
        <v>Wins 1 Up</v>
      </c>
    </row>
    <row r="124" spans="1:27" ht="13.5" thickBot="1" x14ac:dyDescent="0.25">
      <c r="A124" s="32"/>
    </row>
    <row r="125" spans="1:27" x14ac:dyDescent="0.2">
      <c r="A125" s="79" t="str">
        <f t="shared" ref="A125:J125" si="59">A34</f>
        <v>Tony W</v>
      </c>
      <c r="B125" s="17">
        <f t="shared" si="59"/>
        <v>8</v>
      </c>
      <c r="C125" s="3">
        <f t="shared" si="59"/>
        <v>8</v>
      </c>
      <c r="D125" s="3">
        <f t="shared" si="59"/>
        <v>6</v>
      </c>
      <c r="E125" s="3">
        <f t="shared" si="59"/>
        <v>4</v>
      </c>
      <c r="F125" s="3">
        <f t="shared" si="59"/>
        <v>7</v>
      </c>
      <c r="G125" s="3">
        <f t="shared" si="59"/>
        <v>6</v>
      </c>
      <c r="H125" s="3">
        <f t="shared" si="59"/>
        <v>4</v>
      </c>
      <c r="I125" s="3">
        <f t="shared" si="59"/>
        <v>3</v>
      </c>
      <c r="J125" s="4">
        <f t="shared" si="59"/>
        <v>8</v>
      </c>
      <c r="K125" s="12">
        <f>SUM(B125:J125)</f>
        <v>54</v>
      </c>
    </row>
    <row r="126" spans="1:27" x14ac:dyDescent="0.2">
      <c r="A126" s="80">
        <f>A35</f>
        <v>10</v>
      </c>
      <c r="B126" s="18">
        <f>IF(AND(ISNUMBER($A120),ISNUMBER($A126)),IF((RANK(B$4,$B$4:$J$4,1))&lt;=($A126-$A120),1,0),"")</f>
        <v>0</v>
      </c>
      <c r="C126" s="6">
        <f t="shared" ref="C126:J126" si="60">IF(AND(ISNUMBER($A120),ISNUMBER($A126)),IF((RANK(C$4,$B$4:$J$4,1))&lt;=($A126-$A120),1,0),"")</f>
        <v>0</v>
      </c>
      <c r="D126" s="6">
        <f t="shared" si="60"/>
        <v>0</v>
      </c>
      <c r="E126" s="6">
        <f t="shared" si="60"/>
        <v>0</v>
      </c>
      <c r="F126" s="6">
        <f t="shared" si="60"/>
        <v>0</v>
      </c>
      <c r="G126" s="6">
        <f t="shared" si="60"/>
        <v>0</v>
      </c>
      <c r="H126" s="6">
        <f t="shared" si="60"/>
        <v>0</v>
      </c>
      <c r="I126" s="6">
        <f t="shared" si="60"/>
        <v>0</v>
      </c>
      <c r="J126" s="7">
        <f t="shared" si="60"/>
        <v>0</v>
      </c>
      <c r="K126" s="13">
        <f>SUM(B126:J126)</f>
        <v>0</v>
      </c>
    </row>
    <row r="127" spans="1:27" x14ac:dyDescent="0.2">
      <c r="A127" s="80">
        <f>IF((A126-A120)&gt;9,(A126-A120-9),0)</f>
        <v>0</v>
      </c>
      <c r="B127" s="18">
        <f>IF(AND(ISNUMBER($A121),ISNUMBER($A127)),IF((RANK(B$4,$B$4:$J$4,1))&lt;=($A127-$A121),1,0),"")</f>
        <v>0</v>
      </c>
      <c r="C127" s="6">
        <f t="shared" ref="C127:J127" si="61">IF(AND(ISNUMBER($A121),ISNUMBER($A127)),IF((RANK(C$4,$B$4:$J$4,1))&lt;=($A127-$A121),1,0),"")</f>
        <v>0</v>
      </c>
      <c r="D127" s="6">
        <f t="shared" si="61"/>
        <v>0</v>
      </c>
      <c r="E127" s="6">
        <f t="shared" si="61"/>
        <v>0</v>
      </c>
      <c r="F127" s="6">
        <f t="shared" si="61"/>
        <v>0</v>
      </c>
      <c r="G127" s="6">
        <f t="shared" si="61"/>
        <v>0</v>
      </c>
      <c r="H127" s="6">
        <f t="shared" si="61"/>
        <v>0</v>
      </c>
      <c r="I127" s="6">
        <f t="shared" si="61"/>
        <v>0</v>
      </c>
      <c r="J127" s="7">
        <f t="shared" si="61"/>
        <v>0</v>
      </c>
      <c r="K127" s="13">
        <f>SUM(B127:J127)</f>
        <v>0</v>
      </c>
    </row>
    <row r="128" spans="1:27" x14ac:dyDescent="0.2">
      <c r="A128" s="80"/>
      <c r="B128" s="82">
        <f>IF(AND(ISNUMBER(B125),ISNUMBER(B126)),B125-B126-B127," ")</f>
        <v>8</v>
      </c>
      <c r="C128" s="83">
        <f t="shared" ref="C128:J128" si="62">IF(AND(ISNUMBER(C125),ISNUMBER(C126)),C125-C126-C127," ")</f>
        <v>8</v>
      </c>
      <c r="D128" s="83">
        <f t="shared" si="62"/>
        <v>6</v>
      </c>
      <c r="E128" s="83">
        <f t="shared" si="62"/>
        <v>4</v>
      </c>
      <c r="F128" s="83">
        <f t="shared" si="62"/>
        <v>7</v>
      </c>
      <c r="G128" s="83">
        <f t="shared" si="62"/>
        <v>6</v>
      </c>
      <c r="H128" s="83">
        <f t="shared" si="62"/>
        <v>4</v>
      </c>
      <c r="I128" s="83">
        <f t="shared" si="62"/>
        <v>3</v>
      </c>
      <c r="J128" s="84">
        <f t="shared" si="62"/>
        <v>8</v>
      </c>
      <c r="K128" s="13">
        <f>IF(ISNUMBER(FIND("Wins",K129)), 2, IF(ISNUMBER(FIND("Tie",K129)), 1, 0))</f>
        <v>0</v>
      </c>
    </row>
    <row r="129" spans="1:11" ht="13.5" thickBot="1" x14ac:dyDescent="0.25">
      <c r="A129" s="81"/>
      <c r="B129" s="19">
        <f>IF(AND(ISNUMBER(B122),ISNUMBER(B128)),IF(B128&lt;B122, 0+1, (IF(B128&gt;B122, 0-1, 0)))," ")</f>
        <v>-1</v>
      </c>
      <c r="C129" s="9">
        <f t="shared" ref="C129:J129" si="63">IF(AND(ISNUMBER(C122),ISNUMBER(C128)),IF(C128&lt;C122, +B129+1, (IF(C128&gt;C122, +B129-1, +B129)))," ")</f>
        <v>-2</v>
      </c>
      <c r="D129" s="9">
        <f t="shared" si="63"/>
        <v>-3</v>
      </c>
      <c r="E129" s="9">
        <f t="shared" si="63"/>
        <v>-2</v>
      </c>
      <c r="F129" s="9">
        <f t="shared" si="63"/>
        <v>-1</v>
      </c>
      <c r="G129" s="9">
        <f t="shared" si="63"/>
        <v>-2</v>
      </c>
      <c r="H129" s="9">
        <f t="shared" si="63"/>
        <v>-1</v>
      </c>
      <c r="I129" s="9">
        <f t="shared" si="63"/>
        <v>0</v>
      </c>
      <c r="J129" s="10">
        <f t="shared" si="63"/>
        <v>-1</v>
      </c>
      <c r="K129" s="14" t="str">
        <f>IF(ISNUMBER(J129),IF(F129&gt;4,"Wins " &amp; F129 &amp; " &amp; 4",IF(G129&gt;3,"Wins " &amp; G129 &amp; " &amp; 3",IF(H129&gt;2,"Wins " &amp; H129 &amp; " &amp; 2",IF(I129&gt;1,"Wins " &amp; I129 &amp; " &amp; 1",IF(J129&gt;J123,"Wins " &amp; J129 &amp; " Up",IF(J129&lt;J123,"Loss","Tie"))))))," ")</f>
        <v>Loss</v>
      </c>
    </row>
    <row r="130" spans="1:11" x14ac:dyDescent="0.2">
      <c r="A130" s="26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ht="13.5" thickBot="1" x14ac:dyDescent="0.25">
      <c r="A131" s="24" t="s">
        <v>133</v>
      </c>
    </row>
    <row r="132" spans="1:11" x14ac:dyDescent="0.2">
      <c r="A132" s="29" t="str">
        <f t="shared" ref="A132:J132" si="64">A32</f>
        <v>John</v>
      </c>
      <c r="B132" s="17">
        <f t="shared" si="64"/>
        <v>5</v>
      </c>
      <c r="C132" s="3">
        <f t="shared" si="64"/>
        <v>6</v>
      </c>
      <c r="D132" s="3">
        <f t="shared" si="64"/>
        <v>5</v>
      </c>
      <c r="E132" s="3">
        <f t="shared" si="64"/>
        <v>3</v>
      </c>
      <c r="F132" s="3">
        <f t="shared" si="64"/>
        <v>5</v>
      </c>
      <c r="G132" s="3">
        <f t="shared" si="64"/>
        <v>3</v>
      </c>
      <c r="H132" s="3">
        <f t="shared" si="64"/>
        <v>5</v>
      </c>
      <c r="I132" s="3">
        <f t="shared" si="64"/>
        <v>5</v>
      </c>
      <c r="J132" s="4">
        <f t="shared" si="64"/>
        <v>5</v>
      </c>
      <c r="K132" s="12">
        <f>SUM(B132:J132)</f>
        <v>42</v>
      </c>
    </row>
    <row r="133" spans="1:11" x14ac:dyDescent="0.2">
      <c r="A133" s="30">
        <f>A33</f>
        <v>7</v>
      </c>
      <c r="B133" s="18">
        <f>IF(AND(ISNUMBER($A133),ISNUMBER($A139)),IF((RANK(B$4,$B$4:$J$4,1))&lt;=($A133-$A139),1,0),"")</f>
        <v>0</v>
      </c>
      <c r="C133" s="6">
        <f t="shared" ref="C133:J133" si="65">IF(AND(ISNUMBER($A133),ISNUMBER($A139)),IF((RANK(C$4,$B$4:$J$4,1))&lt;=($A133-$A139),1,0),"")</f>
        <v>0</v>
      </c>
      <c r="D133" s="6">
        <f t="shared" si="65"/>
        <v>0</v>
      </c>
      <c r="E133" s="6">
        <f t="shared" si="65"/>
        <v>0</v>
      </c>
      <c r="F133" s="6">
        <f t="shared" si="65"/>
        <v>0</v>
      </c>
      <c r="G133" s="6">
        <f t="shared" si="65"/>
        <v>0</v>
      </c>
      <c r="H133" s="6">
        <f t="shared" si="65"/>
        <v>0</v>
      </c>
      <c r="I133" s="6">
        <f t="shared" si="65"/>
        <v>0</v>
      </c>
      <c r="J133" s="7">
        <f t="shared" si="65"/>
        <v>0</v>
      </c>
      <c r="K133" s="13">
        <f>SUM(B133:J133)</f>
        <v>0</v>
      </c>
    </row>
    <row r="134" spans="1:11" x14ac:dyDescent="0.2">
      <c r="A134" s="30">
        <f>IF((A133-A139)&gt;9,(A133-A139-9),0)</f>
        <v>0</v>
      </c>
      <c r="B134" s="18">
        <f>IF(AND(ISNUMBER($A134),ISNUMBER($A140)),IF((RANK(B$4,$B$4:$J$4,1))&lt;=($A134-$A140),1,0),"")</f>
        <v>0</v>
      </c>
      <c r="C134" s="6">
        <f t="shared" ref="C134:J134" si="66">IF(AND(ISNUMBER($A134),ISNUMBER($A140)),IF((RANK(C$4,$B$4:$J$4,1))&lt;=($A134-$A140),1,0),"")</f>
        <v>0</v>
      </c>
      <c r="D134" s="6">
        <f t="shared" si="66"/>
        <v>0</v>
      </c>
      <c r="E134" s="6">
        <f t="shared" si="66"/>
        <v>0</v>
      </c>
      <c r="F134" s="6">
        <f t="shared" si="66"/>
        <v>0</v>
      </c>
      <c r="G134" s="6">
        <f t="shared" si="66"/>
        <v>0</v>
      </c>
      <c r="H134" s="6">
        <f t="shared" si="66"/>
        <v>0</v>
      </c>
      <c r="I134" s="6">
        <f t="shared" si="66"/>
        <v>0</v>
      </c>
      <c r="J134" s="7">
        <f t="shared" si="66"/>
        <v>0</v>
      </c>
      <c r="K134" s="13">
        <f>SUM(B134:J134)</f>
        <v>0</v>
      </c>
    </row>
    <row r="135" spans="1:11" x14ac:dyDescent="0.2">
      <c r="A135" s="30"/>
      <c r="B135" s="82">
        <f>IF(AND(ISNUMBER(B132),ISNUMBER(B133)),B132-B133-B134," ")</f>
        <v>5</v>
      </c>
      <c r="C135" s="83">
        <f t="shared" ref="C135:J135" si="67">IF(AND(ISNUMBER(C132),ISNUMBER(C133)),C132-C133-C134," ")</f>
        <v>6</v>
      </c>
      <c r="D135" s="83">
        <f t="shared" si="67"/>
        <v>5</v>
      </c>
      <c r="E135" s="83">
        <f t="shared" si="67"/>
        <v>3</v>
      </c>
      <c r="F135" s="83">
        <f t="shared" si="67"/>
        <v>5</v>
      </c>
      <c r="G135" s="83">
        <f t="shared" si="67"/>
        <v>3</v>
      </c>
      <c r="H135" s="83">
        <f t="shared" si="67"/>
        <v>5</v>
      </c>
      <c r="I135" s="83">
        <f t="shared" si="67"/>
        <v>5</v>
      </c>
      <c r="J135" s="84">
        <f t="shared" si="67"/>
        <v>5</v>
      </c>
      <c r="K135" s="13">
        <f>IF(ISNUMBER(FIND("Wins",K136)), 2, IF(ISNUMBER(FIND("Tie",K136)), 1, 0))</f>
        <v>2</v>
      </c>
    </row>
    <row r="136" spans="1:11" ht="13.5" thickBot="1" x14ac:dyDescent="0.25">
      <c r="A136" s="31"/>
      <c r="B136" s="19">
        <f>IF(AND(ISNUMBER(B135),ISNUMBER(B141)),IF(B135&lt;B141, 0+1, (IF(B135&gt;B141, 0-1, 0)))," ")</f>
        <v>1</v>
      </c>
      <c r="C136" s="9">
        <f t="shared" ref="C136:J136" si="68">IF(AND(ISNUMBER(C135),ISNUMBER(C141)),IF(C135&lt;C141, +B136+1, (IF(C135&gt;C141, +B136-1, +B136)))," ")</f>
        <v>1</v>
      </c>
      <c r="D136" s="9">
        <f t="shared" si="68"/>
        <v>2</v>
      </c>
      <c r="E136" s="9">
        <f t="shared" si="68"/>
        <v>3</v>
      </c>
      <c r="F136" s="9">
        <f t="shared" si="68"/>
        <v>3</v>
      </c>
      <c r="G136" s="9">
        <f t="shared" si="68"/>
        <v>4</v>
      </c>
      <c r="H136" s="9">
        <f t="shared" si="68"/>
        <v>5</v>
      </c>
      <c r="I136" s="9">
        <f t="shared" si="68"/>
        <v>6</v>
      </c>
      <c r="J136" s="10">
        <f t="shared" si="68"/>
        <v>7</v>
      </c>
      <c r="K136" s="14" t="str">
        <f>IF(ISNUMBER(J136),IF(F136&gt;4,"Wins " &amp; F136 &amp; " &amp; 4",IF(G136&gt;3,"Wins " &amp; G136 &amp; " &amp; 3",IF(H136&gt;2,"Wins " &amp; H136 &amp; " &amp; 2",IF(I136&gt;1,"Wins " &amp; I136 &amp; " &amp; 1",IF(J136&gt;J142,"Wins " &amp; J136 &amp; " Up",IF(J136&lt;J142,"Loss","Tie"))))))," ")</f>
        <v>Wins 4 &amp; 3</v>
      </c>
    </row>
    <row r="137" spans="1:11" ht="13.5" thickBot="1" x14ac:dyDescent="0.25">
      <c r="A137" s="32"/>
    </row>
    <row r="138" spans="1:11" x14ac:dyDescent="0.2">
      <c r="A138" s="29" t="str">
        <f t="shared" ref="A138:J138" si="69">A36</f>
        <v>Bob</v>
      </c>
      <c r="B138" s="17">
        <f t="shared" si="69"/>
        <v>7</v>
      </c>
      <c r="C138" s="3">
        <f t="shared" si="69"/>
        <v>6</v>
      </c>
      <c r="D138" s="3">
        <f t="shared" si="69"/>
        <v>7</v>
      </c>
      <c r="E138" s="3">
        <f t="shared" si="69"/>
        <v>5</v>
      </c>
      <c r="F138" s="3">
        <f t="shared" si="69"/>
        <v>6</v>
      </c>
      <c r="G138" s="3">
        <f t="shared" si="69"/>
        <v>4</v>
      </c>
      <c r="H138" s="3">
        <f t="shared" si="69"/>
        <v>6</v>
      </c>
      <c r="I138" s="3">
        <f t="shared" si="69"/>
        <v>6</v>
      </c>
      <c r="J138" s="4">
        <f t="shared" si="69"/>
        <v>10</v>
      </c>
      <c r="K138" s="12">
        <f>SUM(B138:J138)</f>
        <v>57</v>
      </c>
    </row>
    <row r="139" spans="1:11" x14ac:dyDescent="0.2">
      <c r="A139" s="30">
        <f>A37</f>
        <v>10</v>
      </c>
      <c r="B139" s="18">
        <f>IF(AND(ISNUMBER($A133),ISNUMBER($A139)),IF((RANK(B$4,$B$4:$J$4,1))&lt;=($A139-$A133),1,0),"")</f>
        <v>0</v>
      </c>
      <c r="C139" s="6">
        <f t="shared" ref="C139:J139" si="70">IF(AND(ISNUMBER($A133),ISNUMBER($A139)),IF((RANK(C$4,$B$4:$J$4,1))&lt;=($A139-$A133),1,0),"")</f>
        <v>0</v>
      </c>
      <c r="D139" s="6">
        <f t="shared" si="70"/>
        <v>1</v>
      </c>
      <c r="E139" s="6">
        <f t="shared" si="70"/>
        <v>0</v>
      </c>
      <c r="F139" s="6">
        <f t="shared" si="70"/>
        <v>1</v>
      </c>
      <c r="G139" s="6">
        <f t="shared" si="70"/>
        <v>0</v>
      </c>
      <c r="H139" s="6">
        <f t="shared" si="70"/>
        <v>0</v>
      </c>
      <c r="I139" s="6">
        <f t="shared" si="70"/>
        <v>0</v>
      </c>
      <c r="J139" s="7">
        <f t="shared" si="70"/>
        <v>1</v>
      </c>
      <c r="K139" s="13">
        <f>SUM(B139:J139)</f>
        <v>3</v>
      </c>
    </row>
    <row r="140" spans="1:11" x14ac:dyDescent="0.2">
      <c r="A140" s="30">
        <f>IF((A139-A133)&gt;9,(A139-A133-9),0)</f>
        <v>0</v>
      </c>
      <c r="B140" s="18">
        <f>IF(AND(ISNUMBER($A134),ISNUMBER($A140)),IF((RANK(B$4,$B$4:$J$4,1))&lt;=($A140-$A134),1,0),"")</f>
        <v>0</v>
      </c>
      <c r="C140" s="6">
        <f t="shared" ref="C140:J140" si="71">IF(AND(ISNUMBER($A134),ISNUMBER($A140)),IF((RANK(C$4,$B$4:$J$4,1))&lt;=($A140-$A134),1,0),"")</f>
        <v>0</v>
      </c>
      <c r="D140" s="6">
        <f t="shared" si="71"/>
        <v>0</v>
      </c>
      <c r="E140" s="6">
        <f t="shared" si="71"/>
        <v>0</v>
      </c>
      <c r="F140" s="6">
        <f t="shared" si="71"/>
        <v>0</v>
      </c>
      <c r="G140" s="6">
        <f t="shared" si="71"/>
        <v>0</v>
      </c>
      <c r="H140" s="6">
        <f t="shared" si="71"/>
        <v>0</v>
      </c>
      <c r="I140" s="6">
        <f t="shared" si="71"/>
        <v>0</v>
      </c>
      <c r="J140" s="7">
        <f t="shared" si="71"/>
        <v>0</v>
      </c>
      <c r="K140" s="13">
        <f>SUM(B140:J140)</f>
        <v>0</v>
      </c>
    </row>
    <row r="141" spans="1:11" x14ac:dyDescent="0.2">
      <c r="A141" s="30"/>
      <c r="B141" s="82">
        <f>IF(AND(ISNUMBER(B138),ISNUMBER(B139)),B138-B139-B140," ")</f>
        <v>7</v>
      </c>
      <c r="C141" s="83">
        <f t="shared" ref="C141:J141" si="72">IF(AND(ISNUMBER(C138),ISNUMBER(C139)),C138-C139-C140," ")</f>
        <v>6</v>
      </c>
      <c r="D141" s="83">
        <f t="shared" si="72"/>
        <v>6</v>
      </c>
      <c r="E141" s="83">
        <f t="shared" si="72"/>
        <v>5</v>
      </c>
      <c r="F141" s="83">
        <f t="shared" si="72"/>
        <v>5</v>
      </c>
      <c r="G141" s="83">
        <f t="shared" si="72"/>
        <v>4</v>
      </c>
      <c r="H141" s="83">
        <f t="shared" si="72"/>
        <v>6</v>
      </c>
      <c r="I141" s="83">
        <f t="shared" si="72"/>
        <v>6</v>
      </c>
      <c r="J141" s="84">
        <f t="shared" si="72"/>
        <v>9</v>
      </c>
      <c r="K141" s="13">
        <f>IF(ISNUMBER(FIND("Wins",K142)), 2, IF(ISNUMBER(FIND("Tie",K142)), 1, 0))</f>
        <v>0</v>
      </c>
    </row>
    <row r="142" spans="1:11" ht="13.5" thickBot="1" x14ac:dyDescent="0.25">
      <c r="A142" s="31"/>
      <c r="B142" s="19">
        <f>IF(AND(ISNUMBER(B135),ISNUMBER(B141)),IF(B141&lt;B135, 0+1, (IF(B141&gt;B135, 0-1, 0)))," ")</f>
        <v>-1</v>
      </c>
      <c r="C142" s="9">
        <f t="shared" ref="C142:J142" si="73">IF(AND(ISNUMBER(C135),ISNUMBER(C141)),IF(C141&lt;C135, +B142+1, (IF(C141&gt;C135, +B142-1, +B142)))," ")</f>
        <v>-1</v>
      </c>
      <c r="D142" s="9">
        <f t="shared" si="73"/>
        <v>-2</v>
      </c>
      <c r="E142" s="9">
        <f t="shared" si="73"/>
        <v>-3</v>
      </c>
      <c r="F142" s="9">
        <f t="shared" si="73"/>
        <v>-3</v>
      </c>
      <c r="G142" s="9">
        <f t="shared" si="73"/>
        <v>-4</v>
      </c>
      <c r="H142" s="9">
        <f t="shared" si="73"/>
        <v>-5</v>
      </c>
      <c r="I142" s="9">
        <f t="shared" si="73"/>
        <v>-6</v>
      </c>
      <c r="J142" s="10">
        <f t="shared" si="73"/>
        <v>-7</v>
      </c>
      <c r="K142" s="14" t="str">
        <f>IF(ISNUMBER(J142),IF(F142&gt;4,"Wins " &amp; F142 &amp; " &amp; 4",IF(G142&gt;3,"Wins " &amp; G142 &amp; " &amp; 3",IF(H142&gt;2,"Wins " &amp; H142 &amp; " &amp; 2",IF(I142&gt;1,"Wins " &amp; I142 &amp; " &amp; 1",IF(J142&gt;J136,"Wins " &amp; J142 &amp; " Up",IF(J142&lt;J136,"Loss","Tie"))))))," ")</f>
        <v>Loss</v>
      </c>
    </row>
    <row r="143" spans="1:11" x14ac:dyDescent="0.2">
      <c r="A143" s="26"/>
      <c r="B143" s="85"/>
      <c r="C143" s="85"/>
      <c r="D143" s="85"/>
      <c r="E143" s="85"/>
      <c r="F143" s="85"/>
      <c r="G143" s="85"/>
      <c r="H143" s="85"/>
      <c r="I143" s="85"/>
      <c r="J143" s="85"/>
      <c r="K143" s="15"/>
    </row>
  </sheetData>
  <pageMargins left="0.7" right="0.7" top="0.75" bottom="0.75" header="0.3" footer="0.3"/>
  <pageSetup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43"/>
  <sheetViews>
    <sheetView topLeftCell="A107" zoomScaleNormal="100" workbookViewId="0">
      <selection activeCell="L143" sqref="L143"/>
    </sheetView>
  </sheetViews>
  <sheetFormatPr defaultColWidth="9.140625" defaultRowHeight="12.75" x14ac:dyDescent="0.2"/>
  <cols>
    <col min="1" max="1" width="19.7109375" style="20" customWidth="1"/>
    <col min="2" max="10" width="9.140625" style="2"/>
    <col min="11" max="11" width="13.42578125" style="2" customWidth="1"/>
    <col min="12" max="12" width="9.140625" style="1"/>
    <col min="13" max="13" width="11.140625" style="1" customWidth="1"/>
    <col min="14" max="15" width="11.140625" style="2" customWidth="1"/>
    <col min="16" max="20" width="11.85546875" style="52" customWidth="1"/>
    <col min="21" max="22" width="9.140625" style="1"/>
    <col min="23" max="26" width="9.140625" style="2"/>
    <col min="27" max="27" width="9.85546875" style="2" customWidth="1"/>
    <col min="28" max="16384" width="9.140625" style="1"/>
  </cols>
  <sheetData>
    <row r="1" spans="1:27" ht="13.5" thickBot="1" x14ac:dyDescent="0.25">
      <c r="A1" s="614"/>
      <c r="B1" s="615"/>
    </row>
    <row r="2" spans="1:27" x14ac:dyDescent="0.2">
      <c r="A2" s="47" t="s">
        <v>1</v>
      </c>
      <c r="B2" s="76">
        <f>'Day 3 - Match 11'!B2</f>
        <v>10</v>
      </c>
      <c r="C2" s="34">
        <f>'Day 3 - Match 11'!C2</f>
        <v>11</v>
      </c>
      <c r="D2" s="34">
        <f>'Day 3 - Match 11'!D2</f>
        <v>12</v>
      </c>
      <c r="E2" s="34">
        <f>'Day 3 - Match 11'!E2</f>
        <v>13</v>
      </c>
      <c r="F2" s="34">
        <f>'Day 3 - Match 11'!F2</f>
        <v>14</v>
      </c>
      <c r="G2" s="34">
        <f>'Day 3 - Match 11'!G2</f>
        <v>15</v>
      </c>
      <c r="H2" s="34">
        <f>'Day 3 - Match 11'!H2</f>
        <v>16</v>
      </c>
      <c r="I2" s="34">
        <f>'Day 3 - Match 11'!I2</f>
        <v>17</v>
      </c>
      <c r="J2" s="35">
        <f>'Day 3 - Match 11'!J2</f>
        <v>18</v>
      </c>
      <c r="K2" s="73"/>
    </row>
    <row r="3" spans="1:27" x14ac:dyDescent="0.2">
      <c r="A3" s="48" t="s">
        <v>2</v>
      </c>
      <c r="B3" s="77">
        <f>'Day 3 - Match 11'!B3</f>
        <v>5</v>
      </c>
      <c r="C3" s="39">
        <f>'Day 3 - Match 11'!C3</f>
        <v>4</v>
      </c>
      <c r="D3" s="39">
        <f>'Day 3 - Match 11'!D3</f>
        <v>4</v>
      </c>
      <c r="E3" s="39">
        <f>'Day 3 - Match 11'!E3</f>
        <v>3</v>
      </c>
      <c r="F3" s="39">
        <f>'Day 3 - Match 11'!F3</f>
        <v>5</v>
      </c>
      <c r="G3" s="39">
        <f>'Day 3 - Match 11'!G3</f>
        <v>3</v>
      </c>
      <c r="H3" s="39">
        <f>'Day 3 - Match 11'!H3</f>
        <v>4</v>
      </c>
      <c r="I3" s="39">
        <f>'Day 3 - Match 11'!I3</f>
        <v>3</v>
      </c>
      <c r="J3" s="40">
        <f>'Day 3 - Match 11'!J3</f>
        <v>5</v>
      </c>
      <c r="K3" s="74">
        <f>SUM(B3:J3)</f>
        <v>36</v>
      </c>
      <c r="P3" s="55" t="s">
        <v>32</v>
      </c>
    </row>
    <row r="4" spans="1:27" ht="13.5" thickBot="1" x14ac:dyDescent="0.25">
      <c r="A4" s="236" t="s">
        <v>3</v>
      </c>
      <c r="B4" s="78">
        <f>'Day 3 - Match 11'!B4</f>
        <v>16</v>
      </c>
      <c r="C4" s="44">
        <f>'Day 3 - Match 11'!C4</f>
        <v>8</v>
      </c>
      <c r="D4" s="44">
        <f>'Day 3 - Match 11'!D4</f>
        <v>4</v>
      </c>
      <c r="E4" s="44">
        <f>'Day 3 - Match 11'!E4</f>
        <v>18</v>
      </c>
      <c r="F4" s="44">
        <f>'Day 3 - Match 11'!F4</f>
        <v>2</v>
      </c>
      <c r="G4" s="44">
        <f>'Day 3 - Match 11'!G4</f>
        <v>12</v>
      </c>
      <c r="H4" s="44">
        <f>'Day 3 - Match 11'!H4</f>
        <v>10</v>
      </c>
      <c r="I4" s="44">
        <f>'Day 3 - Match 11'!I4</f>
        <v>14</v>
      </c>
      <c r="J4" s="45">
        <f>'Day 3 - Match 11'!J4</f>
        <v>6</v>
      </c>
      <c r="K4" s="75"/>
    </row>
    <row r="5" spans="1:27" ht="13.5" thickBot="1" x14ac:dyDescent="0.25">
      <c r="A5" s="26"/>
      <c r="M5" s="167" t="s">
        <v>16</v>
      </c>
      <c r="N5" s="232" t="s">
        <v>17</v>
      </c>
      <c r="O5" s="232" t="s">
        <v>36</v>
      </c>
      <c r="P5" s="161" t="str">
        <f>Results!C40</f>
        <v>Long Drive</v>
      </c>
      <c r="Q5" s="50" t="str">
        <f>Results!D40</f>
        <v>Closest to Pin</v>
      </c>
      <c r="R5" s="50" t="str">
        <f>Results!E40</f>
        <v>Long Putt</v>
      </c>
      <c r="S5" s="50" t="str">
        <f>Results!F40</f>
        <v>Secret Snowman</v>
      </c>
      <c r="T5" s="51" t="str">
        <f>Results!G40</f>
        <v>Closest to Pin</v>
      </c>
      <c r="V5" s="2">
        <v>1</v>
      </c>
      <c r="W5" s="2">
        <v>2</v>
      </c>
      <c r="X5" s="2">
        <v>3</v>
      </c>
      <c r="Y5" s="2">
        <v>4</v>
      </c>
      <c r="Z5" s="2">
        <v>5</v>
      </c>
    </row>
    <row r="6" spans="1:27" x14ac:dyDescent="0.2">
      <c r="A6" s="47" t="str">
        <f>Matchups!F3</f>
        <v>Dave</v>
      </c>
      <c r="B6" s="237">
        <f>'Day 3 - Match 11'!B6</f>
        <v>6</v>
      </c>
      <c r="C6" s="238">
        <f>'Day 3 - Match 11'!C6</f>
        <v>5</v>
      </c>
      <c r="D6" s="238">
        <f>'Day 3 - Match 11'!D6</f>
        <v>5</v>
      </c>
      <c r="E6" s="238">
        <f>'Day 3 - Match 11'!E6</f>
        <v>5</v>
      </c>
      <c r="F6" s="238">
        <f>'Day 3 - Match 11'!F6</f>
        <v>6</v>
      </c>
      <c r="G6" s="238">
        <f>'Day 3 - Match 11'!G6</f>
        <v>3</v>
      </c>
      <c r="H6" s="238">
        <f>'Day 3 - Match 11'!H6</f>
        <v>4</v>
      </c>
      <c r="I6" s="238">
        <f>'Day 3 - Match 11'!I6</f>
        <v>4</v>
      </c>
      <c r="J6" s="239">
        <f>'Day 3 - Match 11'!J6</f>
        <v>6</v>
      </c>
      <c r="K6" s="12">
        <f>SUM(B6:J6)</f>
        <v>44</v>
      </c>
      <c r="M6" s="90" t="str">
        <f>A14</f>
        <v>Mil</v>
      </c>
      <c r="N6" s="5">
        <f>K14</f>
        <v>46</v>
      </c>
      <c r="O6" s="5">
        <f>K70</f>
        <v>2</v>
      </c>
      <c r="P6" s="57"/>
      <c r="Q6" s="54"/>
      <c r="R6" s="54"/>
      <c r="S6" s="54"/>
      <c r="T6" s="601"/>
      <c r="V6" s="2" t="str">
        <f t="shared" ref="V6:V37" si="0">IF($S$39=V$5,S6*V$5,"")</f>
        <v/>
      </c>
      <c r="W6" s="2" t="str">
        <f t="shared" ref="W6:W37" si="1">IF($S$39=W$5,S6*W$5,"")</f>
        <v/>
      </c>
      <c r="X6" s="2" t="str">
        <f t="shared" ref="X6:X37" si="2">IF($S$39=X$5,S6*X$5,"")</f>
        <v/>
      </c>
      <c r="Y6" s="2" t="str">
        <f t="shared" ref="Y6:Y37" si="3">IF($S$39=Y$5,S6*Y$5,"")</f>
        <v/>
      </c>
      <c r="Z6" s="2" t="str">
        <f t="shared" ref="Z6:Z37" si="4">IF($S$39=Z$5,S6*Z$5,"")</f>
        <v/>
      </c>
      <c r="AA6" s="144">
        <f>IF(SUM(V6:Z6)=0,0,Setup!F$44/SUM(V6:Z6))</f>
        <v>0</v>
      </c>
    </row>
    <row r="7" spans="1:27" hidden="1" x14ac:dyDescent="0.2">
      <c r="A7" s="48">
        <f>Matchups!F4</f>
        <v>5</v>
      </c>
      <c r="B7" s="240"/>
      <c r="C7" s="241"/>
      <c r="D7" s="241"/>
      <c r="E7" s="241"/>
      <c r="F7" s="241"/>
      <c r="G7" s="241"/>
      <c r="H7" s="241"/>
      <c r="I7" s="241"/>
      <c r="J7" s="242"/>
      <c r="K7" s="13"/>
      <c r="M7" s="91"/>
      <c r="N7" s="8"/>
      <c r="O7" s="8"/>
      <c r="P7" s="367"/>
      <c r="Q7" s="599"/>
      <c r="R7" s="599"/>
      <c r="S7" s="599"/>
      <c r="T7" s="602"/>
      <c r="V7" s="2" t="str">
        <f t="shared" si="0"/>
        <v/>
      </c>
      <c r="W7" s="2" t="str">
        <f t="shared" si="1"/>
        <v/>
      </c>
      <c r="X7" s="2" t="str">
        <f t="shared" si="2"/>
        <v/>
      </c>
      <c r="Y7" s="2" t="str">
        <f t="shared" si="3"/>
        <v/>
      </c>
      <c r="Z7" s="2" t="str">
        <f t="shared" si="4"/>
        <v/>
      </c>
      <c r="AA7" s="144">
        <f>IF(SUM(V7:Z7)=0,0,Setup!F$44/SUM(V7:Z7))</f>
        <v>0</v>
      </c>
    </row>
    <row r="8" spans="1:27" x14ac:dyDescent="0.2">
      <c r="A8" s="48" t="str">
        <f>Matchups!F5</f>
        <v>Rick</v>
      </c>
      <c r="B8" s="240">
        <f>'Day 3 - Match 11'!B8</f>
        <v>4</v>
      </c>
      <c r="C8" s="241">
        <f>'Day 3 - Match 11'!C8</f>
        <v>4</v>
      </c>
      <c r="D8" s="241">
        <f>'Day 3 - Match 11'!D8</f>
        <v>6</v>
      </c>
      <c r="E8" s="241">
        <f>'Day 3 - Match 11'!E8</f>
        <v>5</v>
      </c>
      <c r="F8" s="241">
        <f>'Day 3 - Match 11'!F8</f>
        <v>6</v>
      </c>
      <c r="G8" s="241">
        <f>'Day 3 - Match 11'!G8</f>
        <v>3</v>
      </c>
      <c r="H8" s="241">
        <f>'Day 3 - Match 11'!H8</f>
        <v>5</v>
      </c>
      <c r="I8" s="241">
        <f>'Day 3 - Match 11'!I8</f>
        <v>5</v>
      </c>
      <c r="J8" s="242">
        <f>'Day 3 - Match 11'!J8</f>
        <v>6</v>
      </c>
      <c r="K8" s="13">
        <f t="shared" ref="K8:K28" si="5">SUM(B8:J8)</f>
        <v>44</v>
      </c>
      <c r="M8" s="91" t="str">
        <f>A32</f>
        <v>John</v>
      </c>
      <c r="N8" s="8">
        <f>K32</f>
        <v>42</v>
      </c>
      <c r="O8" s="8">
        <f>K135</f>
        <v>2</v>
      </c>
      <c r="P8" s="367"/>
      <c r="Q8" s="599"/>
      <c r="R8" s="599"/>
      <c r="S8" s="599"/>
      <c r="T8" s="602"/>
      <c r="V8" s="2" t="str">
        <f t="shared" si="0"/>
        <v/>
      </c>
      <c r="W8" s="2" t="str">
        <f t="shared" si="1"/>
        <v/>
      </c>
      <c r="X8" s="2" t="str">
        <f t="shared" si="2"/>
        <v/>
      </c>
      <c r="Y8" s="2" t="str">
        <f t="shared" si="3"/>
        <v/>
      </c>
      <c r="Z8" s="2" t="str">
        <f t="shared" si="4"/>
        <v/>
      </c>
      <c r="AA8" s="144">
        <f>IF(SUM(V8:Z8)=0,0,Setup!F$44/SUM(V8:Z8))</f>
        <v>0</v>
      </c>
    </row>
    <row r="9" spans="1:27" hidden="1" x14ac:dyDescent="0.2">
      <c r="A9" s="48">
        <f>Matchups!F6</f>
        <v>7</v>
      </c>
      <c r="B9" s="240"/>
      <c r="C9" s="241"/>
      <c r="D9" s="241"/>
      <c r="E9" s="241"/>
      <c r="F9" s="241"/>
      <c r="G9" s="241"/>
      <c r="H9" s="241"/>
      <c r="I9" s="241"/>
      <c r="J9" s="242"/>
      <c r="K9" s="13"/>
      <c r="M9" s="91"/>
      <c r="N9" s="8"/>
      <c r="O9" s="8"/>
      <c r="P9" s="367"/>
      <c r="Q9" s="599"/>
      <c r="R9" s="599"/>
      <c r="S9" s="599"/>
      <c r="T9" s="602"/>
      <c r="V9" s="2" t="str">
        <f t="shared" si="0"/>
        <v/>
      </c>
      <c r="W9" s="2" t="str">
        <f t="shared" si="1"/>
        <v/>
      </c>
      <c r="X9" s="2" t="str">
        <f t="shared" si="2"/>
        <v/>
      </c>
      <c r="Y9" s="2" t="str">
        <f t="shared" si="3"/>
        <v/>
      </c>
      <c r="Z9" s="2" t="str">
        <f t="shared" si="4"/>
        <v/>
      </c>
      <c r="AA9" s="144">
        <f>IF(SUM(V9:Z9)=0,0,Setup!F$44/SUM(V9:Z9))</f>
        <v>0</v>
      </c>
    </row>
    <row r="10" spans="1:27" x14ac:dyDescent="0.2">
      <c r="A10" s="48" t="str">
        <f>Matchups!F7</f>
        <v>Brian S</v>
      </c>
      <c r="B10" s="240">
        <f>'Day 3 - Match 11'!B10</f>
        <v>6</v>
      </c>
      <c r="C10" s="241">
        <f>'Day 3 - Match 11'!C10</f>
        <v>7</v>
      </c>
      <c r="D10" s="241">
        <f>'Day 3 - Match 11'!D10</f>
        <v>7</v>
      </c>
      <c r="E10" s="241">
        <f>'Day 3 - Match 11'!E10</f>
        <v>5</v>
      </c>
      <c r="F10" s="241">
        <f>'Day 3 - Match 11'!F10</f>
        <v>7</v>
      </c>
      <c r="G10" s="241">
        <f>'Day 3 - Match 11'!G10</f>
        <v>4</v>
      </c>
      <c r="H10" s="241">
        <f>'Day 3 - Match 11'!H10</f>
        <v>5</v>
      </c>
      <c r="I10" s="241">
        <f>'Day 3 - Match 11'!I10</f>
        <v>4</v>
      </c>
      <c r="J10" s="242">
        <f>'Day 3 - Match 11'!J10</f>
        <v>5</v>
      </c>
      <c r="K10" s="13">
        <f t="shared" si="5"/>
        <v>50</v>
      </c>
      <c r="M10" s="91" t="str">
        <f>A26</f>
        <v>Brian P</v>
      </c>
      <c r="N10" s="8">
        <f>K26</f>
        <v>42</v>
      </c>
      <c r="O10" s="8">
        <f>K109</f>
        <v>2</v>
      </c>
      <c r="P10" s="367"/>
      <c r="Q10" s="599"/>
      <c r="R10" s="599"/>
      <c r="S10" s="599"/>
      <c r="T10" s="602"/>
      <c r="V10" s="2" t="str">
        <f t="shared" si="0"/>
        <v/>
      </c>
      <c r="W10" s="2" t="str">
        <f t="shared" si="1"/>
        <v/>
      </c>
      <c r="X10" s="2" t="str">
        <f t="shared" si="2"/>
        <v/>
      </c>
      <c r="Y10" s="2" t="str">
        <f t="shared" si="3"/>
        <v/>
      </c>
      <c r="Z10" s="2" t="str">
        <f t="shared" si="4"/>
        <v/>
      </c>
      <c r="AA10" s="144">
        <f>IF(SUM(V10:Z10)=0,0,Setup!F$44/SUM(V10:Z10))</f>
        <v>0</v>
      </c>
    </row>
    <row r="11" spans="1:27" hidden="1" x14ac:dyDescent="0.2">
      <c r="A11" s="48">
        <f>Matchups!F8</f>
        <v>13</v>
      </c>
      <c r="B11" s="240"/>
      <c r="C11" s="241"/>
      <c r="D11" s="241"/>
      <c r="E11" s="241"/>
      <c r="F11" s="241"/>
      <c r="G11" s="241"/>
      <c r="H11" s="241"/>
      <c r="I11" s="241"/>
      <c r="J11" s="242"/>
      <c r="K11" s="13"/>
      <c r="M11" s="91"/>
      <c r="N11" s="8"/>
      <c r="O11" s="8"/>
      <c r="P11" s="367"/>
      <c r="Q11" s="599"/>
      <c r="R11" s="599"/>
      <c r="S11" s="599"/>
      <c r="T11" s="602"/>
      <c r="V11" s="2" t="str">
        <f t="shared" si="0"/>
        <v/>
      </c>
      <c r="W11" s="2" t="str">
        <f t="shared" si="1"/>
        <v/>
      </c>
      <c r="X11" s="2" t="str">
        <f t="shared" si="2"/>
        <v/>
      </c>
      <c r="Y11" s="2" t="str">
        <f t="shared" si="3"/>
        <v/>
      </c>
      <c r="Z11" s="2" t="str">
        <f t="shared" si="4"/>
        <v/>
      </c>
      <c r="AA11" s="144">
        <f>IF(SUM(V11:Z11)=0,0,Setup!F$44/SUM(V11:Z11))</f>
        <v>0</v>
      </c>
    </row>
    <row r="12" spans="1:27" ht="13.5" thickBot="1" x14ac:dyDescent="0.25">
      <c r="A12" s="236" t="str">
        <f>Matchups!F9</f>
        <v xml:space="preserve">Pat </v>
      </c>
      <c r="B12" s="246">
        <f>'Day 3 - Match 11'!B12</f>
        <v>5</v>
      </c>
      <c r="C12" s="247">
        <f>'Day 3 - Match 11'!C12</f>
        <v>5</v>
      </c>
      <c r="D12" s="247">
        <f>'Day 3 - Match 11'!D12</f>
        <v>4</v>
      </c>
      <c r="E12" s="247">
        <f>'Day 3 - Match 11'!E12</f>
        <v>4</v>
      </c>
      <c r="F12" s="247">
        <f>'Day 3 - Match 11'!F12</f>
        <v>5</v>
      </c>
      <c r="G12" s="247">
        <f>'Day 3 - Match 11'!G12</f>
        <v>5</v>
      </c>
      <c r="H12" s="247">
        <f>'Day 3 - Match 11'!H12</f>
        <v>5</v>
      </c>
      <c r="I12" s="247">
        <f>'Day 3 - Match 11'!I12</f>
        <v>5</v>
      </c>
      <c r="J12" s="248">
        <f>'Day 3 - Match 11'!J12</f>
        <v>7</v>
      </c>
      <c r="K12" s="14">
        <f t="shared" si="5"/>
        <v>45</v>
      </c>
      <c r="M12" s="91" t="str">
        <f>A12</f>
        <v xml:space="preserve">Pat </v>
      </c>
      <c r="N12" s="8">
        <f>K12</f>
        <v>45</v>
      </c>
      <c r="O12" s="8">
        <f>K50</f>
        <v>1</v>
      </c>
      <c r="P12" s="367"/>
      <c r="Q12" s="599"/>
      <c r="R12" s="599"/>
      <c r="S12" s="599"/>
      <c r="T12" s="602"/>
      <c r="V12" s="2" t="str">
        <f t="shared" si="0"/>
        <v/>
      </c>
      <c r="W12" s="2" t="str">
        <f t="shared" si="1"/>
        <v/>
      </c>
      <c r="X12" s="2" t="str">
        <f t="shared" si="2"/>
        <v/>
      </c>
      <c r="Y12" s="2" t="str">
        <f t="shared" si="3"/>
        <v/>
      </c>
      <c r="Z12" s="2" t="str">
        <f t="shared" si="4"/>
        <v/>
      </c>
      <c r="AA12" s="144">
        <f>IF(SUM(V12:Z12)=0,0,Setup!F$44/SUM(V12:Z12))</f>
        <v>0</v>
      </c>
    </row>
    <row r="13" spans="1:27" ht="13.5" hidden="1" thickBot="1" x14ac:dyDescent="0.25">
      <c r="A13" s="72">
        <f>Matchups!F10</f>
        <v>6</v>
      </c>
      <c r="B13" s="271"/>
      <c r="C13" s="270"/>
      <c r="D13" s="270"/>
      <c r="E13" s="270"/>
      <c r="F13" s="270"/>
      <c r="G13" s="270"/>
      <c r="H13" s="270"/>
      <c r="I13" s="270"/>
      <c r="J13" s="272"/>
      <c r="K13" s="250"/>
      <c r="M13" s="133"/>
      <c r="N13" s="70"/>
      <c r="O13" s="70"/>
      <c r="P13" s="603"/>
      <c r="Q13" s="604"/>
      <c r="R13" s="604"/>
      <c r="S13" s="604"/>
      <c r="T13" s="605"/>
      <c r="V13" s="2" t="str">
        <f t="shared" si="0"/>
        <v/>
      </c>
      <c r="W13" s="2" t="str">
        <f t="shared" si="1"/>
        <v/>
      </c>
      <c r="X13" s="2" t="str">
        <f t="shared" si="2"/>
        <v/>
      </c>
      <c r="Y13" s="2" t="str">
        <f t="shared" si="3"/>
        <v/>
      </c>
      <c r="Z13" s="2" t="str">
        <f t="shared" si="4"/>
        <v/>
      </c>
      <c r="AA13" s="144">
        <f>IF(SUM(V13:Z13)=0,0,Setup!F$44/SUM(V13:Z13))</f>
        <v>0</v>
      </c>
    </row>
    <row r="14" spans="1:27" x14ac:dyDescent="0.2">
      <c r="A14" s="21" t="str">
        <f>Matchups!F11</f>
        <v>Mil</v>
      </c>
      <c r="B14" s="237">
        <f>'Day 3 - Match 11'!B14</f>
        <v>6</v>
      </c>
      <c r="C14" s="238">
        <f>'Day 3 - Match 11'!C14</f>
        <v>4</v>
      </c>
      <c r="D14" s="238">
        <f>'Day 3 - Match 11'!D14</f>
        <v>6</v>
      </c>
      <c r="E14" s="238">
        <f>'Day 3 - Match 11'!E14</f>
        <v>4</v>
      </c>
      <c r="F14" s="238">
        <f>'Day 3 - Match 11'!F14</f>
        <v>6</v>
      </c>
      <c r="G14" s="238">
        <f>'Day 3 - Match 11'!G14</f>
        <v>4</v>
      </c>
      <c r="H14" s="238">
        <f>'Day 3 - Match 11'!H14</f>
        <v>5</v>
      </c>
      <c r="I14" s="238">
        <f>'Day 3 - Match 11'!I14</f>
        <v>5</v>
      </c>
      <c r="J14" s="239">
        <f>'Day 3 - Match 11'!J14</f>
        <v>6</v>
      </c>
      <c r="K14" s="12">
        <f t="shared" si="5"/>
        <v>46</v>
      </c>
      <c r="M14" s="226" t="str">
        <f>A8</f>
        <v>Rick</v>
      </c>
      <c r="N14" s="5">
        <f>K8</f>
        <v>44</v>
      </c>
      <c r="O14" s="12">
        <f>K63</f>
        <v>0</v>
      </c>
      <c r="P14" s="606"/>
      <c r="Q14" s="54"/>
      <c r="R14" s="54"/>
      <c r="S14" s="54"/>
      <c r="T14" s="601"/>
      <c r="V14" s="2" t="str">
        <f t="shared" si="0"/>
        <v/>
      </c>
      <c r="W14" s="2" t="str">
        <f t="shared" si="1"/>
        <v/>
      </c>
      <c r="X14" s="2" t="str">
        <f t="shared" si="2"/>
        <v/>
      </c>
      <c r="Y14" s="2" t="str">
        <f t="shared" si="3"/>
        <v/>
      </c>
      <c r="Z14" s="2" t="str">
        <f t="shared" si="4"/>
        <v/>
      </c>
      <c r="AA14" s="144">
        <f>IF(SUM(V14:Z14)=0,0,Setup!F$44/SUM(V14:Z14))</f>
        <v>0</v>
      </c>
    </row>
    <row r="15" spans="1:27" hidden="1" x14ac:dyDescent="0.2">
      <c r="A15" s="22">
        <f>Matchups!F12</f>
        <v>6</v>
      </c>
      <c r="B15" s="240"/>
      <c r="C15" s="241"/>
      <c r="D15" s="241"/>
      <c r="E15" s="241"/>
      <c r="F15" s="241"/>
      <c r="G15" s="241"/>
      <c r="H15" s="241"/>
      <c r="I15" s="241"/>
      <c r="J15" s="242"/>
      <c r="K15" s="13"/>
      <c r="M15" s="227"/>
      <c r="N15" s="8"/>
      <c r="O15" s="13"/>
      <c r="P15" s="607"/>
      <c r="Q15" s="599"/>
      <c r="R15" s="599"/>
      <c r="S15" s="599"/>
      <c r="T15" s="602"/>
      <c r="V15" s="2" t="str">
        <f t="shared" si="0"/>
        <v/>
      </c>
      <c r="W15" s="2" t="str">
        <f t="shared" si="1"/>
        <v/>
      </c>
      <c r="X15" s="2" t="str">
        <f t="shared" si="2"/>
        <v/>
      </c>
      <c r="Y15" s="2" t="str">
        <f t="shared" si="3"/>
        <v/>
      </c>
      <c r="Z15" s="2" t="str">
        <f t="shared" si="4"/>
        <v/>
      </c>
      <c r="AA15" s="144">
        <f>IF(SUM(V15:Z15)=0,0,Setup!F$44/SUM(V15:Z15))</f>
        <v>0</v>
      </c>
    </row>
    <row r="16" spans="1:27" x14ac:dyDescent="0.2">
      <c r="A16" s="22" t="str">
        <f>Matchups!F13</f>
        <v>Hunter</v>
      </c>
      <c r="B16" s="240">
        <f>'Day 3 - Match 11'!B16</f>
        <v>6</v>
      </c>
      <c r="C16" s="241">
        <f>'Day 3 - Match 11'!C16</f>
        <v>4</v>
      </c>
      <c r="D16" s="241">
        <f>'Day 3 - Match 11'!D16</f>
        <v>4</v>
      </c>
      <c r="E16" s="241">
        <f>'Day 3 - Match 11'!E16</f>
        <v>4</v>
      </c>
      <c r="F16" s="241">
        <f>'Day 3 - Match 11'!F16</f>
        <v>6</v>
      </c>
      <c r="G16" s="241">
        <f>'Day 3 - Match 11'!G16</f>
        <v>4</v>
      </c>
      <c r="H16" s="241">
        <f>'Day 3 - Match 11'!H16</f>
        <v>4</v>
      </c>
      <c r="I16" s="241">
        <f>'Day 3 - Match 11'!I16</f>
        <v>6</v>
      </c>
      <c r="J16" s="242">
        <f>'Day 3 - Match 11'!J16</f>
        <v>6</v>
      </c>
      <c r="K16" s="13">
        <f t="shared" si="5"/>
        <v>44</v>
      </c>
      <c r="M16" s="227" t="str">
        <f>A22</f>
        <v>Keith</v>
      </c>
      <c r="N16" s="8">
        <f>K22</f>
        <v>54</v>
      </c>
      <c r="O16" s="13">
        <f>K96</f>
        <v>0</v>
      </c>
      <c r="P16" s="607"/>
      <c r="Q16" s="599"/>
      <c r="R16" s="599"/>
      <c r="S16" s="599"/>
      <c r="T16" s="602"/>
      <c r="V16" s="2" t="str">
        <f t="shared" si="0"/>
        <v/>
      </c>
      <c r="W16" s="2" t="str">
        <f t="shared" si="1"/>
        <v/>
      </c>
      <c r="X16" s="2" t="str">
        <f t="shared" si="2"/>
        <v/>
      </c>
      <c r="Y16" s="2" t="str">
        <f t="shared" si="3"/>
        <v/>
      </c>
      <c r="Z16" s="2" t="str">
        <f t="shared" si="4"/>
        <v/>
      </c>
      <c r="AA16" s="144">
        <f>IF(SUM(V16:Z16)=0,0,Setup!F$44/SUM(V16:Z16))</f>
        <v>0</v>
      </c>
    </row>
    <row r="17" spans="1:27" hidden="1" x14ac:dyDescent="0.2">
      <c r="A17" s="22">
        <f>Matchups!F14</f>
        <v>7</v>
      </c>
      <c r="B17" s="240"/>
      <c r="C17" s="241"/>
      <c r="D17" s="241"/>
      <c r="E17" s="241"/>
      <c r="F17" s="241"/>
      <c r="G17" s="241"/>
      <c r="H17" s="241"/>
      <c r="I17" s="241"/>
      <c r="J17" s="242"/>
      <c r="K17" s="13"/>
      <c r="M17" s="227"/>
      <c r="N17" s="8"/>
      <c r="O17" s="13"/>
      <c r="P17" s="607"/>
      <c r="Q17" s="599"/>
      <c r="R17" s="599"/>
      <c r="S17" s="599"/>
      <c r="T17" s="602"/>
      <c r="V17" s="2" t="str">
        <f t="shared" si="0"/>
        <v/>
      </c>
      <c r="W17" s="2" t="str">
        <f t="shared" si="1"/>
        <v/>
      </c>
      <c r="X17" s="2" t="str">
        <f t="shared" si="2"/>
        <v/>
      </c>
      <c r="Y17" s="2" t="str">
        <f t="shared" si="3"/>
        <v/>
      </c>
      <c r="Z17" s="2" t="str">
        <f t="shared" si="4"/>
        <v/>
      </c>
      <c r="AA17" s="144">
        <f>IF(SUM(V17:Z17)=0,0,Setup!F$44/SUM(V17:Z17))</f>
        <v>0</v>
      </c>
    </row>
    <row r="18" spans="1:27" x14ac:dyDescent="0.2">
      <c r="A18" s="22" t="str">
        <f>Matchups!F15</f>
        <v>Patrick</v>
      </c>
      <c r="B18" s="240">
        <f>'Day 3 - Match 11'!B18</f>
        <v>7</v>
      </c>
      <c r="C18" s="241">
        <f>'Day 3 - Match 11'!C18</f>
        <v>6</v>
      </c>
      <c r="D18" s="241">
        <f>'Day 3 - Match 11'!D18</f>
        <v>4</v>
      </c>
      <c r="E18" s="241">
        <f>'Day 3 - Match 11'!E18</f>
        <v>3</v>
      </c>
      <c r="F18" s="241">
        <f>'Day 3 - Match 11'!F18</f>
        <v>7</v>
      </c>
      <c r="G18" s="241">
        <f>'Day 3 - Match 11'!G18</f>
        <v>6</v>
      </c>
      <c r="H18" s="241">
        <f>'Day 3 - Match 11'!H18</f>
        <v>6</v>
      </c>
      <c r="I18" s="241">
        <f>'Day 3 - Match 11'!I18</f>
        <v>6</v>
      </c>
      <c r="J18" s="242">
        <f>'Day 3 - Match 11'!J18</f>
        <v>7</v>
      </c>
      <c r="K18" s="13">
        <f t="shared" si="5"/>
        <v>52</v>
      </c>
      <c r="M18" s="227" t="str">
        <f>A34</f>
        <v>Tony W</v>
      </c>
      <c r="N18" s="8">
        <f>K34</f>
        <v>54</v>
      </c>
      <c r="O18" s="13">
        <f>K141</f>
        <v>0</v>
      </c>
      <c r="P18" s="607"/>
      <c r="Q18" s="599"/>
      <c r="R18" s="599"/>
      <c r="S18" s="599"/>
      <c r="T18" s="602"/>
      <c r="V18" s="2" t="str">
        <f t="shared" si="0"/>
        <v/>
      </c>
      <c r="W18" s="2" t="str">
        <f t="shared" si="1"/>
        <v/>
      </c>
      <c r="X18" s="2" t="str">
        <f t="shared" si="2"/>
        <v/>
      </c>
      <c r="Y18" s="2" t="str">
        <f t="shared" si="3"/>
        <v/>
      </c>
      <c r="Z18" s="2" t="str">
        <f t="shared" si="4"/>
        <v/>
      </c>
      <c r="AA18" s="144">
        <f>IF(SUM(V18:Z18)=0,0,Setup!F$44/SUM(V18:Z18))</f>
        <v>0</v>
      </c>
    </row>
    <row r="19" spans="1:27" hidden="1" x14ac:dyDescent="0.2">
      <c r="A19" s="409">
        <f>Matchups!F16</f>
        <v>8</v>
      </c>
      <c r="B19" s="240"/>
      <c r="C19" s="241"/>
      <c r="D19" s="241"/>
      <c r="E19" s="241"/>
      <c r="F19" s="241"/>
      <c r="G19" s="241"/>
      <c r="H19" s="241"/>
      <c r="I19" s="241"/>
      <c r="J19" s="242"/>
      <c r="K19" s="229"/>
      <c r="M19" s="334"/>
      <c r="N19" s="70"/>
      <c r="O19" s="229"/>
      <c r="P19" s="608"/>
      <c r="Q19" s="604"/>
      <c r="R19" s="604"/>
      <c r="S19" s="604"/>
      <c r="T19" s="605"/>
      <c r="V19" s="2" t="str">
        <f t="shared" si="0"/>
        <v/>
      </c>
      <c r="W19" s="2" t="str">
        <f t="shared" si="1"/>
        <v/>
      </c>
      <c r="X19" s="2" t="str">
        <f t="shared" si="2"/>
        <v/>
      </c>
      <c r="Y19" s="2" t="str">
        <f t="shared" si="3"/>
        <v/>
      </c>
      <c r="Z19" s="2" t="str">
        <f t="shared" si="4"/>
        <v/>
      </c>
      <c r="AA19" s="144">
        <f>IF(SUM(V19:Z19)=0,0,Setup!F$44/SUM(V19:Z19))</f>
        <v>0</v>
      </c>
    </row>
    <row r="20" spans="1:27" ht="13.5" thickBot="1" x14ac:dyDescent="0.25">
      <c r="A20" s="22" t="str">
        <f>Matchups!F17</f>
        <v>Manny</v>
      </c>
      <c r="B20" s="246">
        <f>'Day 3 - Match 11'!B20</f>
        <v>7</v>
      </c>
      <c r="C20" s="247">
        <f>'Day 3 - Match 11'!C20</f>
        <v>6</v>
      </c>
      <c r="D20" s="247">
        <f>'Day 3 - Match 11'!D20</f>
        <v>4</v>
      </c>
      <c r="E20" s="247">
        <f>'Day 3 - Match 11'!E20</f>
        <v>8</v>
      </c>
      <c r="F20" s="247">
        <f>'Day 3 - Match 11'!F20</f>
        <v>8</v>
      </c>
      <c r="G20" s="247">
        <f>'Day 3 - Match 11'!G20</f>
        <v>5</v>
      </c>
      <c r="H20" s="247">
        <f>'Day 3 - Match 11'!H20</f>
        <v>9</v>
      </c>
      <c r="I20" s="247">
        <f>'Day 3 - Match 11'!I20</f>
        <v>6</v>
      </c>
      <c r="J20" s="248">
        <f>'Day 3 - Match 11'!J20</f>
        <v>8</v>
      </c>
      <c r="K20" s="13">
        <f t="shared" si="5"/>
        <v>61</v>
      </c>
      <c r="M20" s="227" t="str">
        <f>A20</f>
        <v>Manny</v>
      </c>
      <c r="N20" s="8">
        <f>K20</f>
        <v>61</v>
      </c>
      <c r="O20" s="13">
        <f>K76</f>
        <v>0</v>
      </c>
      <c r="P20" s="607"/>
      <c r="Q20" s="599"/>
      <c r="R20" s="599"/>
      <c r="S20" s="599"/>
      <c r="T20" s="602"/>
      <c r="V20" s="2" t="str">
        <f t="shared" si="0"/>
        <v/>
      </c>
      <c r="W20" s="2" t="str">
        <f t="shared" si="1"/>
        <v/>
      </c>
      <c r="X20" s="2" t="str">
        <f t="shared" si="2"/>
        <v/>
      </c>
      <c r="Y20" s="2" t="str">
        <f t="shared" si="3"/>
        <v/>
      </c>
      <c r="Z20" s="2" t="str">
        <f t="shared" si="4"/>
        <v/>
      </c>
      <c r="AA20" s="144">
        <f>IF(SUM(V20:Z20)=0,0,Setup!F$44/SUM(V20:Z20))</f>
        <v>0</v>
      </c>
    </row>
    <row r="21" spans="1:27" ht="13.5" hidden="1" thickBot="1" x14ac:dyDescent="0.25">
      <c r="A21" s="409">
        <f>Matchups!F18</f>
        <v>14</v>
      </c>
      <c r="B21" s="540"/>
      <c r="C21" s="244"/>
      <c r="D21" s="244"/>
      <c r="E21" s="244"/>
      <c r="F21" s="244"/>
      <c r="G21" s="244"/>
      <c r="H21" s="244"/>
      <c r="I21" s="244"/>
      <c r="J21" s="245"/>
      <c r="K21" s="229"/>
      <c r="M21" s="334"/>
      <c r="N21" s="70"/>
      <c r="O21" s="229"/>
      <c r="P21" s="608"/>
      <c r="Q21" s="604"/>
      <c r="R21" s="604"/>
      <c r="S21" s="604"/>
      <c r="T21" s="605"/>
      <c r="V21" s="2" t="str">
        <f t="shared" si="0"/>
        <v/>
      </c>
      <c r="W21" s="2" t="str">
        <f t="shared" si="1"/>
        <v/>
      </c>
      <c r="X21" s="2" t="str">
        <f t="shared" si="2"/>
        <v/>
      </c>
      <c r="Y21" s="2" t="str">
        <f t="shared" si="3"/>
        <v/>
      </c>
      <c r="Z21" s="2" t="str">
        <f t="shared" si="4"/>
        <v/>
      </c>
      <c r="AA21" s="144">
        <f>IF(SUM(V21:Z21)=0,0,Setup!F$44/SUM(V21:Z21))</f>
        <v>0</v>
      </c>
    </row>
    <row r="22" spans="1:27" x14ac:dyDescent="0.2">
      <c r="A22" s="21" t="str">
        <f>Matchups!F19</f>
        <v>Keith</v>
      </c>
      <c r="B22" s="237">
        <f>'Day 3 - Match 11'!B22</f>
        <v>6</v>
      </c>
      <c r="C22" s="238">
        <f>'Day 3 - Match 11'!C22</f>
        <v>7</v>
      </c>
      <c r="D22" s="238">
        <f>'Day 3 - Match 11'!D22</f>
        <v>7</v>
      </c>
      <c r="E22" s="238">
        <f>'Day 3 - Match 11'!E22</f>
        <v>6</v>
      </c>
      <c r="F22" s="238">
        <f>'Day 3 - Match 11'!F22</f>
        <v>7</v>
      </c>
      <c r="G22" s="238">
        <f>'Day 3 - Match 11'!G22</f>
        <v>5</v>
      </c>
      <c r="H22" s="238">
        <f>'Day 3 - Match 11'!H22</f>
        <v>5</v>
      </c>
      <c r="I22" s="238">
        <f>'Day 3 - Match 11'!I22</f>
        <v>4</v>
      </c>
      <c r="J22" s="239">
        <f>'Day 3 - Match 11'!J22</f>
        <v>7</v>
      </c>
      <c r="K22" s="12">
        <f t="shared" si="5"/>
        <v>54</v>
      </c>
      <c r="M22" s="226" t="str">
        <f>A28</f>
        <v>Tommy</v>
      </c>
      <c r="N22" s="5">
        <f>K28</f>
        <v>43</v>
      </c>
      <c r="O22" s="12">
        <f>K102</f>
        <v>2</v>
      </c>
      <c r="P22" s="606"/>
      <c r="Q22" s="54"/>
      <c r="R22" s="54"/>
      <c r="S22" s="54"/>
      <c r="T22" s="601"/>
      <c r="V22" s="2" t="str">
        <f t="shared" si="0"/>
        <v/>
      </c>
      <c r="W22" s="2" t="str">
        <f t="shared" si="1"/>
        <v/>
      </c>
      <c r="X22" s="2" t="str">
        <f t="shared" si="2"/>
        <v/>
      </c>
      <c r="Y22" s="2" t="str">
        <f t="shared" si="3"/>
        <v/>
      </c>
      <c r="Z22" s="2" t="str">
        <f t="shared" si="4"/>
        <v/>
      </c>
      <c r="AA22" s="144">
        <f>IF(SUM(V22:Z22)=0,0,Setup!F$44/SUM(V22:Z22))</f>
        <v>0</v>
      </c>
    </row>
    <row r="23" spans="1:27" hidden="1" x14ac:dyDescent="0.2">
      <c r="A23" s="22">
        <f>Matchups!F20</f>
        <v>16</v>
      </c>
      <c r="B23" s="240"/>
      <c r="C23" s="241"/>
      <c r="D23" s="241"/>
      <c r="E23" s="241"/>
      <c r="F23" s="241"/>
      <c r="G23" s="241"/>
      <c r="H23" s="241"/>
      <c r="I23" s="241"/>
      <c r="J23" s="242"/>
      <c r="K23" s="13"/>
      <c r="M23" s="227"/>
      <c r="N23" s="8"/>
      <c r="O23" s="13"/>
      <c r="P23" s="607"/>
      <c r="Q23" s="599"/>
      <c r="R23" s="599"/>
      <c r="S23" s="599"/>
      <c r="T23" s="602"/>
      <c r="V23" s="2" t="str">
        <f t="shared" si="0"/>
        <v/>
      </c>
      <c r="W23" s="2" t="str">
        <f t="shared" si="1"/>
        <v/>
      </c>
      <c r="X23" s="2" t="str">
        <f t="shared" si="2"/>
        <v/>
      </c>
      <c r="Y23" s="2" t="str">
        <f t="shared" si="3"/>
        <v/>
      </c>
      <c r="Z23" s="2" t="str">
        <f t="shared" si="4"/>
        <v/>
      </c>
      <c r="AA23" s="144">
        <f>IF(SUM(V23:Z23)=0,0,Setup!F$44/SUM(V23:Z23))</f>
        <v>0</v>
      </c>
    </row>
    <row r="24" spans="1:27" x14ac:dyDescent="0.2">
      <c r="A24" s="22" t="str">
        <f>Matchups!F21</f>
        <v>Chris</v>
      </c>
      <c r="B24" s="240">
        <f>'Day 3 - Match 11'!B24</f>
        <v>8</v>
      </c>
      <c r="C24" s="241">
        <f>'Day 3 - Match 11'!C24</f>
        <v>4</v>
      </c>
      <c r="D24" s="241">
        <f>'Day 3 - Match 11'!D24</f>
        <v>7</v>
      </c>
      <c r="E24" s="241">
        <f>'Day 3 - Match 11'!E24</f>
        <v>5</v>
      </c>
      <c r="F24" s="241">
        <f>'Day 3 - Match 11'!F24</f>
        <v>6</v>
      </c>
      <c r="G24" s="241">
        <f>'Day 3 - Match 11'!G24</f>
        <v>7</v>
      </c>
      <c r="H24" s="241">
        <f>'Day 3 - Match 11'!H24</f>
        <v>6</v>
      </c>
      <c r="I24" s="241">
        <f>'Day 3 - Match 11'!I24</f>
        <v>4</v>
      </c>
      <c r="J24" s="242">
        <f>'Day 3 - Match 11'!J24</f>
        <v>6</v>
      </c>
      <c r="K24" s="13">
        <f t="shared" si="5"/>
        <v>53</v>
      </c>
      <c r="M24" s="227" t="str">
        <f>A6</f>
        <v>Dave</v>
      </c>
      <c r="N24" s="8">
        <f>K6</f>
        <v>44</v>
      </c>
      <c r="O24" s="13">
        <f>K44</f>
        <v>1</v>
      </c>
      <c r="P24" s="607"/>
      <c r="Q24" s="599"/>
      <c r="R24" s="599"/>
      <c r="S24" s="599"/>
      <c r="T24" s="602"/>
      <c r="V24" s="2" t="str">
        <f t="shared" si="0"/>
        <v/>
      </c>
      <c r="W24" s="2" t="str">
        <f t="shared" si="1"/>
        <v/>
      </c>
      <c r="X24" s="2" t="str">
        <f t="shared" si="2"/>
        <v/>
      </c>
      <c r="Y24" s="2" t="str">
        <f t="shared" si="3"/>
        <v/>
      </c>
      <c r="Z24" s="2" t="str">
        <f t="shared" si="4"/>
        <v/>
      </c>
      <c r="AA24" s="144">
        <f>IF(SUM(V24:Z24)=0,0,Setup!F$44/SUM(V24:Z24))</f>
        <v>0</v>
      </c>
    </row>
    <row r="25" spans="1:27" hidden="1" x14ac:dyDescent="0.2">
      <c r="A25" s="22">
        <f>Matchups!F22</f>
        <v>15</v>
      </c>
      <c r="B25" s="240"/>
      <c r="C25" s="241"/>
      <c r="D25" s="241"/>
      <c r="E25" s="241"/>
      <c r="F25" s="241"/>
      <c r="G25" s="241"/>
      <c r="H25" s="241"/>
      <c r="I25" s="241"/>
      <c r="J25" s="242"/>
      <c r="K25" s="13"/>
      <c r="M25" s="227"/>
      <c r="N25" s="8"/>
      <c r="O25" s="13"/>
      <c r="P25" s="607"/>
      <c r="Q25" s="599"/>
      <c r="R25" s="599"/>
      <c r="S25" s="599"/>
      <c r="T25" s="602"/>
      <c r="V25" s="2" t="str">
        <f t="shared" si="0"/>
        <v/>
      </c>
      <c r="W25" s="2" t="str">
        <f t="shared" si="1"/>
        <v/>
      </c>
      <c r="X25" s="2" t="str">
        <f t="shared" si="2"/>
        <v/>
      </c>
      <c r="Y25" s="2" t="str">
        <f t="shared" si="3"/>
        <v/>
      </c>
      <c r="Z25" s="2" t="str">
        <f t="shared" si="4"/>
        <v/>
      </c>
      <c r="AA25" s="144">
        <f>IF(SUM(V25:Z25)=0,0,Setup!F$44/SUM(V25:Z25))</f>
        <v>0</v>
      </c>
    </row>
    <row r="26" spans="1:27" x14ac:dyDescent="0.2">
      <c r="A26" s="22" t="str">
        <f>Matchups!F23</f>
        <v>Brian P</v>
      </c>
      <c r="B26" s="240">
        <f>'Day 3 - Match 11'!B26</f>
        <v>8</v>
      </c>
      <c r="C26" s="241">
        <f>'Day 3 - Match 11'!C26</f>
        <v>5</v>
      </c>
      <c r="D26" s="241">
        <f>'Day 3 - Match 11'!D26</f>
        <v>4</v>
      </c>
      <c r="E26" s="241">
        <f>'Day 3 - Match 11'!E26</f>
        <v>3</v>
      </c>
      <c r="F26" s="241">
        <f>'Day 3 - Match 11'!F26</f>
        <v>5</v>
      </c>
      <c r="G26" s="241">
        <f>'Day 3 - Match 11'!G26</f>
        <v>5</v>
      </c>
      <c r="H26" s="241">
        <f>'Day 3 - Match 11'!H26</f>
        <v>4</v>
      </c>
      <c r="I26" s="241">
        <f>'Day 3 - Match 11'!I26</f>
        <v>3</v>
      </c>
      <c r="J26" s="242">
        <f>'Day 3 - Match 11'!J26</f>
        <v>5</v>
      </c>
      <c r="K26" s="13">
        <f t="shared" si="5"/>
        <v>42</v>
      </c>
      <c r="M26" s="227" t="str">
        <f>A16</f>
        <v>Hunter</v>
      </c>
      <c r="N26" s="8">
        <f>K16</f>
        <v>44</v>
      </c>
      <c r="O26" s="13">
        <f>K89</f>
        <v>2</v>
      </c>
      <c r="P26" s="607"/>
      <c r="Q26" s="599"/>
      <c r="R26" s="599"/>
      <c r="S26" s="599"/>
      <c r="T26" s="602"/>
      <c r="V26" s="2" t="str">
        <f t="shared" si="0"/>
        <v/>
      </c>
      <c r="W26" s="2" t="str">
        <f t="shared" si="1"/>
        <v/>
      </c>
      <c r="X26" s="2" t="str">
        <f t="shared" si="2"/>
        <v/>
      </c>
      <c r="Y26" s="2" t="str">
        <f t="shared" si="3"/>
        <v/>
      </c>
      <c r="Z26" s="2" t="str">
        <f t="shared" si="4"/>
        <v/>
      </c>
      <c r="AA26" s="144">
        <f>IF(SUM(V26:Z26)=0,0,Setup!F$44/SUM(V26:Z26))</f>
        <v>0</v>
      </c>
    </row>
    <row r="27" spans="1:27" hidden="1" x14ac:dyDescent="0.2">
      <c r="A27" s="22">
        <f>Matchups!F24</f>
        <v>6</v>
      </c>
      <c r="B27" s="240"/>
      <c r="C27" s="241"/>
      <c r="D27" s="241"/>
      <c r="E27" s="241"/>
      <c r="F27" s="241"/>
      <c r="G27" s="241"/>
      <c r="H27" s="241"/>
      <c r="I27" s="241"/>
      <c r="J27" s="242"/>
      <c r="K27" s="13"/>
      <c r="M27" s="227"/>
      <c r="N27" s="8"/>
      <c r="O27" s="13"/>
      <c r="P27" s="607"/>
      <c r="Q27" s="599"/>
      <c r="R27" s="599"/>
      <c r="S27" s="599"/>
      <c r="T27" s="602"/>
      <c r="V27" s="2" t="str">
        <f t="shared" si="0"/>
        <v/>
      </c>
      <c r="W27" s="2" t="str">
        <f t="shared" si="1"/>
        <v/>
      </c>
      <c r="X27" s="2" t="str">
        <f t="shared" si="2"/>
        <v/>
      </c>
      <c r="Y27" s="2" t="str">
        <f t="shared" si="3"/>
        <v/>
      </c>
      <c r="Z27" s="2" t="str">
        <f t="shared" si="4"/>
        <v/>
      </c>
      <c r="AA27" s="144">
        <f>IF(SUM(V27:Z27)=0,0,Setup!F$44/SUM(V27:Z27))</f>
        <v>0</v>
      </c>
    </row>
    <row r="28" spans="1:27" ht="13.5" thickBot="1" x14ac:dyDescent="0.25">
      <c r="A28" s="23" t="str">
        <f>Matchups!F25</f>
        <v>Tommy</v>
      </c>
      <c r="B28" s="246">
        <f>'Day 3 - Match 11'!B28</f>
        <v>3</v>
      </c>
      <c r="C28" s="247">
        <f>'Day 3 - Match 11'!C28</f>
        <v>5</v>
      </c>
      <c r="D28" s="247">
        <f>'Day 3 - Match 11'!D28</f>
        <v>4</v>
      </c>
      <c r="E28" s="247">
        <f>'Day 3 - Match 11'!E28</f>
        <v>7</v>
      </c>
      <c r="F28" s="247">
        <f>'Day 3 - Match 11'!F28</f>
        <v>6</v>
      </c>
      <c r="G28" s="247">
        <f>'Day 3 - Match 11'!G28</f>
        <v>3</v>
      </c>
      <c r="H28" s="247">
        <f>'Day 3 - Match 11'!H28</f>
        <v>4</v>
      </c>
      <c r="I28" s="247">
        <f>'Day 3 - Match 11'!I28</f>
        <v>5</v>
      </c>
      <c r="J28" s="248">
        <f>'Day 3 - Match 11'!J28</f>
        <v>6</v>
      </c>
      <c r="K28" s="14">
        <f t="shared" si="5"/>
        <v>43</v>
      </c>
      <c r="M28" s="228" t="str">
        <f>A30</f>
        <v>Gerald C</v>
      </c>
      <c r="N28" s="11">
        <f>K30</f>
        <v>53</v>
      </c>
      <c r="O28" s="14">
        <f>K122</f>
        <v>2</v>
      </c>
      <c r="P28" s="609"/>
      <c r="Q28" s="600"/>
      <c r="R28" s="600"/>
      <c r="S28" s="600"/>
      <c r="T28" s="610"/>
      <c r="V28" s="2" t="str">
        <f t="shared" si="0"/>
        <v/>
      </c>
      <c r="W28" s="2" t="str">
        <f t="shared" si="1"/>
        <v/>
      </c>
      <c r="X28" s="2" t="str">
        <f t="shared" si="2"/>
        <v/>
      </c>
      <c r="Y28" s="2" t="str">
        <f t="shared" si="3"/>
        <v/>
      </c>
      <c r="Z28" s="2" t="str">
        <f t="shared" si="4"/>
        <v/>
      </c>
      <c r="AA28" s="144">
        <f>IF(SUM(V28:Z28)=0,0,Setup!F$44/SUM(V28:Z28))</f>
        <v>0</v>
      </c>
    </row>
    <row r="29" spans="1:27" ht="13.5" hidden="1" thickBot="1" x14ac:dyDescent="0.25">
      <c r="A29" s="400">
        <f>Matchups!F26</f>
        <v>5</v>
      </c>
      <c r="B29" s="541"/>
      <c r="C29" s="270"/>
      <c r="D29" s="270"/>
      <c r="E29" s="270"/>
      <c r="F29" s="270"/>
      <c r="G29" s="270"/>
      <c r="H29" s="270"/>
      <c r="I29" s="270"/>
      <c r="J29" s="272"/>
      <c r="K29" s="250"/>
      <c r="M29" s="333"/>
      <c r="N29" s="89"/>
      <c r="O29" s="250"/>
      <c r="P29" s="611"/>
      <c r="Q29" s="612"/>
      <c r="R29" s="612"/>
      <c r="S29" s="612"/>
      <c r="T29" s="613"/>
      <c r="V29" s="2" t="str">
        <f t="shared" si="0"/>
        <v/>
      </c>
      <c r="W29" s="2" t="str">
        <f t="shared" si="1"/>
        <v/>
      </c>
      <c r="X29" s="2" t="str">
        <f t="shared" si="2"/>
        <v/>
      </c>
      <c r="Y29" s="2" t="str">
        <f t="shared" si="3"/>
        <v/>
      </c>
      <c r="Z29" s="2" t="str">
        <f t="shared" si="4"/>
        <v/>
      </c>
      <c r="AA29" s="144">
        <f>IF(SUM(V29:Z29)=0,0,Setup!F$44/SUM(V29:Z29))</f>
        <v>0</v>
      </c>
    </row>
    <row r="30" spans="1:27" x14ac:dyDescent="0.2">
      <c r="A30" s="21" t="str">
        <f>Matchups!F27</f>
        <v>Gerald C</v>
      </c>
      <c r="B30" s="237">
        <f>'Day 3 - Match 11'!B30</f>
        <v>5</v>
      </c>
      <c r="C30" s="238">
        <f>'Day 3 - Match 11'!C30</f>
        <v>6</v>
      </c>
      <c r="D30" s="238">
        <f>'Day 3 - Match 11'!D30</f>
        <v>6</v>
      </c>
      <c r="E30" s="238">
        <f>'Day 3 - Match 11'!E30</f>
        <v>5</v>
      </c>
      <c r="F30" s="238">
        <f>'Day 3 - Match 11'!F30</f>
        <v>9</v>
      </c>
      <c r="G30" s="238">
        <f>'Day 3 - Match 11'!G30</f>
        <v>4</v>
      </c>
      <c r="H30" s="238">
        <f>'Day 3 - Match 11'!H30</f>
        <v>7</v>
      </c>
      <c r="I30" s="238">
        <f>'Day 3 - Match 11'!I30</f>
        <v>5</v>
      </c>
      <c r="J30" s="239">
        <f>'Day 3 - Match 11'!J30</f>
        <v>6</v>
      </c>
      <c r="K30" s="5">
        <f>SUM(B30:J30)</f>
        <v>53</v>
      </c>
      <c r="M30" s="226" t="str">
        <f>A36</f>
        <v>Bob</v>
      </c>
      <c r="N30" s="5">
        <f>K36</f>
        <v>57</v>
      </c>
      <c r="O30" s="12">
        <f>K128</f>
        <v>0</v>
      </c>
      <c r="P30" s="606"/>
      <c r="Q30" s="54"/>
      <c r="R30" s="54"/>
      <c r="S30" s="54"/>
      <c r="T30" s="601"/>
      <c r="V30" s="2" t="str">
        <f t="shared" si="0"/>
        <v/>
      </c>
      <c r="W30" s="2" t="str">
        <f t="shared" si="1"/>
        <v/>
      </c>
      <c r="X30" s="2" t="str">
        <f t="shared" si="2"/>
        <v/>
      </c>
      <c r="Y30" s="2" t="str">
        <f t="shared" si="3"/>
        <v/>
      </c>
      <c r="Z30" s="2" t="str">
        <f t="shared" si="4"/>
        <v/>
      </c>
      <c r="AA30" s="144">
        <f>IF(SUM(V30:Z30)=0,0,Setup!F$44/SUM(V30:Z30))</f>
        <v>0</v>
      </c>
    </row>
    <row r="31" spans="1:27" hidden="1" x14ac:dyDescent="0.2">
      <c r="A31" s="22">
        <f>Matchups!F28</f>
        <v>12</v>
      </c>
      <c r="B31" s="240"/>
      <c r="C31" s="241"/>
      <c r="D31" s="241"/>
      <c r="E31" s="241"/>
      <c r="F31" s="241"/>
      <c r="G31" s="241"/>
      <c r="H31" s="241"/>
      <c r="I31" s="241"/>
      <c r="J31" s="242"/>
      <c r="K31" s="8"/>
      <c r="M31" s="227"/>
      <c r="N31" s="8"/>
      <c r="O31" s="13"/>
      <c r="P31" s="607"/>
      <c r="Q31" s="599"/>
      <c r="R31" s="599"/>
      <c r="S31" s="599"/>
      <c r="T31" s="602"/>
      <c r="V31" s="2" t="str">
        <f t="shared" si="0"/>
        <v/>
      </c>
      <c r="W31" s="2" t="str">
        <f t="shared" si="1"/>
        <v/>
      </c>
      <c r="X31" s="2" t="str">
        <f t="shared" si="2"/>
        <v/>
      </c>
      <c r="Y31" s="2" t="str">
        <f t="shared" si="3"/>
        <v/>
      </c>
      <c r="Z31" s="2" t="str">
        <f t="shared" si="4"/>
        <v/>
      </c>
      <c r="AA31" s="144">
        <f>IF(SUM(V31:Z31)=0,0,Setup!F$44/SUM(V31:Z31))</f>
        <v>0</v>
      </c>
    </row>
    <row r="32" spans="1:27" x14ac:dyDescent="0.2">
      <c r="A32" s="22" t="str">
        <f>Matchups!F29</f>
        <v>John</v>
      </c>
      <c r="B32" s="240">
        <f>'Day 3 - Match 11'!B32</f>
        <v>5</v>
      </c>
      <c r="C32" s="241">
        <f>'Day 3 - Match 11'!C32</f>
        <v>6</v>
      </c>
      <c r="D32" s="241">
        <f>'Day 3 - Match 11'!D32</f>
        <v>5</v>
      </c>
      <c r="E32" s="241">
        <f>'Day 3 - Match 11'!E32</f>
        <v>3</v>
      </c>
      <c r="F32" s="241">
        <f>'Day 3 - Match 11'!F32</f>
        <v>5</v>
      </c>
      <c r="G32" s="241">
        <f>'Day 3 - Match 11'!G32</f>
        <v>3</v>
      </c>
      <c r="H32" s="241">
        <f>'Day 3 - Match 11'!H32</f>
        <v>5</v>
      </c>
      <c r="I32" s="241">
        <f>'Day 3 - Match 11'!I32</f>
        <v>5</v>
      </c>
      <c r="J32" s="242">
        <f>'Day 3 - Match 11'!J32</f>
        <v>5</v>
      </c>
      <c r="K32" s="8">
        <f>SUM(B32:J32)</f>
        <v>42</v>
      </c>
      <c r="M32" s="227" t="str">
        <f>A18</f>
        <v>Patrick</v>
      </c>
      <c r="N32" s="8">
        <f>K18</f>
        <v>52</v>
      </c>
      <c r="O32" s="13">
        <f>K83</f>
        <v>0</v>
      </c>
      <c r="P32" s="607"/>
      <c r="Q32" s="599"/>
      <c r="R32" s="599"/>
      <c r="S32" s="599"/>
      <c r="T32" s="602"/>
      <c r="V32" s="2" t="str">
        <f t="shared" si="0"/>
        <v/>
      </c>
      <c r="W32" s="2" t="str">
        <f t="shared" si="1"/>
        <v/>
      </c>
      <c r="X32" s="2" t="str">
        <f t="shared" si="2"/>
        <v/>
      </c>
      <c r="Y32" s="2" t="str">
        <f t="shared" si="3"/>
        <v/>
      </c>
      <c r="Z32" s="2" t="str">
        <f t="shared" si="4"/>
        <v/>
      </c>
      <c r="AA32" s="144">
        <f>IF(SUM(V32:Z32)=0,0,Setup!F$44/SUM(V32:Z32))</f>
        <v>0</v>
      </c>
    </row>
    <row r="33" spans="1:27" hidden="1" x14ac:dyDescent="0.2">
      <c r="A33" s="22">
        <f>Matchups!F30</f>
        <v>7</v>
      </c>
      <c r="B33" s="240"/>
      <c r="C33" s="241"/>
      <c r="D33" s="241"/>
      <c r="E33" s="241"/>
      <c r="F33" s="241"/>
      <c r="G33" s="241"/>
      <c r="H33" s="241"/>
      <c r="I33" s="241"/>
      <c r="J33" s="242"/>
      <c r="K33" s="8"/>
      <c r="M33" s="227"/>
      <c r="N33" s="8"/>
      <c r="O33" s="13"/>
      <c r="P33" s="607"/>
      <c r="Q33" s="599"/>
      <c r="R33" s="599"/>
      <c r="S33" s="599"/>
      <c r="T33" s="602"/>
      <c r="V33" s="2" t="str">
        <f t="shared" si="0"/>
        <v/>
      </c>
      <c r="W33" s="2" t="str">
        <f t="shared" si="1"/>
        <v/>
      </c>
      <c r="X33" s="2" t="str">
        <f t="shared" si="2"/>
        <v/>
      </c>
      <c r="Y33" s="2" t="str">
        <f t="shared" si="3"/>
        <v/>
      </c>
      <c r="Z33" s="2" t="str">
        <f t="shared" si="4"/>
        <v/>
      </c>
      <c r="AA33" s="144">
        <f>IF(SUM(V33:Z33)=0,0,Setup!F$44/SUM(V33:Z33))</f>
        <v>0</v>
      </c>
    </row>
    <row r="34" spans="1:27" x14ac:dyDescent="0.2">
      <c r="A34" s="22" t="str">
        <f>Matchups!F31</f>
        <v>Tony W</v>
      </c>
      <c r="B34" s="240">
        <f>'Day 3 - Match 11'!B34</f>
        <v>8</v>
      </c>
      <c r="C34" s="241">
        <f>'Day 3 - Match 11'!C34</f>
        <v>8</v>
      </c>
      <c r="D34" s="241">
        <f>'Day 3 - Match 11'!D34</f>
        <v>6</v>
      </c>
      <c r="E34" s="241">
        <f>'Day 3 - Match 11'!E34</f>
        <v>4</v>
      </c>
      <c r="F34" s="241">
        <f>'Day 3 - Match 11'!F34</f>
        <v>7</v>
      </c>
      <c r="G34" s="241">
        <f>'Day 3 - Match 11'!G34</f>
        <v>6</v>
      </c>
      <c r="H34" s="241">
        <f>'Day 3 - Match 11'!H34</f>
        <v>4</v>
      </c>
      <c r="I34" s="241">
        <f>'Day 3 - Match 11'!I34</f>
        <v>3</v>
      </c>
      <c r="J34" s="242">
        <f>'Day 3 - Match 11'!J34</f>
        <v>8</v>
      </c>
      <c r="K34" s="8">
        <f>SUM(B34:J34)</f>
        <v>54</v>
      </c>
      <c r="L34" s="425"/>
      <c r="M34" s="227" t="str">
        <f>A10</f>
        <v>Brian S</v>
      </c>
      <c r="N34" s="528">
        <f>K10</f>
        <v>50</v>
      </c>
      <c r="O34" s="535">
        <f>K57</f>
        <v>2</v>
      </c>
      <c r="P34" s="607"/>
      <c r="Q34" s="599"/>
      <c r="R34" s="599"/>
      <c r="S34" s="599"/>
      <c r="T34" s="602"/>
      <c r="V34" s="2" t="str">
        <f t="shared" si="0"/>
        <v/>
      </c>
      <c r="W34" s="2" t="str">
        <f t="shared" si="1"/>
        <v/>
      </c>
      <c r="X34" s="2" t="str">
        <f t="shared" si="2"/>
        <v/>
      </c>
      <c r="Y34" s="2" t="str">
        <f t="shared" si="3"/>
        <v/>
      </c>
      <c r="Z34" s="2" t="str">
        <f t="shared" si="4"/>
        <v/>
      </c>
      <c r="AA34" s="144">
        <f>IF(SUM(V34:Z34)=0,0,Setup!F$44/SUM(V34:Z34))</f>
        <v>0</v>
      </c>
    </row>
    <row r="35" spans="1:27" hidden="1" x14ac:dyDescent="0.2">
      <c r="A35" s="22">
        <f>Matchups!F32</f>
        <v>10</v>
      </c>
      <c r="B35" s="240"/>
      <c r="C35" s="241"/>
      <c r="D35" s="241"/>
      <c r="E35" s="241"/>
      <c r="F35" s="241"/>
      <c r="G35" s="241"/>
      <c r="H35" s="241"/>
      <c r="I35" s="241"/>
      <c r="J35" s="242"/>
      <c r="K35" s="545"/>
      <c r="L35" s="425"/>
      <c r="M35" s="227"/>
      <c r="N35" s="528"/>
      <c r="O35" s="535"/>
      <c r="P35" s="607"/>
      <c r="Q35" s="599"/>
      <c r="R35" s="599"/>
      <c r="S35" s="599"/>
      <c r="T35" s="602"/>
      <c r="V35" s="2" t="str">
        <f t="shared" si="0"/>
        <v/>
      </c>
      <c r="W35" s="2" t="str">
        <f t="shared" si="1"/>
        <v/>
      </c>
      <c r="X35" s="2" t="str">
        <f t="shared" si="2"/>
        <v/>
      </c>
      <c r="Y35" s="2" t="str">
        <f t="shared" si="3"/>
        <v/>
      </c>
      <c r="Z35" s="2" t="str">
        <f t="shared" si="4"/>
        <v/>
      </c>
      <c r="AA35" s="144">
        <f>IF(SUM(V35:Z35)=0,0,Setup!F$44/SUM(V35:Z35))</f>
        <v>0</v>
      </c>
    </row>
    <row r="36" spans="1:27" ht="13.5" thickBot="1" x14ac:dyDescent="0.25">
      <c r="A36" s="23" t="str">
        <f>Matchups!F33</f>
        <v>Bob</v>
      </c>
      <c r="B36" s="246">
        <f>'Day 3 - Match 11'!B36</f>
        <v>7</v>
      </c>
      <c r="C36" s="247">
        <f>'Day 3 - Match 11'!C36</f>
        <v>6</v>
      </c>
      <c r="D36" s="247">
        <f>'Day 3 - Match 11'!D36</f>
        <v>7</v>
      </c>
      <c r="E36" s="247">
        <f>'Day 3 - Match 11'!E36</f>
        <v>5</v>
      </c>
      <c r="F36" s="247">
        <f>'Day 3 - Match 11'!F36</f>
        <v>6</v>
      </c>
      <c r="G36" s="247">
        <f>'Day 3 - Match 11'!G36</f>
        <v>4</v>
      </c>
      <c r="H36" s="247">
        <f>'Day 3 - Match 11'!H36</f>
        <v>6</v>
      </c>
      <c r="I36" s="247">
        <f>'Day 3 - Match 11'!I36</f>
        <v>6</v>
      </c>
      <c r="J36" s="248">
        <f>'Day 3 - Match 11'!J36</f>
        <v>10</v>
      </c>
      <c r="K36" s="11">
        <f>SUM(B36:J36)</f>
        <v>57</v>
      </c>
      <c r="L36" s="425"/>
      <c r="M36" s="228" t="str">
        <f>A24</f>
        <v>Chris</v>
      </c>
      <c r="N36" s="529">
        <f>K24</f>
        <v>53</v>
      </c>
      <c r="O36" s="536">
        <f>K115</f>
        <v>0</v>
      </c>
      <c r="P36" s="609"/>
      <c r="Q36" s="600"/>
      <c r="R36" s="600"/>
      <c r="S36" s="600"/>
      <c r="T36" s="610"/>
      <c r="V36" s="2" t="str">
        <f t="shared" si="0"/>
        <v/>
      </c>
      <c r="W36" s="2" t="str">
        <f t="shared" si="1"/>
        <v/>
      </c>
      <c r="X36" s="2" t="str">
        <f t="shared" si="2"/>
        <v/>
      </c>
      <c r="Y36" s="2" t="str">
        <f t="shared" si="3"/>
        <v/>
      </c>
      <c r="Z36" s="2" t="str">
        <f t="shared" si="4"/>
        <v/>
      </c>
      <c r="AA36" s="144">
        <f>IF(SUM(V36:Z36)=0,0,Setup!F$44/SUM(V36:Z36))</f>
        <v>0</v>
      </c>
    </row>
    <row r="37" spans="1:27" ht="13.5" hidden="1" thickBot="1" x14ac:dyDescent="0.25">
      <c r="A37" s="679">
        <f>Matchups!F34</f>
        <v>10</v>
      </c>
      <c r="B37" s="680"/>
      <c r="C37" s="681"/>
      <c r="D37" s="681"/>
      <c r="E37" s="681"/>
      <c r="F37" s="681"/>
      <c r="G37" s="681"/>
      <c r="H37" s="681"/>
      <c r="I37" s="681"/>
      <c r="J37" s="682"/>
      <c r="K37" s="546"/>
      <c r="L37" s="425"/>
      <c r="M37" s="333"/>
      <c r="N37" s="545"/>
      <c r="O37" s="525"/>
      <c r="P37" s="611"/>
      <c r="Q37" s="612"/>
      <c r="R37" s="612"/>
      <c r="S37" s="612"/>
      <c r="T37" s="613"/>
      <c r="V37" s="2" t="str">
        <f t="shared" si="0"/>
        <v/>
      </c>
      <c r="W37" s="2" t="str">
        <f t="shared" si="1"/>
        <v/>
      </c>
      <c r="X37" s="2" t="str">
        <f t="shared" si="2"/>
        <v/>
      </c>
      <c r="Y37" s="2" t="str">
        <f t="shared" si="3"/>
        <v/>
      </c>
      <c r="Z37" s="2" t="str">
        <f t="shared" si="4"/>
        <v/>
      </c>
      <c r="AA37" s="144">
        <f>IF(SUM(V37:Z37)=0,0,Setup!F$44/SUM(V37:Z37))</f>
        <v>0</v>
      </c>
    </row>
    <row r="38" spans="1:27" x14ac:dyDescent="0.2">
      <c r="A38" s="26"/>
      <c r="B38" s="15"/>
      <c r="C38" s="15"/>
      <c r="D38" s="15"/>
      <c r="E38" s="15"/>
      <c r="F38" s="15"/>
      <c r="G38" s="15"/>
      <c r="H38" s="15"/>
      <c r="I38" s="15"/>
      <c r="J38" s="15"/>
      <c r="K38" s="15"/>
      <c r="AA38" s="139"/>
    </row>
    <row r="39" spans="1:27" x14ac:dyDescent="0.2">
      <c r="S39" s="52">
        <f>COUNTIF(S6:S37,1)</f>
        <v>0</v>
      </c>
    </row>
    <row r="40" spans="1:27" ht="13.5" thickBot="1" x14ac:dyDescent="0.25">
      <c r="A40" s="24" t="s">
        <v>8</v>
      </c>
    </row>
    <row r="41" spans="1:27" x14ac:dyDescent="0.2">
      <c r="A41" s="79" t="str">
        <f t="shared" ref="A41:J41" si="6">A6</f>
        <v>Dave</v>
      </c>
      <c r="B41" s="17">
        <f t="shared" si="6"/>
        <v>6</v>
      </c>
      <c r="C41" s="3">
        <f t="shared" si="6"/>
        <v>5</v>
      </c>
      <c r="D41" s="3">
        <f t="shared" si="6"/>
        <v>5</v>
      </c>
      <c r="E41" s="3">
        <f t="shared" si="6"/>
        <v>5</v>
      </c>
      <c r="F41" s="3">
        <f t="shared" si="6"/>
        <v>6</v>
      </c>
      <c r="G41" s="3">
        <f t="shared" si="6"/>
        <v>3</v>
      </c>
      <c r="H41" s="3">
        <f t="shared" si="6"/>
        <v>4</v>
      </c>
      <c r="I41" s="3">
        <f t="shared" si="6"/>
        <v>4</v>
      </c>
      <c r="J41" s="4">
        <f t="shared" si="6"/>
        <v>6</v>
      </c>
      <c r="K41" s="12">
        <f>SUM(B41:J41)</f>
        <v>44</v>
      </c>
    </row>
    <row r="42" spans="1:27" x14ac:dyDescent="0.2">
      <c r="A42" s="80">
        <f>A7</f>
        <v>5</v>
      </c>
      <c r="B42" s="18">
        <f>IF(AND(ISNUMBER($A42),ISNUMBER($A48)),IF((RANK(B$4,$B$4:$J$4,1))&lt;=($A42-$A48),1,0),"")</f>
        <v>0</v>
      </c>
      <c r="C42" s="6">
        <f t="shared" ref="C42:J43" si="7">IF(AND(ISNUMBER($A42),ISNUMBER($A48)),IF((RANK(C$4,$B$4:$J$4,1))&lt;=($A42-$A48),1,0),"")</f>
        <v>0</v>
      </c>
      <c r="D42" s="6">
        <f t="shared" si="7"/>
        <v>0</v>
      </c>
      <c r="E42" s="6">
        <f t="shared" si="7"/>
        <v>0</v>
      </c>
      <c r="F42" s="6">
        <f t="shared" si="7"/>
        <v>0</v>
      </c>
      <c r="G42" s="6">
        <f t="shared" si="7"/>
        <v>0</v>
      </c>
      <c r="H42" s="6">
        <f t="shared" si="7"/>
        <v>0</v>
      </c>
      <c r="I42" s="6">
        <f t="shared" si="7"/>
        <v>0</v>
      </c>
      <c r="J42" s="7">
        <f t="shared" si="7"/>
        <v>0</v>
      </c>
      <c r="K42" s="8">
        <f>SUM(B42:J42)</f>
        <v>0</v>
      </c>
    </row>
    <row r="43" spans="1:27" x14ac:dyDescent="0.2">
      <c r="A43" s="80">
        <f>IF((A42-A48)&gt;9,(A42-A48-9),0)</f>
        <v>0</v>
      </c>
      <c r="B43" s="18">
        <f>IF(AND(ISNUMBER($A43),ISNUMBER($A49)),IF((RANK(B$4,$B$4:$J$4,1))&lt;=($A43-$A49),1,0),"")</f>
        <v>0</v>
      </c>
      <c r="C43" s="6">
        <f t="shared" si="7"/>
        <v>0</v>
      </c>
      <c r="D43" s="6">
        <f t="shared" si="7"/>
        <v>0</v>
      </c>
      <c r="E43" s="6">
        <f t="shared" si="7"/>
        <v>0</v>
      </c>
      <c r="F43" s="6">
        <f t="shared" si="7"/>
        <v>0</v>
      </c>
      <c r="G43" s="6">
        <f t="shared" si="7"/>
        <v>0</v>
      </c>
      <c r="H43" s="6">
        <f t="shared" si="7"/>
        <v>0</v>
      </c>
      <c r="I43" s="6">
        <f t="shared" si="7"/>
        <v>0</v>
      </c>
      <c r="J43" s="7">
        <f t="shared" si="7"/>
        <v>0</v>
      </c>
      <c r="K43" s="8">
        <f>SUM(B43:J43)</f>
        <v>0</v>
      </c>
    </row>
    <row r="44" spans="1:27" x14ac:dyDescent="0.2">
      <c r="A44" s="80"/>
      <c r="B44" s="82">
        <f>IF(AND(ISNUMBER(B41),ISNUMBER(B42)),B41-B42-B43," ")</f>
        <v>6</v>
      </c>
      <c r="C44" s="86">
        <f t="shared" ref="C44:J44" si="8">IF(AND(ISNUMBER(C41),ISNUMBER(C42)),C41-C42-C43," ")</f>
        <v>5</v>
      </c>
      <c r="D44" s="86">
        <f t="shared" si="8"/>
        <v>5</v>
      </c>
      <c r="E44" s="86">
        <f t="shared" si="8"/>
        <v>5</v>
      </c>
      <c r="F44" s="86">
        <f t="shared" si="8"/>
        <v>6</v>
      </c>
      <c r="G44" s="86">
        <f t="shared" si="8"/>
        <v>3</v>
      </c>
      <c r="H44" s="86">
        <f t="shared" si="8"/>
        <v>4</v>
      </c>
      <c r="I44" s="86">
        <f t="shared" si="8"/>
        <v>4</v>
      </c>
      <c r="J44" s="87">
        <f t="shared" si="8"/>
        <v>6</v>
      </c>
      <c r="K44" s="8">
        <f>IF(ISNUMBER(FIND("Wins",K45)), 2, IF(ISNUMBER(FIND("Tie",K45)), 1, 0))</f>
        <v>1</v>
      </c>
    </row>
    <row r="45" spans="1:27" ht="13.5" thickBot="1" x14ac:dyDescent="0.25">
      <c r="A45" s="81"/>
      <c r="B45" s="19">
        <f>IF(AND(ISNUMBER(B44),ISNUMBER(B50)),IF(B44&lt;B50, 0+1, (IF(B44&gt;B50, 0-1, 0)))," ")</f>
        <v>-1</v>
      </c>
      <c r="C45" s="9">
        <f t="shared" ref="C45:J45" si="9">IF(AND(ISNUMBER(C44),ISNUMBER(C50)),IF(C44&lt;C50, +B45+1, (IF(C44&gt;C50, +B45-1, +B45)))," ")</f>
        <v>-1</v>
      </c>
      <c r="D45" s="9">
        <f t="shared" si="9"/>
        <v>-2</v>
      </c>
      <c r="E45" s="9">
        <f t="shared" si="9"/>
        <v>-3</v>
      </c>
      <c r="F45" s="9">
        <f t="shared" si="9"/>
        <v>-4</v>
      </c>
      <c r="G45" s="9">
        <f t="shared" si="9"/>
        <v>-3</v>
      </c>
      <c r="H45" s="9">
        <f t="shared" si="9"/>
        <v>-2</v>
      </c>
      <c r="I45" s="9">
        <f t="shared" si="9"/>
        <v>-1</v>
      </c>
      <c r="J45" s="10">
        <f t="shared" si="9"/>
        <v>0</v>
      </c>
      <c r="K45" s="11" t="str">
        <f>IF(ISNUMBER(J45),IF(F45&gt;4,"Wins " &amp; F45 &amp; " &amp; 4",IF(G45&gt;3,"Wins " &amp; G45 &amp; " &amp; 3",IF(H45&gt;2,"Wins " &amp; H45 &amp; " &amp; 2",IF(I45&gt;1,"Wins " &amp; I45 &amp; " &amp; 1",IF(J45&gt;J51,"Wins " &amp; J45 &amp; " Up",IF(J45&lt;J51,"Loss","Tie"))))))," ")</f>
        <v>Tie</v>
      </c>
    </row>
    <row r="46" spans="1:27" ht="13.5" thickBot="1" x14ac:dyDescent="0.25">
      <c r="A46" s="32"/>
    </row>
    <row r="47" spans="1:27" x14ac:dyDescent="0.2">
      <c r="A47" s="79" t="str">
        <f t="shared" ref="A47:J47" si="10">A12</f>
        <v xml:space="preserve">Pat </v>
      </c>
      <c r="B47" s="17">
        <f t="shared" si="10"/>
        <v>5</v>
      </c>
      <c r="C47" s="3">
        <f t="shared" si="10"/>
        <v>5</v>
      </c>
      <c r="D47" s="3">
        <f t="shared" si="10"/>
        <v>4</v>
      </c>
      <c r="E47" s="3">
        <f t="shared" si="10"/>
        <v>4</v>
      </c>
      <c r="F47" s="3">
        <f t="shared" si="10"/>
        <v>5</v>
      </c>
      <c r="G47" s="3">
        <f t="shared" si="10"/>
        <v>5</v>
      </c>
      <c r="H47" s="3">
        <f t="shared" si="10"/>
        <v>5</v>
      </c>
      <c r="I47" s="3">
        <f t="shared" si="10"/>
        <v>5</v>
      </c>
      <c r="J47" s="4">
        <f t="shared" si="10"/>
        <v>7</v>
      </c>
      <c r="K47" s="12">
        <f>SUM(B47:J47)</f>
        <v>45</v>
      </c>
    </row>
    <row r="48" spans="1:27" x14ac:dyDescent="0.2">
      <c r="A48" s="80">
        <f>A13</f>
        <v>6</v>
      </c>
      <c r="B48" s="18">
        <f>IF(AND(ISNUMBER($A42),ISNUMBER($A48)),IF((RANK(B$4,$B$4:$J$4,1))&lt;=($A48-$A42),1,0),"")</f>
        <v>0</v>
      </c>
      <c r="C48" s="6">
        <f t="shared" ref="C48:J49" si="11">IF(AND(ISNUMBER($A42),ISNUMBER($A48)),IF((RANK(C$4,$B$4:$J$4,1))&lt;=($A48-$A42),1,0),"")</f>
        <v>0</v>
      </c>
      <c r="D48" s="6">
        <f t="shared" si="11"/>
        <v>0</v>
      </c>
      <c r="E48" s="6">
        <f t="shared" si="11"/>
        <v>0</v>
      </c>
      <c r="F48" s="6">
        <f t="shared" si="11"/>
        <v>1</v>
      </c>
      <c r="G48" s="6">
        <f t="shared" si="11"/>
        <v>0</v>
      </c>
      <c r="H48" s="6">
        <f t="shared" si="11"/>
        <v>0</v>
      </c>
      <c r="I48" s="6">
        <f t="shared" si="11"/>
        <v>0</v>
      </c>
      <c r="J48" s="7">
        <f t="shared" si="11"/>
        <v>0</v>
      </c>
      <c r="K48" s="13">
        <f>SUM(B48:J48)</f>
        <v>1</v>
      </c>
    </row>
    <row r="49" spans="1:27" x14ac:dyDescent="0.2">
      <c r="A49" s="80">
        <f>IF((A48-A42)&gt;9,(A48-A42-9),0)</f>
        <v>0</v>
      </c>
      <c r="B49" s="18">
        <f>IF(AND(ISNUMBER($A43),ISNUMBER($A49)),IF((RANK(B$4,$B$4:$J$4,1))&lt;=($A49-$A43),1,0),"")</f>
        <v>0</v>
      </c>
      <c r="C49" s="6">
        <f t="shared" si="11"/>
        <v>0</v>
      </c>
      <c r="D49" s="6">
        <f t="shared" si="11"/>
        <v>0</v>
      </c>
      <c r="E49" s="6">
        <f t="shared" si="11"/>
        <v>0</v>
      </c>
      <c r="F49" s="6">
        <f t="shared" si="11"/>
        <v>0</v>
      </c>
      <c r="G49" s="6">
        <f t="shared" si="11"/>
        <v>0</v>
      </c>
      <c r="H49" s="6">
        <f t="shared" si="11"/>
        <v>0</v>
      </c>
      <c r="I49" s="6">
        <f t="shared" si="11"/>
        <v>0</v>
      </c>
      <c r="J49" s="7">
        <f t="shared" si="11"/>
        <v>0</v>
      </c>
      <c r="K49" s="13">
        <f>SUM(B49:J49)</f>
        <v>0</v>
      </c>
    </row>
    <row r="50" spans="1:27" x14ac:dyDescent="0.2">
      <c r="A50" s="80"/>
      <c r="B50" s="82">
        <f>IF(AND(ISNUMBER(B47),ISNUMBER(B48)),B47-B48-B49," ")</f>
        <v>5</v>
      </c>
      <c r="C50" s="83">
        <f t="shared" ref="C50:J50" si="12">IF(AND(ISNUMBER(C47),ISNUMBER(C48)),C47-C48-C49," ")</f>
        <v>5</v>
      </c>
      <c r="D50" s="83">
        <f t="shared" si="12"/>
        <v>4</v>
      </c>
      <c r="E50" s="83">
        <f t="shared" si="12"/>
        <v>4</v>
      </c>
      <c r="F50" s="83">
        <f t="shared" si="12"/>
        <v>4</v>
      </c>
      <c r="G50" s="83">
        <f t="shared" si="12"/>
        <v>5</v>
      </c>
      <c r="H50" s="83">
        <f t="shared" si="12"/>
        <v>5</v>
      </c>
      <c r="I50" s="83">
        <f t="shared" si="12"/>
        <v>5</v>
      </c>
      <c r="J50" s="84">
        <f t="shared" si="12"/>
        <v>7</v>
      </c>
      <c r="K50" s="13">
        <f>IF(ISNUMBER(FIND("Wins",K51)), 2, IF(ISNUMBER(FIND("Tie",K51)), 1, 0))</f>
        <v>1</v>
      </c>
    </row>
    <row r="51" spans="1:27" ht="13.5" thickBot="1" x14ac:dyDescent="0.25">
      <c r="A51" s="81"/>
      <c r="B51" s="19">
        <f>IF(AND(ISNUMBER(B44),ISNUMBER(B50)),IF(B50&lt;B44, 0+1, (IF(B50&gt;B44, 0-1, 0)))," ")</f>
        <v>1</v>
      </c>
      <c r="C51" s="9">
        <f t="shared" ref="C51:J51" si="13">IF(AND(ISNUMBER(C44),ISNUMBER(C50)),IF(C50&lt;C44, +B51+1, (IF(C50&gt;C44, +B51-1, +B51)))," ")</f>
        <v>1</v>
      </c>
      <c r="D51" s="9">
        <f t="shared" si="13"/>
        <v>2</v>
      </c>
      <c r="E51" s="9">
        <f t="shared" si="13"/>
        <v>3</v>
      </c>
      <c r="F51" s="9">
        <f t="shared" si="13"/>
        <v>4</v>
      </c>
      <c r="G51" s="9">
        <f t="shared" si="13"/>
        <v>3</v>
      </c>
      <c r="H51" s="9">
        <f t="shared" si="13"/>
        <v>2</v>
      </c>
      <c r="I51" s="9">
        <f t="shared" si="13"/>
        <v>1</v>
      </c>
      <c r="J51" s="10">
        <f t="shared" si="13"/>
        <v>0</v>
      </c>
      <c r="K51" s="14" t="str">
        <f>IF(ISNUMBER(J51),IF(F51&gt;4,"Wins " &amp; F51 &amp; " &amp; 4",IF(G51&gt;3,"Wins " &amp; G51 &amp; " &amp; 3",IF(H51&gt;2,"Wins " &amp; H51 &amp; " &amp; 2",IF(I51&gt;1,"Wins " &amp; I51 &amp; " &amp; 1",IF(J51&gt;J45,"Wins " &amp; J51 &amp; " Up",IF(J51&lt;J45,"Loss","Tie"))))))," ")</f>
        <v>Tie</v>
      </c>
    </row>
    <row r="53" spans="1:27" s="16" customFormat="1" ht="13.5" thickBot="1" x14ac:dyDescent="0.25">
      <c r="A53" s="24" t="s">
        <v>9</v>
      </c>
      <c r="B53" s="2"/>
      <c r="C53" s="2"/>
      <c r="D53" s="2"/>
      <c r="E53" s="2"/>
      <c r="F53" s="2"/>
      <c r="G53" s="2"/>
      <c r="H53" s="2"/>
      <c r="I53" s="2"/>
      <c r="J53" s="2"/>
      <c r="K53" s="2"/>
      <c r="N53" s="15"/>
      <c r="O53" s="15"/>
      <c r="P53" s="59"/>
      <c r="Q53" s="59"/>
      <c r="R53" s="59"/>
      <c r="S53" s="59"/>
      <c r="T53" s="59"/>
      <c r="W53" s="15"/>
      <c r="X53" s="15"/>
      <c r="Y53" s="15"/>
      <c r="Z53" s="15"/>
      <c r="AA53" s="15"/>
    </row>
    <row r="54" spans="1:27" s="16" customFormat="1" x14ac:dyDescent="0.2">
      <c r="A54" s="29" t="str">
        <f t="shared" ref="A54:J54" si="14">A10</f>
        <v>Brian S</v>
      </c>
      <c r="B54" s="17">
        <f t="shared" si="14"/>
        <v>6</v>
      </c>
      <c r="C54" s="3">
        <f t="shared" si="14"/>
        <v>7</v>
      </c>
      <c r="D54" s="3">
        <f t="shared" si="14"/>
        <v>7</v>
      </c>
      <c r="E54" s="3">
        <f t="shared" si="14"/>
        <v>5</v>
      </c>
      <c r="F54" s="3">
        <f t="shared" si="14"/>
        <v>7</v>
      </c>
      <c r="G54" s="3">
        <f t="shared" si="14"/>
        <v>4</v>
      </c>
      <c r="H54" s="3">
        <f t="shared" si="14"/>
        <v>5</v>
      </c>
      <c r="I54" s="3">
        <f t="shared" si="14"/>
        <v>4</v>
      </c>
      <c r="J54" s="4">
        <f t="shared" si="14"/>
        <v>5</v>
      </c>
      <c r="K54" s="12">
        <f>SUM(B54:J54)</f>
        <v>50</v>
      </c>
      <c r="N54" s="15"/>
      <c r="O54" s="15"/>
      <c r="P54" s="59"/>
      <c r="Q54" s="59"/>
      <c r="R54" s="59"/>
      <c r="S54" s="59"/>
      <c r="T54" s="59"/>
      <c r="W54" s="15"/>
      <c r="X54" s="15"/>
      <c r="Y54" s="15"/>
      <c r="Z54" s="15"/>
      <c r="AA54" s="15"/>
    </row>
    <row r="55" spans="1:27" s="16" customFormat="1" x14ac:dyDescent="0.2">
      <c r="A55" s="30">
        <f>A11</f>
        <v>13</v>
      </c>
      <c r="B55" s="18">
        <f>IF(AND(ISNUMBER($A55),ISNUMBER($A61)),IF((RANK(B$4,$B$4:$J$4,1))&lt;=($A55-$A61),1,0),"")</f>
        <v>0</v>
      </c>
      <c r="C55" s="6">
        <f t="shared" ref="C55:J56" si="15">IF(AND(ISNUMBER($A55),ISNUMBER($A61)),IF((RANK(C$4,$B$4:$J$4,1))&lt;=($A55-$A61),1,0),"")</f>
        <v>1</v>
      </c>
      <c r="D55" s="6">
        <f t="shared" si="15"/>
        <v>1</v>
      </c>
      <c r="E55" s="6">
        <f t="shared" si="15"/>
        <v>0</v>
      </c>
      <c r="F55" s="6">
        <f t="shared" si="15"/>
        <v>1</v>
      </c>
      <c r="G55" s="6">
        <f t="shared" si="15"/>
        <v>1</v>
      </c>
      <c r="H55" s="6">
        <f t="shared" si="15"/>
        <v>1</v>
      </c>
      <c r="I55" s="6">
        <f t="shared" si="15"/>
        <v>0</v>
      </c>
      <c r="J55" s="7">
        <f t="shared" si="15"/>
        <v>1</v>
      </c>
      <c r="K55" s="13">
        <f>SUM(B55:J55)</f>
        <v>6</v>
      </c>
      <c r="N55" s="15"/>
      <c r="O55" s="15"/>
      <c r="P55" s="59"/>
      <c r="Q55" s="59"/>
      <c r="R55" s="59"/>
      <c r="S55" s="59"/>
      <c r="T55" s="59"/>
      <c r="W55" s="15"/>
      <c r="X55" s="15"/>
      <c r="Y55" s="15"/>
      <c r="Z55" s="15"/>
      <c r="AA55" s="15"/>
    </row>
    <row r="56" spans="1:27" s="16" customFormat="1" x14ac:dyDescent="0.2">
      <c r="A56" s="30">
        <f>IF((A55-A61)&gt;9,(A55-A61-9),0)</f>
        <v>0</v>
      </c>
      <c r="B56" s="18">
        <f>IF(AND(ISNUMBER($A56),ISNUMBER($A62)),IF((RANK(B$4,$B$4:$J$4,1))&lt;=($A56-$A62),1,0),"")</f>
        <v>0</v>
      </c>
      <c r="C56" s="6">
        <f t="shared" si="15"/>
        <v>0</v>
      </c>
      <c r="D56" s="6">
        <f t="shared" si="15"/>
        <v>0</v>
      </c>
      <c r="E56" s="6">
        <f t="shared" si="15"/>
        <v>0</v>
      </c>
      <c r="F56" s="6">
        <f t="shared" si="15"/>
        <v>0</v>
      </c>
      <c r="G56" s="6">
        <f t="shared" si="15"/>
        <v>0</v>
      </c>
      <c r="H56" s="6">
        <f t="shared" si="15"/>
        <v>0</v>
      </c>
      <c r="I56" s="6">
        <f t="shared" si="15"/>
        <v>0</v>
      </c>
      <c r="J56" s="7">
        <f t="shared" si="15"/>
        <v>0</v>
      </c>
      <c r="K56" s="13">
        <f>SUM(B56:J56)</f>
        <v>0</v>
      </c>
      <c r="N56" s="15"/>
      <c r="O56" s="15"/>
      <c r="P56" s="59"/>
      <c r="Q56" s="59"/>
      <c r="R56" s="59"/>
      <c r="S56" s="59"/>
      <c r="T56" s="59"/>
      <c r="W56" s="15"/>
      <c r="X56" s="15"/>
      <c r="Y56" s="15"/>
      <c r="Z56" s="15"/>
      <c r="AA56" s="15"/>
    </row>
    <row r="57" spans="1:27" s="16" customFormat="1" x14ac:dyDescent="0.2">
      <c r="A57" s="30"/>
      <c r="B57" s="82">
        <f>IF(AND(ISNUMBER(B54),ISNUMBER(B55)),B54-B55-B56," ")</f>
        <v>6</v>
      </c>
      <c r="C57" s="83">
        <f t="shared" ref="C57:J57" si="16">IF(AND(ISNUMBER(C54),ISNUMBER(C55)),C54-C55-C56," ")</f>
        <v>6</v>
      </c>
      <c r="D57" s="83">
        <f t="shared" si="16"/>
        <v>6</v>
      </c>
      <c r="E57" s="83">
        <f t="shared" si="16"/>
        <v>5</v>
      </c>
      <c r="F57" s="83">
        <f t="shared" si="16"/>
        <v>6</v>
      </c>
      <c r="G57" s="83">
        <f t="shared" si="16"/>
        <v>3</v>
      </c>
      <c r="H57" s="83">
        <f t="shared" si="16"/>
        <v>4</v>
      </c>
      <c r="I57" s="83">
        <f t="shared" si="16"/>
        <v>4</v>
      </c>
      <c r="J57" s="84">
        <f t="shared" si="16"/>
        <v>4</v>
      </c>
      <c r="K57" s="13">
        <f>IF(ISNUMBER(FIND("Wins",K58)), 2, IF(ISNUMBER(FIND("Tie",K58)), 1, 0))</f>
        <v>2</v>
      </c>
      <c r="N57" s="15"/>
      <c r="O57" s="15"/>
      <c r="P57" s="59"/>
      <c r="Q57" s="59"/>
      <c r="R57" s="59"/>
      <c r="S57" s="59"/>
      <c r="T57" s="59"/>
      <c r="W57" s="15"/>
      <c r="X57" s="15"/>
      <c r="Y57" s="15"/>
      <c r="Z57" s="15"/>
      <c r="AA57" s="15"/>
    </row>
    <row r="58" spans="1:27" s="16" customFormat="1" ht="13.5" thickBot="1" x14ac:dyDescent="0.25">
      <c r="A58" s="31"/>
      <c r="B58" s="19">
        <f>IF(AND(ISNUMBER(B57),ISNUMBER(B63)),IF(B57&lt;B63, 0+1, (IF(B57&gt;B63, 0-1, 0)))," ")</f>
        <v>-1</v>
      </c>
      <c r="C58" s="9">
        <f t="shared" ref="C58:J58" si="17">IF(AND(ISNUMBER(C57),ISNUMBER(C63)),IF(C57&lt;C63, +B58+1, (IF(C57&gt;C63, +B58-1, +B58)))," ")</f>
        <v>-2</v>
      </c>
      <c r="D58" s="9">
        <f t="shared" si="17"/>
        <v>-2</v>
      </c>
      <c r="E58" s="9">
        <f t="shared" si="17"/>
        <v>-2</v>
      </c>
      <c r="F58" s="9">
        <f t="shared" si="17"/>
        <v>-2</v>
      </c>
      <c r="G58" s="9">
        <f t="shared" si="17"/>
        <v>-2</v>
      </c>
      <c r="H58" s="9">
        <f t="shared" si="17"/>
        <v>-1</v>
      </c>
      <c r="I58" s="9">
        <f t="shared" si="17"/>
        <v>0</v>
      </c>
      <c r="J58" s="10">
        <f t="shared" si="17"/>
        <v>1</v>
      </c>
      <c r="K58" s="14" t="str">
        <f>IF(ISNUMBER(J58),IF(F58&gt;4,"Wins " &amp; F58 &amp; " &amp; 4",IF(G58&gt;3,"Wins " &amp; G58 &amp; " &amp; 3",IF(H58&gt;2,"Wins " &amp; H58 &amp; " &amp; 2",IF(I58&gt;1,"Wins " &amp; I58 &amp; " &amp; 1",IF(J58&gt;J64,"Wins " &amp; J58 &amp; " Up",IF(J58&lt;J64,"Loss","Tie"))))))," ")</f>
        <v>Wins 1 Up</v>
      </c>
      <c r="N58" s="15"/>
      <c r="O58" s="15"/>
      <c r="P58" s="59"/>
      <c r="Q58" s="59"/>
      <c r="R58" s="59"/>
      <c r="S58" s="59"/>
      <c r="T58" s="59"/>
      <c r="W58" s="15"/>
      <c r="X58" s="15"/>
      <c r="Y58" s="15"/>
      <c r="Z58" s="15"/>
      <c r="AA58" s="15"/>
    </row>
    <row r="59" spans="1:27" s="16" customFormat="1" ht="13.5" thickBot="1" x14ac:dyDescent="0.25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N59" s="15"/>
      <c r="O59" s="15"/>
      <c r="P59" s="59"/>
      <c r="Q59" s="59"/>
      <c r="R59" s="59"/>
      <c r="S59" s="59"/>
      <c r="T59" s="59"/>
      <c r="W59" s="15"/>
      <c r="X59" s="15"/>
      <c r="Y59" s="15"/>
      <c r="Z59" s="15"/>
      <c r="AA59" s="15"/>
    </row>
    <row r="60" spans="1:27" s="16" customFormat="1" x14ac:dyDescent="0.2">
      <c r="A60" s="79" t="str">
        <f t="shared" ref="A60:J60" si="18">A8</f>
        <v>Rick</v>
      </c>
      <c r="B60" s="17">
        <f t="shared" si="18"/>
        <v>4</v>
      </c>
      <c r="C60" s="3">
        <f t="shared" si="18"/>
        <v>4</v>
      </c>
      <c r="D60" s="3">
        <f t="shared" si="18"/>
        <v>6</v>
      </c>
      <c r="E60" s="3">
        <f t="shared" si="18"/>
        <v>5</v>
      </c>
      <c r="F60" s="3">
        <f t="shared" si="18"/>
        <v>6</v>
      </c>
      <c r="G60" s="3">
        <f t="shared" si="18"/>
        <v>3</v>
      </c>
      <c r="H60" s="3">
        <f t="shared" si="18"/>
        <v>5</v>
      </c>
      <c r="I60" s="3">
        <f t="shared" si="18"/>
        <v>5</v>
      </c>
      <c r="J60" s="4">
        <f t="shared" si="18"/>
        <v>6</v>
      </c>
      <c r="K60" s="12">
        <f>SUM(B60:J60)</f>
        <v>44</v>
      </c>
      <c r="N60" s="15"/>
      <c r="O60" s="15"/>
      <c r="P60" s="59"/>
      <c r="Q60" s="59"/>
      <c r="R60" s="59"/>
      <c r="S60" s="59"/>
      <c r="T60" s="59"/>
      <c r="W60" s="15"/>
      <c r="X60" s="15"/>
      <c r="Y60" s="15"/>
      <c r="Z60" s="15"/>
      <c r="AA60" s="15"/>
    </row>
    <row r="61" spans="1:27" s="16" customFormat="1" x14ac:dyDescent="0.2">
      <c r="A61" s="80">
        <f>A9</f>
        <v>7</v>
      </c>
      <c r="B61" s="18">
        <f>IF(AND(ISNUMBER($A55),ISNUMBER($A61)),IF((RANK(B$4,$B$4:$J$4,1))&lt;=($A61-$A55),1,0),"")</f>
        <v>0</v>
      </c>
      <c r="C61" s="6">
        <f t="shared" ref="C61:J62" si="19">IF(AND(ISNUMBER($A55),ISNUMBER($A61)),IF((RANK(C$4,$B$4:$J$4,1))&lt;=($A61-$A55),1,0),"")</f>
        <v>0</v>
      </c>
      <c r="D61" s="6">
        <f t="shared" si="19"/>
        <v>0</v>
      </c>
      <c r="E61" s="6">
        <f t="shared" si="19"/>
        <v>0</v>
      </c>
      <c r="F61" s="6">
        <f t="shared" si="19"/>
        <v>0</v>
      </c>
      <c r="G61" s="6">
        <f t="shared" si="19"/>
        <v>0</v>
      </c>
      <c r="H61" s="6">
        <f t="shared" si="19"/>
        <v>0</v>
      </c>
      <c r="I61" s="6">
        <f t="shared" si="19"/>
        <v>0</v>
      </c>
      <c r="J61" s="7">
        <f t="shared" si="19"/>
        <v>0</v>
      </c>
      <c r="K61" s="13">
        <f>SUM(B61:J61)</f>
        <v>0</v>
      </c>
      <c r="N61" s="15"/>
      <c r="O61" s="15"/>
      <c r="P61" s="59"/>
      <c r="Q61" s="59"/>
      <c r="R61" s="59"/>
      <c r="S61" s="59"/>
      <c r="T61" s="59"/>
      <c r="W61" s="15"/>
      <c r="X61" s="15"/>
      <c r="Y61" s="15"/>
      <c r="Z61" s="15"/>
      <c r="AA61" s="15"/>
    </row>
    <row r="62" spans="1:27" s="16" customFormat="1" x14ac:dyDescent="0.2">
      <c r="A62" s="80">
        <f>IF((A61-A55)&gt;9,(A61-A55-9),0)</f>
        <v>0</v>
      </c>
      <c r="B62" s="18">
        <f>IF(AND(ISNUMBER($A56),ISNUMBER($A62)),IF((RANK(B$4,$B$4:$J$4,1))&lt;=($A62-$A56),1,0),"")</f>
        <v>0</v>
      </c>
      <c r="C62" s="6">
        <f t="shared" si="19"/>
        <v>0</v>
      </c>
      <c r="D62" s="6">
        <f t="shared" si="19"/>
        <v>0</v>
      </c>
      <c r="E62" s="6">
        <f t="shared" si="19"/>
        <v>0</v>
      </c>
      <c r="F62" s="6">
        <f t="shared" si="19"/>
        <v>0</v>
      </c>
      <c r="G62" s="6">
        <f t="shared" si="19"/>
        <v>0</v>
      </c>
      <c r="H62" s="6">
        <f t="shared" si="19"/>
        <v>0</v>
      </c>
      <c r="I62" s="6">
        <f t="shared" si="19"/>
        <v>0</v>
      </c>
      <c r="J62" s="7">
        <f t="shared" si="19"/>
        <v>0</v>
      </c>
      <c r="K62" s="13">
        <f>SUM(B62:J62)</f>
        <v>0</v>
      </c>
      <c r="N62" s="15"/>
      <c r="O62" s="15"/>
      <c r="P62" s="59"/>
      <c r="Q62" s="59"/>
      <c r="R62" s="59"/>
      <c r="S62" s="59"/>
      <c r="T62" s="59"/>
      <c r="W62" s="15"/>
      <c r="X62" s="15"/>
      <c r="Y62" s="15"/>
      <c r="Z62" s="15"/>
      <c r="AA62" s="15"/>
    </row>
    <row r="63" spans="1:27" s="16" customFormat="1" x14ac:dyDescent="0.2">
      <c r="A63" s="80"/>
      <c r="B63" s="82">
        <f>IF(AND(ISNUMBER(B60),ISNUMBER(B61)),B60-B61-B62," ")</f>
        <v>4</v>
      </c>
      <c r="C63" s="83">
        <f t="shared" ref="C63:J63" si="20">IF(AND(ISNUMBER(C60),ISNUMBER(C61)),C60-C61-C62," ")</f>
        <v>4</v>
      </c>
      <c r="D63" s="83">
        <f t="shared" si="20"/>
        <v>6</v>
      </c>
      <c r="E63" s="83">
        <f t="shared" si="20"/>
        <v>5</v>
      </c>
      <c r="F63" s="83">
        <f t="shared" si="20"/>
        <v>6</v>
      </c>
      <c r="G63" s="83">
        <f t="shared" si="20"/>
        <v>3</v>
      </c>
      <c r="H63" s="83">
        <f t="shared" si="20"/>
        <v>5</v>
      </c>
      <c r="I63" s="83">
        <f t="shared" si="20"/>
        <v>5</v>
      </c>
      <c r="J63" s="84">
        <f t="shared" si="20"/>
        <v>6</v>
      </c>
      <c r="K63" s="13">
        <f>IF(ISNUMBER(FIND("Wins",K64)), 2, IF(ISNUMBER(FIND("Tie",K64)), 1, 0))</f>
        <v>0</v>
      </c>
      <c r="N63" s="15"/>
      <c r="O63" s="15"/>
      <c r="P63" s="59"/>
      <c r="Q63" s="59"/>
      <c r="R63" s="59"/>
      <c r="S63" s="59"/>
      <c r="T63" s="59"/>
      <c r="W63" s="15"/>
      <c r="X63" s="15"/>
      <c r="Y63" s="15"/>
      <c r="Z63" s="15"/>
      <c r="AA63" s="15"/>
    </row>
    <row r="64" spans="1:27" s="16" customFormat="1" ht="13.5" thickBot="1" x14ac:dyDescent="0.25">
      <c r="A64" s="81"/>
      <c r="B64" s="19">
        <f>IF(AND(ISNUMBER(B57),ISNUMBER(B63)),IF(B63&lt;B57, 0+1, (IF(B63&gt;B57, 0-1, 0)))," ")</f>
        <v>1</v>
      </c>
      <c r="C64" s="9">
        <f t="shared" ref="C64:J64" si="21">IF(AND(ISNUMBER(C57),ISNUMBER(C63)),IF(C63&lt;C57, +B64+1, (IF(C63&gt;C57, +B64-1, +B64)))," ")</f>
        <v>2</v>
      </c>
      <c r="D64" s="9">
        <f t="shared" si="21"/>
        <v>2</v>
      </c>
      <c r="E64" s="9">
        <f t="shared" si="21"/>
        <v>2</v>
      </c>
      <c r="F64" s="9">
        <f t="shared" si="21"/>
        <v>2</v>
      </c>
      <c r="G64" s="9">
        <f t="shared" si="21"/>
        <v>2</v>
      </c>
      <c r="H64" s="9">
        <f t="shared" si="21"/>
        <v>1</v>
      </c>
      <c r="I64" s="9">
        <f t="shared" si="21"/>
        <v>0</v>
      </c>
      <c r="J64" s="10">
        <f t="shared" si="21"/>
        <v>-1</v>
      </c>
      <c r="K64" s="14" t="str">
        <f>IF(ISNUMBER(J64),IF(F64&gt;4,"Wins " &amp; F64 &amp; " &amp; 4",IF(G64&gt;3,"Wins " &amp; G64 &amp; " &amp; 3",IF(H64&gt;2,"Wins " &amp; H64 &amp; " &amp; 2",IF(I64&gt;1,"Wins " &amp; I64 &amp; " &amp; 1",IF(J64&gt;J58,"Wins " &amp; J64 &amp; " Up",IF(J64&lt;J58,"Loss","Tie"))))))," ")</f>
        <v>Loss</v>
      </c>
      <c r="N64" s="15"/>
      <c r="O64" s="15"/>
      <c r="P64" s="59"/>
      <c r="Q64" s="59"/>
      <c r="R64" s="59"/>
      <c r="S64" s="59"/>
      <c r="T64" s="59"/>
      <c r="W64" s="15"/>
      <c r="X64" s="15"/>
      <c r="Y64" s="15"/>
      <c r="Z64" s="15"/>
      <c r="AA64" s="15"/>
    </row>
    <row r="65" spans="1:27" s="16" customFormat="1" x14ac:dyDescent="0.2">
      <c r="A65" s="25"/>
      <c r="B65" s="15"/>
      <c r="C65" s="15"/>
      <c r="D65" s="15"/>
      <c r="E65" s="15"/>
      <c r="F65" s="15"/>
      <c r="G65" s="15"/>
      <c r="H65" s="15"/>
      <c r="I65" s="15"/>
      <c r="J65" s="15"/>
      <c r="K65" s="15"/>
      <c r="N65" s="15"/>
      <c r="O65" s="15"/>
      <c r="P65" s="59"/>
      <c r="Q65" s="59"/>
      <c r="R65" s="59"/>
      <c r="S65" s="59"/>
      <c r="T65" s="59"/>
      <c r="W65" s="15"/>
      <c r="X65" s="15"/>
      <c r="Y65" s="15"/>
      <c r="Z65" s="15"/>
      <c r="AA65" s="15"/>
    </row>
    <row r="66" spans="1:27" s="16" customFormat="1" ht="13.5" thickBot="1" x14ac:dyDescent="0.25">
      <c r="A66" s="24" t="s">
        <v>10</v>
      </c>
      <c r="B66" s="2"/>
      <c r="C66" s="2"/>
      <c r="D66" s="2"/>
      <c r="E66" s="2"/>
      <c r="F66" s="2"/>
      <c r="G66" s="2"/>
      <c r="H66" s="2"/>
      <c r="I66" s="2"/>
      <c r="J66" s="2"/>
      <c r="K66" s="2"/>
      <c r="N66" s="15"/>
      <c r="O66" s="15"/>
      <c r="P66" s="59"/>
      <c r="Q66" s="59"/>
      <c r="R66" s="59"/>
      <c r="S66" s="59"/>
      <c r="T66" s="59"/>
      <c r="W66" s="15"/>
      <c r="X66" s="15"/>
      <c r="Y66" s="15"/>
      <c r="Z66" s="15"/>
      <c r="AA66" s="15"/>
    </row>
    <row r="67" spans="1:27" s="16" customFormat="1" x14ac:dyDescent="0.2">
      <c r="A67" s="79" t="str">
        <f t="shared" ref="A67:J67" si="22">A14</f>
        <v>Mil</v>
      </c>
      <c r="B67" s="17">
        <f t="shared" si="22"/>
        <v>6</v>
      </c>
      <c r="C67" s="3">
        <f t="shared" si="22"/>
        <v>4</v>
      </c>
      <c r="D67" s="3">
        <f t="shared" si="22"/>
        <v>6</v>
      </c>
      <c r="E67" s="3">
        <f t="shared" si="22"/>
        <v>4</v>
      </c>
      <c r="F67" s="3">
        <f t="shared" si="22"/>
        <v>6</v>
      </c>
      <c r="G67" s="3">
        <f t="shared" si="22"/>
        <v>4</v>
      </c>
      <c r="H67" s="3">
        <f t="shared" si="22"/>
        <v>5</v>
      </c>
      <c r="I67" s="3">
        <f t="shared" si="22"/>
        <v>5</v>
      </c>
      <c r="J67" s="4">
        <f t="shared" si="22"/>
        <v>6</v>
      </c>
      <c r="K67" s="12">
        <f>SUM(B67:J67)</f>
        <v>46</v>
      </c>
      <c r="N67" s="15"/>
      <c r="O67" s="15"/>
      <c r="P67" s="59"/>
      <c r="Q67" s="59"/>
      <c r="R67" s="59"/>
      <c r="S67" s="59"/>
      <c r="T67" s="59"/>
      <c r="W67" s="15"/>
      <c r="X67" s="15"/>
      <c r="Y67" s="15"/>
      <c r="Z67" s="15"/>
      <c r="AA67" s="15"/>
    </row>
    <row r="68" spans="1:27" s="16" customFormat="1" x14ac:dyDescent="0.2">
      <c r="A68" s="80">
        <f>A15</f>
        <v>6</v>
      </c>
      <c r="B68" s="18">
        <f>IF(AND(ISNUMBER($A68),ISNUMBER($A74)),IF((RANK(B$4,$B$4:$J$4,1))&lt;=($A68-$A74),1,0),"")</f>
        <v>0</v>
      </c>
      <c r="C68" s="6">
        <f t="shared" ref="C68:J69" si="23">IF(AND(ISNUMBER($A68),ISNUMBER($A74)),IF((RANK(C$4,$B$4:$J$4,1))&lt;=($A68-$A74),1,0),"")</f>
        <v>0</v>
      </c>
      <c r="D68" s="6">
        <f t="shared" si="23"/>
        <v>0</v>
      </c>
      <c r="E68" s="6">
        <f t="shared" si="23"/>
        <v>0</v>
      </c>
      <c r="F68" s="6">
        <f t="shared" si="23"/>
        <v>0</v>
      </c>
      <c r="G68" s="6">
        <f t="shared" si="23"/>
        <v>0</v>
      </c>
      <c r="H68" s="6">
        <f t="shared" si="23"/>
        <v>0</v>
      </c>
      <c r="I68" s="6">
        <f t="shared" si="23"/>
        <v>0</v>
      </c>
      <c r="J68" s="7">
        <f t="shared" si="23"/>
        <v>0</v>
      </c>
      <c r="K68" s="13">
        <f>SUM(B68:J68)</f>
        <v>0</v>
      </c>
      <c r="N68" s="15"/>
      <c r="O68" s="15"/>
      <c r="P68" s="59"/>
      <c r="Q68" s="59"/>
      <c r="R68" s="59"/>
      <c r="S68" s="59"/>
      <c r="T68" s="59"/>
      <c r="W68" s="15"/>
      <c r="X68" s="15"/>
      <c r="Y68" s="15"/>
      <c r="Z68" s="15"/>
      <c r="AA68" s="15"/>
    </row>
    <row r="69" spans="1:27" s="16" customFormat="1" x14ac:dyDescent="0.2">
      <c r="A69" s="80">
        <f>IF((A68-A74)&gt;9,(A68-A74-9),0)</f>
        <v>0</v>
      </c>
      <c r="B69" s="18">
        <f>IF(AND(ISNUMBER($A69),ISNUMBER($A75)),IF((RANK(B$4,$B$4:$J$4,1))&lt;=($A69-$A75),1,0),"")</f>
        <v>0</v>
      </c>
      <c r="C69" s="6">
        <f t="shared" si="23"/>
        <v>0</v>
      </c>
      <c r="D69" s="6">
        <f t="shared" si="23"/>
        <v>0</v>
      </c>
      <c r="E69" s="6">
        <f t="shared" si="23"/>
        <v>0</v>
      </c>
      <c r="F69" s="6">
        <f t="shared" si="23"/>
        <v>0</v>
      </c>
      <c r="G69" s="6">
        <f t="shared" si="23"/>
        <v>0</v>
      </c>
      <c r="H69" s="6">
        <f t="shared" si="23"/>
        <v>0</v>
      </c>
      <c r="I69" s="6">
        <f t="shared" si="23"/>
        <v>0</v>
      </c>
      <c r="J69" s="7">
        <f t="shared" si="23"/>
        <v>0</v>
      </c>
      <c r="K69" s="13">
        <f>SUM(B69:J69)</f>
        <v>0</v>
      </c>
      <c r="N69" s="15"/>
      <c r="O69" s="15"/>
      <c r="P69" s="59"/>
      <c r="Q69" s="59"/>
      <c r="R69" s="59"/>
      <c r="S69" s="59"/>
      <c r="T69" s="59"/>
      <c r="W69" s="15"/>
      <c r="X69" s="15"/>
      <c r="Y69" s="15"/>
      <c r="Z69" s="15"/>
      <c r="AA69" s="15"/>
    </row>
    <row r="70" spans="1:27" s="16" customFormat="1" x14ac:dyDescent="0.2">
      <c r="A70" s="80"/>
      <c r="B70" s="82">
        <f>IF(AND(ISNUMBER(B67),ISNUMBER(B68)),B67-B68-B69," ")</f>
        <v>6</v>
      </c>
      <c r="C70" s="83">
        <f t="shared" ref="C70:J70" si="24">IF(AND(ISNUMBER(C67),ISNUMBER(C68)),C67-C68-C69," ")</f>
        <v>4</v>
      </c>
      <c r="D70" s="83">
        <f t="shared" si="24"/>
        <v>6</v>
      </c>
      <c r="E70" s="83">
        <f t="shared" si="24"/>
        <v>4</v>
      </c>
      <c r="F70" s="83">
        <f t="shared" si="24"/>
        <v>6</v>
      </c>
      <c r="G70" s="83">
        <f t="shared" si="24"/>
        <v>4</v>
      </c>
      <c r="H70" s="83">
        <f t="shared" si="24"/>
        <v>5</v>
      </c>
      <c r="I70" s="83">
        <f t="shared" si="24"/>
        <v>5</v>
      </c>
      <c r="J70" s="84">
        <f t="shared" si="24"/>
        <v>6</v>
      </c>
      <c r="K70" s="13">
        <f>IF(ISNUMBER(FIND("Wins",K71)), 2, IF(ISNUMBER(FIND("Tie",K71)), 1, 0))</f>
        <v>2</v>
      </c>
      <c r="N70" s="15"/>
      <c r="O70" s="15"/>
      <c r="P70" s="59"/>
      <c r="Q70" s="59"/>
      <c r="R70" s="59"/>
      <c r="S70" s="59"/>
      <c r="T70" s="59"/>
      <c r="W70" s="15"/>
      <c r="X70" s="15"/>
      <c r="Y70" s="15"/>
      <c r="Z70" s="15"/>
      <c r="AA70" s="15"/>
    </row>
    <row r="71" spans="1:27" s="16" customFormat="1" ht="13.5" thickBot="1" x14ac:dyDescent="0.25">
      <c r="A71" s="81"/>
      <c r="B71" s="19">
        <f>IF(AND(ISNUMBER(B70),ISNUMBER(B76)),IF(B70&lt;B76, 0+1, (IF(B70&gt;B76, 0-1, 0)))," ")</f>
        <v>0</v>
      </c>
      <c r="C71" s="9">
        <f t="shared" ref="C71:J71" si="25">IF(AND(ISNUMBER(C70),ISNUMBER(C76)),IF(C70&lt;C76, +B71+1, (IF(C70&gt;C76, +B71-1, +B71)))," ")</f>
        <v>1</v>
      </c>
      <c r="D71" s="9">
        <f t="shared" si="25"/>
        <v>0</v>
      </c>
      <c r="E71" s="9">
        <f t="shared" si="25"/>
        <v>1</v>
      </c>
      <c r="F71" s="9">
        <f t="shared" si="25"/>
        <v>2</v>
      </c>
      <c r="G71" s="9">
        <f t="shared" si="25"/>
        <v>2</v>
      </c>
      <c r="H71" s="9">
        <f t="shared" si="25"/>
        <v>3</v>
      </c>
      <c r="I71" s="9">
        <f t="shared" si="25"/>
        <v>3</v>
      </c>
      <c r="J71" s="10">
        <f t="shared" si="25"/>
        <v>4</v>
      </c>
      <c r="K71" s="14" t="str">
        <f>IF(ISNUMBER(J71),IF(F71&gt;4,"Wins " &amp; F71 &amp; " &amp; 4",IF(G71&gt;3,"Wins " &amp; G71 &amp; " &amp; 3",IF(H71&gt;2,"Wins " &amp; H71 &amp; " &amp; 2",IF(I71&gt;1,"Wins " &amp; I71 &amp; " &amp; 1",IF(J71&gt;J77,"Wins " &amp; J71 &amp; " Up",IF(J71&lt;J77,"Loss","Tie"))))))," ")</f>
        <v>Wins 3 &amp; 2</v>
      </c>
      <c r="N71" s="15"/>
      <c r="O71" s="15"/>
      <c r="P71" s="59"/>
      <c r="Q71" s="59"/>
      <c r="R71" s="59"/>
      <c r="S71" s="59"/>
      <c r="T71" s="59"/>
      <c r="W71" s="15"/>
      <c r="X71" s="15"/>
      <c r="Y71" s="15"/>
      <c r="Z71" s="15"/>
      <c r="AA71" s="15"/>
    </row>
    <row r="72" spans="1:27" s="16" customFormat="1" ht="13.5" thickBot="1" x14ac:dyDescent="0.25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N72" s="15"/>
      <c r="O72" s="15"/>
      <c r="P72" s="59"/>
      <c r="Q72" s="59"/>
      <c r="R72" s="59"/>
      <c r="S72" s="59"/>
      <c r="T72" s="59"/>
      <c r="W72" s="15"/>
      <c r="X72" s="15"/>
      <c r="Y72" s="15"/>
      <c r="Z72" s="15"/>
      <c r="AA72" s="15"/>
    </row>
    <row r="73" spans="1:27" s="16" customFormat="1" x14ac:dyDescent="0.2">
      <c r="A73" s="79" t="str">
        <f t="shared" ref="A73:J73" si="26">A20</f>
        <v>Manny</v>
      </c>
      <c r="B73" s="17">
        <f t="shared" si="26"/>
        <v>7</v>
      </c>
      <c r="C73" s="3">
        <f t="shared" si="26"/>
        <v>6</v>
      </c>
      <c r="D73" s="3">
        <f t="shared" si="26"/>
        <v>4</v>
      </c>
      <c r="E73" s="3">
        <f t="shared" si="26"/>
        <v>8</v>
      </c>
      <c r="F73" s="3">
        <f t="shared" si="26"/>
        <v>8</v>
      </c>
      <c r="G73" s="3">
        <f t="shared" si="26"/>
        <v>5</v>
      </c>
      <c r="H73" s="3">
        <f t="shared" si="26"/>
        <v>9</v>
      </c>
      <c r="I73" s="3">
        <f t="shared" si="26"/>
        <v>6</v>
      </c>
      <c r="J73" s="4">
        <f t="shared" si="26"/>
        <v>8</v>
      </c>
      <c r="K73" s="12">
        <f>SUM(B73:J73)</f>
        <v>61</v>
      </c>
      <c r="N73" s="15"/>
      <c r="O73" s="15"/>
      <c r="P73" s="59"/>
      <c r="Q73" s="59"/>
      <c r="R73" s="59"/>
      <c r="S73" s="59"/>
      <c r="T73" s="59"/>
      <c r="W73" s="15"/>
      <c r="X73" s="15"/>
      <c r="Y73" s="15"/>
      <c r="Z73" s="15"/>
      <c r="AA73" s="15"/>
    </row>
    <row r="74" spans="1:27" s="16" customFormat="1" x14ac:dyDescent="0.2">
      <c r="A74" s="80">
        <f>A21</f>
        <v>14</v>
      </c>
      <c r="B74" s="18">
        <f>IF(AND(ISNUMBER($A68),ISNUMBER($A74)),IF((RANK(B$4,$B$4:$J$4,1))&lt;=($A74-$A68),1,0),"")</f>
        <v>1</v>
      </c>
      <c r="C74" s="6">
        <f t="shared" ref="C74:J75" si="27">IF(AND(ISNUMBER($A68),ISNUMBER($A74)),IF((RANK(C$4,$B$4:$J$4,1))&lt;=($A74-$A68),1,0),"")</f>
        <v>1</v>
      </c>
      <c r="D74" s="6">
        <f t="shared" si="27"/>
        <v>1</v>
      </c>
      <c r="E74" s="6">
        <f t="shared" si="27"/>
        <v>0</v>
      </c>
      <c r="F74" s="6">
        <f t="shared" si="27"/>
        <v>1</v>
      </c>
      <c r="G74" s="6">
        <f t="shared" si="27"/>
        <v>1</v>
      </c>
      <c r="H74" s="6">
        <f t="shared" si="27"/>
        <v>1</v>
      </c>
      <c r="I74" s="6">
        <f t="shared" si="27"/>
        <v>1</v>
      </c>
      <c r="J74" s="7">
        <f t="shared" si="27"/>
        <v>1</v>
      </c>
      <c r="K74" s="13">
        <f>SUM(B74:J74)</f>
        <v>8</v>
      </c>
      <c r="N74" s="15"/>
      <c r="O74" s="15"/>
      <c r="P74" s="59"/>
      <c r="Q74" s="59"/>
      <c r="R74" s="59"/>
      <c r="S74" s="59"/>
      <c r="T74" s="59"/>
      <c r="W74" s="15"/>
      <c r="X74" s="15"/>
      <c r="Y74" s="15"/>
      <c r="Z74" s="15"/>
      <c r="AA74" s="15"/>
    </row>
    <row r="75" spans="1:27" s="16" customFormat="1" x14ac:dyDescent="0.2">
      <c r="A75" s="80">
        <f>IF((A74-A68)&gt;9,(A74-A68-9),0)</f>
        <v>0</v>
      </c>
      <c r="B75" s="18">
        <f>IF(AND(ISNUMBER($A69),ISNUMBER($A75)),IF((RANK(B$4,$B$4:$J$4,1))&lt;=($A75-$A69),1,0),"")</f>
        <v>0</v>
      </c>
      <c r="C75" s="6">
        <f t="shared" si="27"/>
        <v>0</v>
      </c>
      <c r="D75" s="6">
        <f t="shared" si="27"/>
        <v>0</v>
      </c>
      <c r="E75" s="6">
        <f t="shared" si="27"/>
        <v>0</v>
      </c>
      <c r="F75" s="6">
        <f t="shared" si="27"/>
        <v>0</v>
      </c>
      <c r="G75" s="6">
        <f t="shared" si="27"/>
        <v>0</v>
      </c>
      <c r="H75" s="6">
        <f t="shared" si="27"/>
        <v>0</v>
      </c>
      <c r="I75" s="6">
        <f t="shared" si="27"/>
        <v>0</v>
      </c>
      <c r="J75" s="7">
        <f t="shared" si="27"/>
        <v>0</v>
      </c>
      <c r="K75" s="13">
        <f>SUM(B75:J75)</f>
        <v>0</v>
      </c>
      <c r="N75" s="15"/>
      <c r="O75" s="15"/>
      <c r="P75" s="59"/>
      <c r="Q75" s="59"/>
      <c r="R75" s="59"/>
      <c r="S75" s="59"/>
      <c r="T75" s="59"/>
      <c r="W75" s="15"/>
      <c r="X75" s="15"/>
      <c r="Y75" s="15"/>
      <c r="Z75" s="15"/>
      <c r="AA75" s="15"/>
    </row>
    <row r="76" spans="1:27" s="16" customFormat="1" x14ac:dyDescent="0.2">
      <c r="A76" s="80"/>
      <c r="B76" s="82">
        <f>IF(AND(ISNUMBER(B73),ISNUMBER(B74)),B73-B74-B75," ")</f>
        <v>6</v>
      </c>
      <c r="C76" s="83">
        <f t="shared" ref="C76:J76" si="28">IF(AND(ISNUMBER(C73),ISNUMBER(C74)),C73-C74-C75," ")</f>
        <v>5</v>
      </c>
      <c r="D76" s="83">
        <f t="shared" si="28"/>
        <v>3</v>
      </c>
      <c r="E76" s="83">
        <f t="shared" si="28"/>
        <v>8</v>
      </c>
      <c r="F76" s="83">
        <f t="shared" si="28"/>
        <v>7</v>
      </c>
      <c r="G76" s="83">
        <f t="shared" si="28"/>
        <v>4</v>
      </c>
      <c r="H76" s="83">
        <f t="shared" si="28"/>
        <v>8</v>
      </c>
      <c r="I76" s="83">
        <f t="shared" si="28"/>
        <v>5</v>
      </c>
      <c r="J76" s="84">
        <f t="shared" si="28"/>
        <v>7</v>
      </c>
      <c r="K76" s="13">
        <f>IF(ISNUMBER(FIND("Wins",K77)), 2, IF(ISNUMBER(FIND("Tie",K77)), 1, 0))</f>
        <v>0</v>
      </c>
      <c r="N76" s="15"/>
      <c r="O76" s="15"/>
      <c r="P76" s="59"/>
      <c r="Q76" s="59"/>
      <c r="R76" s="59"/>
      <c r="S76" s="59"/>
      <c r="T76" s="59"/>
      <c r="W76" s="15"/>
      <c r="X76" s="15"/>
      <c r="Y76" s="15"/>
      <c r="Z76" s="15"/>
      <c r="AA76" s="15"/>
    </row>
    <row r="77" spans="1:27" s="16" customFormat="1" ht="13.5" thickBot="1" x14ac:dyDescent="0.25">
      <c r="A77" s="81"/>
      <c r="B77" s="19">
        <f>IF(AND(ISNUMBER(B70),ISNUMBER(B76)),IF(B76&lt;B70, 0+1, (IF(B76&gt;B70, 0-1, 0)))," ")</f>
        <v>0</v>
      </c>
      <c r="C77" s="9">
        <f t="shared" ref="C77:J77" si="29">IF(AND(ISNUMBER(C70),ISNUMBER(C76)),IF(C76&lt;C70, +B77+1, (IF(C76&gt;C70, +B77-1, +B77)))," ")</f>
        <v>-1</v>
      </c>
      <c r="D77" s="9">
        <f t="shared" si="29"/>
        <v>0</v>
      </c>
      <c r="E77" s="9">
        <f t="shared" si="29"/>
        <v>-1</v>
      </c>
      <c r="F77" s="9">
        <f t="shared" si="29"/>
        <v>-2</v>
      </c>
      <c r="G77" s="9">
        <f t="shared" si="29"/>
        <v>-2</v>
      </c>
      <c r="H77" s="9">
        <f t="shared" si="29"/>
        <v>-3</v>
      </c>
      <c r="I77" s="9">
        <f t="shared" si="29"/>
        <v>-3</v>
      </c>
      <c r="J77" s="10">
        <f t="shared" si="29"/>
        <v>-4</v>
      </c>
      <c r="K77" s="14" t="str">
        <f>IF(ISNUMBER(J77),IF(F77&gt;4,"Wins " &amp; F77 &amp; " &amp; 4",IF(G77&gt;3,"Wins " &amp; G77 &amp; " &amp; 3",IF(H77&gt;2,"Wins " &amp; H77 &amp; " &amp; 2",IF(I77&gt;1,"Wins " &amp; I77 &amp; " &amp; 1",IF(J77&gt;J71,"Wins " &amp; J77 &amp; " Up",IF(J77&lt;J71,"Loss","Tie"))))))," ")</f>
        <v>Loss</v>
      </c>
      <c r="N77" s="15"/>
      <c r="O77" s="15"/>
      <c r="P77" s="59"/>
      <c r="Q77" s="59"/>
      <c r="R77" s="59"/>
      <c r="S77" s="59"/>
      <c r="T77" s="59"/>
      <c r="W77" s="15"/>
      <c r="X77" s="15"/>
      <c r="Y77" s="15"/>
      <c r="Z77" s="15"/>
      <c r="AA77" s="15"/>
    </row>
    <row r="78" spans="1:27" s="16" customFormat="1" x14ac:dyDescent="0.2">
      <c r="A78" s="26"/>
      <c r="B78" s="15"/>
      <c r="C78" s="15"/>
      <c r="D78" s="15"/>
      <c r="E78" s="15"/>
      <c r="F78" s="15"/>
      <c r="G78" s="15"/>
      <c r="H78" s="15"/>
      <c r="I78" s="15"/>
      <c r="J78" s="15"/>
      <c r="K78" s="15"/>
      <c r="N78" s="15"/>
      <c r="O78" s="15"/>
      <c r="P78" s="59"/>
      <c r="Q78" s="59"/>
      <c r="R78" s="59"/>
      <c r="S78" s="59"/>
      <c r="T78" s="59"/>
      <c r="W78" s="15"/>
      <c r="X78" s="15"/>
      <c r="Y78" s="15"/>
      <c r="Z78" s="15"/>
      <c r="AA78" s="15"/>
    </row>
    <row r="79" spans="1:27" s="16" customFormat="1" ht="13.5" thickBot="1" x14ac:dyDescent="0.25">
      <c r="A79" s="24" t="s">
        <v>11</v>
      </c>
      <c r="B79" s="2"/>
      <c r="C79" s="2"/>
      <c r="D79" s="2"/>
      <c r="E79" s="2"/>
      <c r="F79" s="2"/>
      <c r="G79" s="2"/>
      <c r="H79" s="2"/>
      <c r="I79" s="2"/>
      <c r="J79" s="2"/>
      <c r="K79" s="2"/>
      <c r="N79" s="15"/>
      <c r="O79" s="15"/>
      <c r="P79" s="59"/>
      <c r="Q79" s="59"/>
      <c r="R79" s="59"/>
      <c r="S79" s="59"/>
      <c r="T79" s="59"/>
      <c r="W79" s="15"/>
      <c r="X79" s="15"/>
      <c r="Y79" s="15"/>
      <c r="Z79" s="15"/>
      <c r="AA79" s="15"/>
    </row>
    <row r="80" spans="1:27" s="16" customFormat="1" x14ac:dyDescent="0.2">
      <c r="A80" s="29" t="str">
        <f t="shared" ref="A80:J80" si="30">A18</f>
        <v>Patrick</v>
      </c>
      <c r="B80" s="17">
        <f t="shared" si="30"/>
        <v>7</v>
      </c>
      <c r="C80" s="3">
        <f t="shared" si="30"/>
        <v>6</v>
      </c>
      <c r="D80" s="3">
        <f t="shared" si="30"/>
        <v>4</v>
      </c>
      <c r="E80" s="3">
        <f t="shared" si="30"/>
        <v>3</v>
      </c>
      <c r="F80" s="3">
        <f t="shared" si="30"/>
        <v>7</v>
      </c>
      <c r="G80" s="3">
        <f t="shared" si="30"/>
        <v>6</v>
      </c>
      <c r="H80" s="3">
        <f t="shared" si="30"/>
        <v>6</v>
      </c>
      <c r="I80" s="3">
        <f t="shared" si="30"/>
        <v>6</v>
      </c>
      <c r="J80" s="4">
        <f t="shared" si="30"/>
        <v>7</v>
      </c>
      <c r="K80" s="12">
        <f>SUM(B80:J80)</f>
        <v>52</v>
      </c>
      <c r="N80" s="15"/>
      <c r="O80" s="15"/>
      <c r="P80" s="59"/>
      <c r="Q80" s="59"/>
      <c r="R80" s="59"/>
      <c r="S80" s="59"/>
      <c r="T80" s="59"/>
      <c r="W80" s="15"/>
      <c r="X80" s="15"/>
      <c r="Y80" s="15"/>
      <c r="Z80" s="15"/>
      <c r="AA80" s="15"/>
    </row>
    <row r="81" spans="1:27" s="16" customFormat="1" x14ac:dyDescent="0.2">
      <c r="A81" s="30">
        <f>A19</f>
        <v>8</v>
      </c>
      <c r="B81" s="18">
        <f>IF(AND(ISNUMBER($A81),ISNUMBER($A87)),IF((RANK(B$4,$B$4:$J$4,1))&lt;=($A81-$A87),1,0),"")</f>
        <v>0</v>
      </c>
      <c r="C81" s="6">
        <f t="shared" ref="C81:J82" si="31">IF(AND(ISNUMBER($A81),ISNUMBER($A87)),IF((RANK(C$4,$B$4:$J$4,1))&lt;=($A81-$A87),1,0),"")</f>
        <v>0</v>
      </c>
      <c r="D81" s="6">
        <f t="shared" si="31"/>
        <v>0</v>
      </c>
      <c r="E81" s="6">
        <f t="shared" si="31"/>
        <v>0</v>
      </c>
      <c r="F81" s="6">
        <f t="shared" si="31"/>
        <v>1</v>
      </c>
      <c r="G81" s="6">
        <f t="shared" si="31"/>
        <v>0</v>
      </c>
      <c r="H81" s="6">
        <f t="shared" si="31"/>
        <v>0</v>
      </c>
      <c r="I81" s="6">
        <f t="shared" si="31"/>
        <v>0</v>
      </c>
      <c r="J81" s="7">
        <f t="shared" si="31"/>
        <v>0</v>
      </c>
      <c r="K81" s="13">
        <f>SUM(B81:J81)</f>
        <v>1</v>
      </c>
      <c r="N81" s="15"/>
      <c r="O81" s="15"/>
      <c r="P81" s="59"/>
      <c r="Q81" s="59"/>
      <c r="R81" s="59"/>
      <c r="S81" s="59"/>
      <c r="T81" s="59"/>
      <c r="W81" s="15"/>
      <c r="X81" s="15"/>
      <c r="Y81" s="15"/>
      <c r="Z81" s="15"/>
      <c r="AA81" s="15"/>
    </row>
    <row r="82" spans="1:27" s="16" customFormat="1" x14ac:dyDescent="0.2">
      <c r="A82" s="30">
        <f>IF((A81-A87)&gt;9,(A81-A87-9),0)</f>
        <v>0</v>
      </c>
      <c r="B82" s="18">
        <f>IF(AND(ISNUMBER($A82),ISNUMBER($A88)),IF((RANK(B$4,$B$4:$J$4,1))&lt;=($A82-$A88),1,0),"")</f>
        <v>0</v>
      </c>
      <c r="C82" s="6">
        <f t="shared" si="31"/>
        <v>0</v>
      </c>
      <c r="D82" s="6">
        <f t="shared" si="31"/>
        <v>0</v>
      </c>
      <c r="E82" s="6">
        <f t="shared" si="31"/>
        <v>0</v>
      </c>
      <c r="F82" s="6">
        <f t="shared" si="31"/>
        <v>0</v>
      </c>
      <c r="G82" s="6">
        <f t="shared" si="31"/>
        <v>0</v>
      </c>
      <c r="H82" s="6">
        <f t="shared" si="31"/>
        <v>0</v>
      </c>
      <c r="I82" s="6">
        <f t="shared" si="31"/>
        <v>0</v>
      </c>
      <c r="J82" s="7">
        <f t="shared" si="31"/>
        <v>0</v>
      </c>
      <c r="K82" s="13">
        <f>SUM(B82:J82)</f>
        <v>0</v>
      </c>
      <c r="N82" s="15"/>
      <c r="O82" s="15"/>
      <c r="P82" s="59"/>
      <c r="Q82" s="59"/>
      <c r="R82" s="59"/>
      <c r="S82" s="59"/>
      <c r="T82" s="59"/>
      <c r="W82" s="15"/>
      <c r="X82" s="15"/>
      <c r="Y82" s="15"/>
      <c r="Z82" s="15"/>
      <c r="AA82" s="15"/>
    </row>
    <row r="83" spans="1:27" s="16" customFormat="1" x14ac:dyDescent="0.2">
      <c r="A83" s="30"/>
      <c r="B83" s="82">
        <f>IF(AND(ISNUMBER(B80),ISNUMBER(B81)),B80-B81-B82," ")</f>
        <v>7</v>
      </c>
      <c r="C83" s="83">
        <f t="shared" ref="C83:J83" si="32">IF(AND(ISNUMBER(C80),ISNUMBER(C81)),C80-C81-C82," ")</f>
        <v>6</v>
      </c>
      <c r="D83" s="83">
        <f t="shared" si="32"/>
        <v>4</v>
      </c>
      <c r="E83" s="83">
        <f t="shared" si="32"/>
        <v>3</v>
      </c>
      <c r="F83" s="83">
        <f t="shared" si="32"/>
        <v>6</v>
      </c>
      <c r="G83" s="83">
        <f t="shared" si="32"/>
        <v>6</v>
      </c>
      <c r="H83" s="83">
        <f t="shared" si="32"/>
        <v>6</v>
      </c>
      <c r="I83" s="83">
        <f t="shared" si="32"/>
        <v>6</v>
      </c>
      <c r="J83" s="84">
        <f t="shared" si="32"/>
        <v>7</v>
      </c>
      <c r="K83" s="13">
        <f>IF(ISNUMBER(FIND("Wins",K84)), 2, IF(ISNUMBER(FIND("Tie",K84)), 1, 0))</f>
        <v>0</v>
      </c>
      <c r="N83" s="15"/>
      <c r="O83" s="15"/>
      <c r="P83" s="59"/>
      <c r="Q83" s="59"/>
      <c r="R83" s="59"/>
      <c r="S83" s="59"/>
      <c r="T83" s="59"/>
      <c r="W83" s="15"/>
      <c r="X83" s="15"/>
      <c r="Y83" s="15"/>
      <c r="Z83" s="15"/>
      <c r="AA83" s="15"/>
    </row>
    <row r="84" spans="1:27" s="16" customFormat="1" ht="13.5" thickBot="1" x14ac:dyDescent="0.25">
      <c r="A84" s="31"/>
      <c r="B84" s="19">
        <f>IF(AND(ISNUMBER(B83),ISNUMBER(B89)),IF(B83&lt;B89, 0+1, (IF(B83&gt;B89, 0-1, 0)))," ")</f>
        <v>-1</v>
      </c>
      <c r="C84" s="9">
        <f t="shared" ref="C84:J84" si="33">IF(AND(ISNUMBER(C83),ISNUMBER(C89)),IF(C83&lt;C89, +B84+1, (IF(C83&gt;C89, +B84-1, +B84)))," ")</f>
        <v>-2</v>
      </c>
      <c r="D84" s="9">
        <f t="shared" si="33"/>
        <v>-2</v>
      </c>
      <c r="E84" s="9">
        <f t="shared" si="33"/>
        <v>-1</v>
      </c>
      <c r="F84" s="9">
        <f t="shared" si="33"/>
        <v>-1</v>
      </c>
      <c r="G84" s="9">
        <f t="shared" si="33"/>
        <v>-2</v>
      </c>
      <c r="H84" s="9">
        <f t="shared" si="33"/>
        <v>-3</v>
      </c>
      <c r="I84" s="9">
        <f t="shared" si="33"/>
        <v>-3</v>
      </c>
      <c r="J84" s="10">
        <f t="shared" si="33"/>
        <v>-4</v>
      </c>
      <c r="K84" s="14" t="str">
        <f>IF(ISNUMBER(J84),IF(F84&gt;4,"Wins " &amp; F84 &amp; " &amp; 4",IF(G84&gt;3,"Wins " &amp; G84 &amp; " &amp; 3",IF(H84&gt;2,"Wins " &amp; H84 &amp; " &amp; 2",IF(I84&gt;1,"Wins " &amp; I84 &amp; " &amp; 1",IF(J84&gt;J90,"Wins " &amp; J84 &amp; " Up",IF(J84&lt;J90,"Loss","Tie"))))))," ")</f>
        <v>Loss</v>
      </c>
      <c r="N84" s="15"/>
      <c r="O84" s="15"/>
      <c r="P84" s="59"/>
      <c r="Q84" s="59"/>
      <c r="R84" s="59"/>
      <c r="S84" s="59"/>
      <c r="T84" s="59"/>
      <c r="W84" s="15"/>
      <c r="X84" s="15"/>
      <c r="Y84" s="15"/>
      <c r="Z84" s="15"/>
      <c r="AA84" s="15"/>
    </row>
    <row r="85" spans="1:27" s="16" customFormat="1" ht="13.5" thickBot="1" x14ac:dyDescent="0.2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N85" s="15"/>
      <c r="O85" s="15"/>
      <c r="P85" s="59"/>
      <c r="Q85" s="59"/>
      <c r="R85" s="59"/>
      <c r="S85" s="59"/>
      <c r="T85" s="59"/>
      <c r="W85" s="15"/>
      <c r="X85" s="15"/>
      <c r="Y85" s="15"/>
      <c r="Z85" s="15"/>
      <c r="AA85" s="15"/>
    </row>
    <row r="86" spans="1:27" s="16" customFormat="1" x14ac:dyDescent="0.2">
      <c r="A86" s="79" t="str">
        <f t="shared" ref="A86:J86" si="34">A16</f>
        <v>Hunter</v>
      </c>
      <c r="B86" s="17">
        <f t="shared" si="34"/>
        <v>6</v>
      </c>
      <c r="C86" s="3">
        <f t="shared" si="34"/>
        <v>4</v>
      </c>
      <c r="D86" s="3">
        <f t="shared" si="34"/>
        <v>4</v>
      </c>
      <c r="E86" s="3">
        <f t="shared" si="34"/>
        <v>4</v>
      </c>
      <c r="F86" s="3">
        <f t="shared" si="34"/>
        <v>6</v>
      </c>
      <c r="G86" s="3">
        <f t="shared" si="34"/>
        <v>4</v>
      </c>
      <c r="H86" s="3">
        <f t="shared" si="34"/>
        <v>4</v>
      </c>
      <c r="I86" s="3">
        <f t="shared" si="34"/>
        <v>6</v>
      </c>
      <c r="J86" s="4">
        <f t="shared" si="34"/>
        <v>6</v>
      </c>
      <c r="K86" s="12">
        <f>SUM(B86:J86)</f>
        <v>44</v>
      </c>
      <c r="N86" s="15"/>
      <c r="O86" s="15"/>
      <c r="P86" s="59"/>
      <c r="Q86" s="59"/>
      <c r="R86" s="59"/>
      <c r="S86" s="59"/>
      <c r="T86" s="59"/>
      <c r="W86" s="15"/>
      <c r="X86" s="15"/>
      <c r="Y86" s="15"/>
      <c r="Z86" s="15"/>
      <c r="AA86" s="15"/>
    </row>
    <row r="87" spans="1:27" s="16" customFormat="1" x14ac:dyDescent="0.2">
      <c r="A87" s="80">
        <f>A17</f>
        <v>7</v>
      </c>
      <c r="B87" s="18">
        <f>IF(AND(ISNUMBER($A81),ISNUMBER($A87)),IF((RANK(B$4,$B$4:$J$4,1))&lt;=($A87-$A81),1,0),"")</f>
        <v>0</v>
      </c>
      <c r="C87" s="6">
        <f t="shared" ref="C87:J88" si="35">IF(AND(ISNUMBER($A81),ISNUMBER($A87)),IF((RANK(C$4,$B$4:$J$4,1))&lt;=($A87-$A81),1,0),"")</f>
        <v>0</v>
      </c>
      <c r="D87" s="6">
        <f t="shared" si="35"/>
        <v>0</v>
      </c>
      <c r="E87" s="6">
        <f t="shared" si="35"/>
        <v>0</v>
      </c>
      <c r="F87" s="6">
        <f t="shared" si="35"/>
        <v>0</v>
      </c>
      <c r="G87" s="6">
        <f t="shared" si="35"/>
        <v>0</v>
      </c>
      <c r="H87" s="6">
        <f t="shared" si="35"/>
        <v>0</v>
      </c>
      <c r="I87" s="6">
        <f t="shared" si="35"/>
        <v>0</v>
      </c>
      <c r="J87" s="7">
        <f t="shared" si="35"/>
        <v>0</v>
      </c>
      <c r="K87" s="13">
        <f>SUM(B87:J87)</f>
        <v>0</v>
      </c>
      <c r="N87" s="15"/>
      <c r="O87" s="15"/>
      <c r="P87" s="59"/>
      <c r="Q87" s="59"/>
      <c r="R87" s="59"/>
      <c r="S87" s="59"/>
      <c r="T87" s="59"/>
      <c r="W87" s="15"/>
      <c r="X87" s="15"/>
      <c r="Y87" s="15"/>
      <c r="Z87" s="15"/>
      <c r="AA87" s="15"/>
    </row>
    <row r="88" spans="1:27" s="16" customFormat="1" x14ac:dyDescent="0.2">
      <c r="A88" s="80">
        <f>IF((A87-A81)&gt;9,(A87-A81-9),0)</f>
        <v>0</v>
      </c>
      <c r="B88" s="18">
        <f>IF(AND(ISNUMBER($A82),ISNUMBER($A88)),IF((RANK(B$4,$B$4:$J$4,1))&lt;=($A88-$A82),1,0),"")</f>
        <v>0</v>
      </c>
      <c r="C88" s="6">
        <f t="shared" si="35"/>
        <v>0</v>
      </c>
      <c r="D88" s="6">
        <f t="shared" si="35"/>
        <v>0</v>
      </c>
      <c r="E88" s="6">
        <f t="shared" si="35"/>
        <v>0</v>
      </c>
      <c r="F88" s="6">
        <f t="shared" si="35"/>
        <v>0</v>
      </c>
      <c r="G88" s="6">
        <f t="shared" si="35"/>
        <v>0</v>
      </c>
      <c r="H88" s="6">
        <f t="shared" si="35"/>
        <v>0</v>
      </c>
      <c r="I88" s="6">
        <f t="shared" si="35"/>
        <v>0</v>
      </c>
      <c r="J88" s="7">
        <f t="shared" si="35"/>
        <v>0</v>
      </c>
      <c r="K88" s="13">
        <f>SUM(B88:J88)</f>
        <v>0</v>
      </c>
      <c r="N88" s="15"/>
      <c r="O88" s="15"/>
      <c r="P88" s="59"/>
      <c r="Q88" s="59"/>
      <c r="R88" s="59"/>
      <c r="S88" s="59"/>
      <c r="T88" s="59"/>
      <c r="W88" s="15"/>
      <c r="X88" s="15"/>
      <c r="Y88" s="15"/>
      <c r="Z88" s="15"/>
      <c r="AA88" s="15"/>
    </row>
    <row r="89" spans="1:27" s="16" customFormat="1" x14ac:dyDescent="0.2">
      <c r="A89" s="80"/>
      <c r="B89" s="82">
        <f>IF(AND(ISNUMBER(B86),ISNUMBER(B87)),B86-B87-B88," ")</f>
        <v>6</v>
      </c>
      <c r="C89" s="83">
        <f t="shared" ref="C89:J89" si="36">IF(AND(ISNUMBER(C86),ISNUMBER(C87)),C86-C87-C88," ")</f>
        <v>4</v>
      </c>
      <c r="D89" s="83">
        <f t="shared" si="36"/>
        <v>4</v>
      </c>
      <c r="E89" s="83">
        <f t="shared" si="36"/>
        <v>4</v>
      </c>
      <c r="F89" s="83">
        <f t="shared" si="36"/>
        <v>6</v>
      </c>
      <c r="G89" s="83">
        <f t="shared" si="36"/>
        <v>4</v>
      </c>
      <c r="H89" s="83">
        <f t="shared" si="36"/>
        <v>4</v>
      </c>
      <c r="I89" s="83">
        <f t="shared" si="36"/>
        <v>6</v>
      </c>
      <c r="J89" s="84">
        <f t="shared" si="36"/>
        <v>6</v>
      </c>
      <c r="K89" s="13">
        <f>IF(ISNUMBER(FIND("Wins",K90)), 2, IF(ISNUMBER(FIND("Tie",K90)), 1, 0))</f>
        <v>2</v>
      </c>
      <c r="N89" s="15"/>
      <c r="O89" s="15"/>
      <c r="P89" s="59"/>
      <c r="Q89" s="59"/>
      <c r="R89" s="59"/>
      <c r="S89" s="59"/>
      <c r="T89" s="59"/>
      <c r="W89" s="15"/>
      <c r="X89" s="15"/>
      <c r="Y89" s="15"/>
      <c r="Z89" s="15"/>
      <c r="AA89" s="15"/>
    </row>
    <row r="90" spans="1:27" s="16" customFormat="1" ht="13.5" thickBot="1" x14ac:dyDescent="0.25">
      <c r="A90" s="81"/>
      <c r="B90" s="19">
        <f>IF(AND(ISNUMBER(B83),ISNUMBER(B89)),IF(B89&lt;B83, 0+1, (IF(B89&gt;B83, 0-1, 0)))," ")</f>
        <v>1</v>
      </c>
      <c r="C90" s="9">
        <f t="shared" ref="C90:J90" si="37">IF(AND(ISNUMBER(C83),ISNUMBER(C89)),IF(C89&lt;C83, +B90+1, (IF(C89&gt;C83, +B90-1, +B90)))," ")</f>
        <v>2</v>
      </c>
      <c r="D90" s="9">
        <f t="shared" si="37"/>
        <v>2</v>
      </c>
      <c r="E90" s="9">
        <f t="shared" si="37"/>
        <v>1</v>
      </c>
      <c r="F90" s="9">
        <f t="shared" si="37"/>
        <v>1</v>
      </c>
      <c r="G90" s="9">
        <f t="shared" si="37"/>
        <v>2</v>
      </c>
      <c r="H90" s="9">
        <f t="shared" si="37"/>
        <v>3</v>
      </c>
      <c r="I90" s="9">
        <f t="shared" si="37"/>
        <v>3</v>
      </c>
      <c r="J90" s="10">
        <f t="shared" si="37"/>
        <v>4</v>
      </c>
      <c r="K90" s="14" t="str">
        <f>IF(ISNUMBER(J90),IF(F90&gt;4,"Wins " &amp; F90 &amp; " &amp; 4",IF(G90&gt;3,"Wins " &amp; G90 &amp; " &amp; 3",IF(H90&gt;2,"Wins " &amp; H90 &amp; " &amp; 2",IF(I90&gt;1,"Wins " &amp; I90 &amp; " &amp; 1",IF(J90&gt;J84,"Wins " &amp; J90 &amp; " Up",IF(J90&lt;J84,"Loss","Tie"))))))," ")</f>
        <v>Wins 3 &amp; 2</v>
      </c>
      <c r="N90" s="15"/>
      <c r="O90" s="15"/>
      <c r="P90" s="59"/>
      <c r="Q90" s="59"/>
      <c r="R90" s="59"/>
      <c r="S90" s="59"/>
      <c r="T90" s="59"/>
      <c r="W90" s="15"/>
      <c r="X90" s="15"/>
      <c r="Y90" s="15"/>
      <c r="Z90" s="15"/>
      <c r="AA90" s="15"/>
    </row>
    <row r="91" spans="1:27" s="16" customFormat="1" x14ac:dyDescent="0.2">
      <c r="A91" s="26"/>
      <c r="B91" s="15"/>
      <c r="C91" s="15"/>
      <c r="D91" s="15"/>
      <c r="E91" s="15"/>
      <c r="F91" s="15"/>
      <c r="G91" s="15"/>
      <c r="H91" s="15"/>
      <c r="I91" s="15"/>
      <c r="J91" s="15"/>
      <c r="K91" s="15"/>
      <c r="N91" s="15"/>
      <c r="O91" s="15"/>
      <c r="P91" s="59"/>
      <c r="Q91" s="59"/>
      <c r="R91" s="59"/>
      <c r="S91" s="59"/>
      <c r="T91" s="59"/>
      <c r="W91" s="15"/>
      <c r="X91" s="15"/>
      <c r="Y91" s="15"/>
      <c r="Z91" s="15"/>
      <c r="AA91" s="15"/>
    </row>
    <row r="92" spans="1:27" s="16" customFormat="1" ht="13.5" thickBot="1" x14ac:dyDescent="0.25">
      <c r="A92" s="24" t="s">
        <v>12</v>
      </c>
      <c r="B92" s="2"/>
      <c r="C92" s="2"/>
      <c r="D92" s="2"/>
      <c r="E92" s="2"/>
      <c r="F92" s="2"/>
      <c r="G92" s="2"/>
      <c r="H92" s="2"/>
      <c r="I92" s="2"/>
      <c r="J92" s="2"/>
      <c r="K92" s="2"/>
      <c r="N92" s="15"/>
      <c r="O92" s="15"/>
      <c r="P92" s="59"/>
      <c r="Q92" s="59"/>
      <c r="R92" s="59"/>
      <c r="S92" s="59"/>
      <c r="T92" s="59"/>
      <c r="W92" s="15"/>
      <c r="X92" s="15"/>
      <c r="Y92" s="15"/>
      <c r="Z92" s="15"/>
      <c r="AA92" s="15"/>
    </row>
    <row r="93" spans="1:27" s="16" customFormat="1" x14ac:dyDescent="0.2">
      <c r="A93" s="29" t="str">
        <f t="shared" ref="A93:J93" si="38">A22</f>
        <v>Keith</v>
      </c>
      <c r="B93" s="17">
        <f t="shared" si="38"/>
        <v>6</v>
      </c>
      <c r="C93" s="3">
        <f t="shared" si="38"/>
        <v>7</v>
      </c>
      <c r="D93" s="3">
        <f t="shared" si="38"/>
        <v>7</v>
      </c>
      <c r="E93" s="3">
        <f t="shared" si="38"/>
        <v>6</v>
      </c>
      <c r="F93" s="3">
        <f t="shared" si="38"/>
        <v>7</v>
      </c>
      <c r="G93" s="3">
        <f t="shared" si="38"/>
        <v>5</v>
      </c>
      <c r="H93" s="3">
        <f t="shared" si="38"/>
        <v>5</v>
      </c>
      <c r="I93" s="3">
        <f t="shared" si="38"/>
        <v>4</v>
      </c>
      <c r="J93" s="4">
        <f t="shared" si="38"/>
        <v>7</v>
      </c>
      <c r="K93" s="12">
        <f>SUM(B93:J93)</f>
        <v>54</v>
      </c>
      <c r="N93" s="15"/>
      <c r="O93" s="15"/>
      <c r="P93" s="59"/>
      <c r="Q93" s="59"/>
      <c r="R93" s="59"/>
      <c r="S93" s="59"/>
      <c r="T93" s="59"/>
      <c r="W93" s="15"/>
      <c r="X93" s="15"/>
      <c r="Y93" s="15"/>
      <c r="Z93" s="15"/>
      <c r="AA93" s="15"/>
    </row>
    <row r="94" spans="1:27" s="16" customFormat="1" x14ac:dyDescent="0.2">
      <c r="A94" s="30">
        <f>A23</f>
        <v>16</v>
      </c>
      <c r="B94" s="18">
        <f>IF(AND(ISNUMBER($A94),ISNUMBER($A100)),IF((RANK(B$4,$B$4:$J$4,1))&lt;=($A94-$A100),1,0),"")</f>
        <v>1</v>
      </c>
      <c r="C94" s="6">
        <f t="shared" ref="C94:J95" si="39">IF(AND(ISNUMBER($A94),ISNUMBER($A100)),IF((RANK(C$4,$B$4:$J$4,1))&lt;=($A94-$A100),1,0),"")</f>
        <v>1</v>
      </c>
      <c r="D94" s="6">
        <f t="shared" si="39"/>
        <v>1</v>
      </c>
      <c r="E94" s="6">
        <f t="shared" si="39"/>
        <v>1</v>
      </c>
      <c r="F94" s="6">
        <f t="shared" si="39"/>
        <v>1</v>
      </c>
      <c r="G94" s="6">
        <f t="shared" si="39"/>
        <v>1</v>
      </c>
      <c r="H94" s="6">
        <f t="shared" si="39"/>
        <v>1</v>
      </c>
      <c r="I94" s="6">
        <f t="shared" si="39"/>
        <v>1</v>
      </c>
      <c r="J94" s="7">
        <f t="shared" si="39"/>
        <v>1</v>
      </c>
      <c r="K94" s="13">
        <f>SUM(B94:J94)</f>
        <v>9</v>
      </c>
      <c r="N94" s="15"/>
      <c r="O94" s="15"/>
      <c r="P94" s="59"/>
      <c r="Q94" s="59"/>
      <c r="R94" s="59"/>
      <c r="S94" s="59"/>
      <c r="T94" s="59"/>
      <c r="W94" s="15"/>
      <c r="X94" s="15"/>
      <c r="Y94" s="15"/>
      <c r="Z94" s="15"/>
      <c r="AA94" s="15"/>
    </row>
    <row r="95" spans="1:27" s="16" customFormat="1" x14ac:dyDescent="0.2">
      <c r="A95" s="30">
        <f>IF((A94-A100)&gt;9,(A94-A100-9),0)</f>
        <v>2</v>
      </c>
      <c r="B95" s="18">
        <f>IF(AND(ISNUMBER($A95),ISNUMBER($A101)),IF((RANK(B$4,$B$4:$J$4,1))&lt;=($A95-$A101),1,0),"")</f>
        <v>0</v>
      </c>
      <c r="C95" s="6">
        <f t="shared" si="39"/>
        <v>0</v>
      </c>
      <c r="D95" s="6">
        <f t="shared" si="39"/>
        <v>1</v>
      </c>
      <c r="E95" s="6">
        <f t="shared" si="39"/>
        <v>0</v>
      </c>
      <c r="F95" s="6">
        <f t="shared" si="39"/>
        <v>1</v>
      </c>
      <c r="G95" s="6">
        <f t="shared" si="39"/>
        <v>0</v>
      </c>
      <c r="H95" s="6">
        <f t="shared" si="39"/>
        <v>0</v>
      </c>
      <c r="I95" s="6">
        <f t="shared" si="39"/>
        <v>0</v>
      </c>
      <c r="J95" s="7">
        <f t="shared" si="39"/>
        <v>0</v>
      </c>
      <c r="K95" s="13">
        <f>SUM(B95:J95)</f>
        <v>2</v>
      </c>
      <c r="N95" s="15"/>
      <c r="O95" s="15"/>
      <c r="P95" s="59"/>
      <c r="Q95" s="59"/>
      <c r="R95" s="59"/>
      <c r="S95" s="59"/>
      <c r="T95" s="59"/>
      <c r="W95" s="15"/>
      <c r="X95" s="15"/>
      <c r="Y95" s="15"/>
      <c r="Z95" s="15"/>
      <c r="AA95" s="15"/>
    </row>
    <row r="96" spans="1:27" s="16" customFormat="1" x14ac:dyDescent="0.2">
      <c r="A96" s="30"/>
      <c r="B96" s="82">
        <f>IF(AND(ISNUMBER(B93),ISNUMBER(B94)),B93-B94-B95," ")</f>
        <v>5</v>
      </c>
      <c r="C96" s="83">
        <f t="shared" ref="C96:J96" si="40">IF(AND(ISNUMBER(C93),ISNUMBER(C94)),C93-C94-C95," ")</f>
        <v>6</v>
      </c>
      <c r="D96" s="83">
        <f t="shared" si="40"/>
        <v>5</v>
      </c>
      <c r="E96" s="83">
        <f t="shared" si="40"/>
        <v>5</v>
      </c>
      <c r="F96" s="83">
        <f t="shared" si="40"/>
        <v>5</v>
      </c>
      <c r="G96" s="83">
        <f t="shared" si="40"/>
        <v>4</v>
      </c>
      <c r="H96" s="83">
        <f t="shared" si="40"/>
        <v>4</v>
      </c>
      <c r="I96" s="83">
        <f t="shared" si="40"/>
        <v>3</v>
      </c>
      <c r="J96" s="84">
        <f t="shared" si="40"/>
        <v>6</v>
      </c>
      <c r="K96" s="13">
        <f>IF(ISNUMBER(FIND("Wins",K97)), 2, IF(ISNUMBER(FIND("Tie",K97)), 1, 0))</f>
        <v>0</v>
      </c>
      <c r="N96" s="15"/>
      <c r="O96" s="15"/>
      <c r="P96" s="59"/>
      <c r="Q96" s="59"/>
      <c r="R96" s="59"/>
      <c r="S96" s="59"/>
      <c r="T96" s="59"/>
      <c r="W96" s="15"/>
      <c r="X96" s="15"/>
      <c r="Y96" s="15"/>
      <c r="Z96" s="15"/>
      <c r="AA96" s="15"/>
    </row>
    <row r="97" spans="1:27" s="16" customFormat="1" ht="13.5" thickBot="1" x14ac:dyDescent="0.25">
      <c r="A97" s="31"/>
      <c r="B97" s="19">
        <f>IF(AND(ISNUMBER(B96),ISNUMBER(B102)),IF(B96&lt;B102, 0+1, (IF(B96&gt;B102, 0-1, 0)))," ")</f>
        <v>-1</v>
      </c>
      <c r="C97" s="9">
        <f t="shared" ref="C97:J97" si="41">IF(AND(ISNUMBER(C96),ISNUMBER(C102)),IF(C96&lt;C102, +B97+1, (IF(C96&gt;C102, +B97-1, +B97)))," ")</f>
        <v>-2</v>
      </c>
      <c r="D97" s="9">
        <f t="shared" si="41"/>
        <v>-3</v>
      </c>
      <c r="E97" s="9">
        <f t="shared" si="41"/>
        <v>-2</v>
      </c>
      <c r="F97" s="9">
        <f t="shared" si="41"/>
        <v>-1</v>
      </c>
      <c r="G97" s="9">
        <f t="shared" si="41"/>
        <v>-2</v>
      </c>
      <c r="H97" s="9">
        <f t="shared" si="41"/>
        <v>-2</v>
      </c>
      <c r="I97" s="9">
        <f t="shared" si="41"/>
        <v>-1</v>
      </c>
      <c r="J97" s="10">
        <f t="shared" si="41"/>
        <v>-1</v>
      </c>
      <c r="K97" s="14" t="str">
        <f>IF(ISNUMBER(J97),IF(F97&gt;4,"Wins " &amp; F97 &amp; " &amp; 4",IF(G97&gt;3,"Wins " &amp; G97 &amp; " &amp; 3",IF(H97&gt;2,"Wins " &amp; H97 &amp; " &amp; 2",IF(I97&gt;1,"Wins " &amp; I97 &amp; " &amp; 1",IF(J97&gt;J103,"Wins " &amp; J97 &amp; " Up",IF(J97&lt;J103,"Loss","Tie"))))))," ")</f>
        <v>Loss</v>
      </c>
      <c r="N97" s="15"/>
      <c r="O97" s="15"/>
      <c r="P97" s="59"/>
      <c r="Q97" s="59"/>
      <c r="R97" s="59"/>
      <c r="S97" s="59"/>
      <c r="T97" s="59"/>
      <c r="W97" s="15"/>
      <c r="X97" s="15"/>
      <c r="Y97" s="15"/>
      <c r="Z97" s="15"/>
      <c r="AA97" s="15"/>
    </row>
    <row r="98" spans="1:27" s="16" customFormat="1" ht="13.5" thickBot="1" x14ac:dyDescent="0.25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N98" s="15"/>
      <c r="O98" s="15"/>
      <c r="P98" s="59"/>
      <c r="Q98" s="59"/>
      <c r="R98" s="59"/>
      <c r="S98" s="59"/>
      <c r="T98" s="59"/>
      <c r="W98" s="15"/>
      <c r="X98" s="15"/>
      <c r="Y98" s="15"/>
      <c r="Z98" s="15"/>
      <c r="AA98" s="15"/>
    </row>
    <row r="99" spans="1:27" s="16" customFormat="1" x14ac:dyDescent="0.2">
      <c r="A99" s="79" t="str">
        <f t="shared" ref="A99:J99" si="42">A28</f>
        <v>Tommy</v>
      </c>
      <c r="B99" s="17">
        <f t="shared" si="42"/>
        <v>3</v>
      </c>
      <c r="C99" s="3">
        <f t="shared" si="42"/>
        <v>5</v>
      </c>
      <c r="D99" s="3">
        <f t="shared" si="42"/>
        <v>4</v>
      </c>
      <c r="E99" s="3">
        <f t="shared" si="42"/>
        <v>7</v>
      </c>
      <c r="F99" s="3">
        <f t="shared" si="42"/>
        <v>6</v>
      </c>
      <c r="G99" s="3">
        <f t="shared" si="42"/>
        <v>3</v>
      </c>
      <c r="H99" s="3">
        <f t="shared" si="42"/>
        <v>4</v>
      </c>
      <c r="I99" s="3">
        <f t="shared" si="42"/>
        <v>5</v>
      </c>
      <c r="J99" s="4">
        <f t="shared" si="42"/>
        <v>6</v>
      </c>
      <c r="K99" s="12">
        <f>SUM(B99:J99)</f>
        <v>43</v>
      </c>
      <c r="N99" s="15"/>
      <c r="O99" s="15"/>
      <c r="P99" s="59"/>
      <c r="Q99" s="59"/>
      <c r="R99" s="59"/>
      <c r="S99" s="59"/>
      <c r="T99" s="59"/>
      <c r="W99" s="15"/>
      <c r="X99" s="15"/>
      <c r="Y99" s="15"/>
      <c r="Z99" s="15"/>
      <c r="AA99" s="15"/>
    </row>
    <row r="100" spans="1:27" s="16" customFormat="1" x14ac:dyDescent="0.2">
      <c r="A100" s="80">
        <f>A29</f>
        <v>5</v>
      </c>
      <c r="B100" s="18">
        <f>IF(AND(ISNUMBER($A94),ISNUMBER($A100)),IF((RANK(B$4,$B$4:$J$4,1))&lt;=($A100-$A94),1,0),"")</f>
        <v>0</v>
      </c>
      <c r="C100" s="6">
        <f t="shared" ref="C100:J101" si="43">IF(AND(ISNUMBER($A94),ISNUMBER($A100)),IF((RANK(C$4,$B$4:$J$4,1))&lt;=($A100-$A94),1,0),"")</f>
        <v>0</v>
      </c>
      <c r="D100" s="6">
        <f t="shared" si="43"/>
        <v>0</v>
      </c>
      <c r="E100" s="6">
        <f t="shared" si="43"/>
        <v>0</v>
      </c>
      <c r="F100" s="6">
        <f t="shared" si="43"/>
        <v>0</v>
      </c>
      <c r="G100" s="6">
        <f t="shared" si="43"/>
        <v>0</v>
      </c>
      <c r="H100" s="6">
        <f t="shared" si="43"/>
        <v>0</v>
      </c>
      <c r="I100" s="6">
        <f t="shared" si="43"/>
        <v>0</v>
      </c>
      <c r="J100" s="7">
        <f t="shared" si="43"/>
        <v>0</v>
      </c>
      <c r="K100" s="13">
        <f>SUM(B100:J100)</f>
        <v>0</v>
      </c>
      <c r="N100" s="15"/>
      <c r="O100" s="15"/>
      <c r="P100" s="59"/>
      <c r="Q100" s="59"/>
      <c r="R100" s="59"/>
      <c r="S100" s="59"/>
      <c r="T100" s="59"/>
      <c r="W100" s="15"/>
      <c r="X100" s="15"/>
      <c r="Y100" s="15"/>
      <c r="Z100" s="15"/>
      <c r="AA100" s="15"/>
    </row>
    <row r="101" spans="1:27" s="16" customFormat="1" x14ac:dyDescent="0.2">
      <c r="A101" s="80">
        <f>IF((A100-A94)&gt;9,(A100-A94-9),0)</f>
        <v>0</v>
      </c>
      <c r="B101" s="18">
        <f>IF(AND(ISNUMBER($A95),ISNUMBER($A101)),IF((RANK(B$4,$B$4:$J$4,1))&lt;=($A101-$A95),1,0),"")</f>
        <v>0</v>
      </c>
      <c r="C101" s="6">
        <f t="shared" si="43"/>
        <v>0</v>
      </c>
      <c r="D101" s="6">
        <f t="shared" si="43"/>
        <v>0</v>
      </c>
      <c r="E101" s="6">
        <f t="shared" si="43"/>
        <v>0</v>
      </c>
      <c r="F101" s="6">
        <f t="shared" si="43"/>
        <v>0</v>
      </c>
      <c r="G101" s="6">
        <f t="shared" si="43"/>
        <v>0</v>
      </c>
      <c r="H101" s="6">
        <f t="shared" si="43"/>
        <v>0</v>
      </c>
      <c r="I101" s="6">
        <f t="shared" si="43"/>
        <v>0</v>
      </c>
      <c r="J101" s="7">
        <f t="shared" si="43"/>
        <v>0</v>
      </c>
      <c r="K101" s="13">
        <f>SUM(B101:J101)</f>
        <v>0</v>
      </c>
      <c r="N101" s="15"/>
      <c r="O101" s="15"/>
      <c r="P101" s="59"/>
      <c r="Q101" s="59"/>
      <c r="R101" s="59"/>
      <c r="S101" s="59"/>
      <c r="T101" s="59"/>
      <c r="W101" s="15"/>
      <c r="X101" s="15"/>
      <c r="Y101" s="15"/>
      <c r="Z101" s="15"/>
      <c r="AA101" s="15"/>
    </row>
    <row r="102" spans="1:27" s="16" customFormat="1" x14ac:dyDescent="0.2">
      <c r="A102" s="80"/>
      <c r="B102" s="82">
        <f>IF(AND(ISNUMBER(B99),ISNUMBER(B100)),B99-B100-B101," ")</f>
        <v>3</v>
      </c>
      <c r="C102" s="83">
        <f t="shared" ref="C102:J102" si="44">IF(AND(ISNUMBER(C99),ISNUMBER(C100)),C99-C100-C101," ")</f>
        <v>5</v>
      </c>
      <c r="D102" s="83">
        <f t="shared" si="44"/>
        <v>4</v>
      </c>
      <c r="E102" s="83">
        <f t="shared" si="44"/>
        <v>7</v>
      </c>
      <c r="F102" s="83">
        <f t="shared" si="44"/>
        <v>6</v>
      </c>
      <c r="G102" s="83">
        <f t="shared" si="44"/>
        <v>3</v>
      </c>
      <c r="H102" s="83">
        <f t="shared" si="44"/>
        <v>4</v>
      </c>
      <c r="I102" s="83">
        <f t="shared" si="44"/>
        <v>5</v>
      </c>
      <c r="J102" s="84">
        <f t="shared" si="44"/>
        <v>6</v>
      </c>
      <c r="K102" s="13">
        <f>IF(ISNUMBER(FIND("Wins",K103)), 2, IF(ISNUMBER(FIND("Tie",K103)), 1, 0))</f>
        <v>2</v>
      </c>
      <c r="N102" s="15"/>
      <c r="O102" s="15"/>
      <c r="P102" s="59"/>
      <c r="Q102" s="59"/>
      <c r="R102" s="59"/>
      <c r="S102" s="59"/>
      <c r="T102" s="59"/>
      <c r="W102" s="15"/>
      <c r="X102" s="15"/>
      <c r="Y102" s="15"/>
      <c r="Z102" s="15"/>
      <c r="AA102" s="15"/>
    </row>
    <row r="103" spans="1:27" s="16" customFormat="1" ht="13.5" thickBot="1" x14ac:dyDescent="0.25">
      <c r="A103" s="81"/>
      <c r="B103" s="19">
        <f>IF(AND(ISNUMBER(B96),ISNUMBER(B102)),IF(B102&lt;B96, 0+1, (IF(B102&gt;B96, 0-1, 0)))," ")</f>
        <v>1</v>
      </c>
      <c r="C103" s="9">
        <f t="shared" ref="C103:J103" si="45">IF(AND(ISNUMBER(C96),ISNUMBER(C102)),IF(C102&lt;C96, +B103+1, (IF(C102&gt;C96, +B103-1, +B103)))," ")</f>
        <v>2</v>
      </c>
      <c r="D103" s="9">
        <f t="shared" si="45"/>
        <v>3</v>
      </c>
      <c r="E103" s="9">
        <f t="shared" si="45"/>
        <v>2</v>
      </c>
      <c r="F103" s="9">
        <f t="shared" si="45"/>
        <v>1</v>
      </c>
      <c r="G103" s="9">
        <f t="shared" si="45"/>
        <v>2</v>
      </c>
      <c r="H103" s="9">
        <f t="shared" si="45"/>
        <v>2</v>
      </c>
      <c r="I103" s="9">
        <f t="shared" si="45"/>
        <v>1</v>
      </c>
      <c r="J103" s="10">
        <f t="shared" si="45"/>
        <v>1</v>
      </c>
      <c r="K103" s="14" t="str">
        <f>IF(ISNUMBER(J103),IF(F103&gt;4,"Wins " &amp; F103 &amp; " &amp; 4",IF(G103&gt;3,"Wins " &amp; G103 &amp; " &amp; 3",IF(H103&gt;2,"Wins " &amp; H103 &amp; " &amp; 2",IF(I103&gt;1,"Wins " &amp; I103 &amp; " &amp; 1",IF(J103&gt;J97,"Wins " &amp; J103 &amp; " Up",IF(J103&lt;J97,"Loss","Tie"))))))," ")</f>
        <v>Wins 1 Up</v>
      </c>
      <c r="N103" s="15"/>
      <c r="O103" s="15"/>
      <c r="P103" s="59"/>
      <c r="Q103" s="59"/>
      <c r="R103" s="59"/>
      <c r="S103" s="59"/>
      <c r="T103" s="59"/>
      <c r="W103" s="15"/>
      <c r="X103" s="15"/>
      <c r="Y103" s="15"/>
      <c r="Z103" s="15"/>
      <c r="AA103" s="15"/>
    </row>
    <row r="104" spans="1:27" s="16" customFormat="1" x14ac:dyDescent="0.2">
      <c r="A104" s="2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N104" s="15"/>
      <c r="O104" s="15"/>
      <c r="P104" s="59"/>
      <c r="Q104" s="59"/>
      <c r="R104" s="59"/>
      <c r="S104" s="59"/>
      <c r="T104" s="59"/>
      <c r="W104" s="15"/>
      <c r="X104" s="15"/>
      <c r="Y104" s="15"/>
      <c r="Z104" s="15"/>
      <c r="AA104" s="15"/>
    </row>
    <row r="105" spans="1:27" s="16" customFormat="1" ht="13.5" thickBot="1" x14ac:dyDescent="0.25">
      <c r="A105" s="24" t="s">
        <v>13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N105" s="15"/>
      <c r="O105" s="15"/>
      <c r="P105" s="59"/>
      <c r="Q105" s="59"/>
      <c r="R105" s="59"/>
      <c r="S105" s="59"/>
      <c r="T105" s="59"/>
      <c r="W105" s="15"/>
      <c r="X105" s="15"/>
      <c r="Y105" s="15"/>
      <c r="Z105" s="15"/>
      <c r="AA105" s="15"/>
    </row>
    <row r="106" spans="1:27" s="16" customFormat="1" x14ac:dyDescent="0.2">
      <c r="A106" s="29" t="str">
        <f t="shared" ref="A106:J106" si="46">A26</f>
        <v>Brian P</v>
      </c>
      <c r="B106" s="17">
        <f t="shared" si="46"/>
        <v>8</v>
      </c>
      <c r="C106" s="3">
        <f t="shared" si="46"/>
        <v>5</v>
      </c>
      <c r="D106" s="3">
        <f t="shared" si="46"/>
        <v>4</v>
      </c>
      <c r="E106" s="3">
        <f t="shared" si="46"/>
        <v>3</v>
      </c>
      <c r="F106" s="3">
        <f t="shared" si="46"/>
        <v>5</v>
      </c>
      <c r="G106" s="3">
        <f t="shared" si="46"/>
        <v>5</v>
      </c>
      <c r="H106" s="3">
        <f t="shared" si="46"/>
        <v>4</v>
      </c>
      <c r="I106" s="3">
        <f t="shared" si="46"/>
        <v>3</v>
      </c>
      <c r="J106" s="4">
        <f t="shared" si="46"/>
        <v>5</v>
      </c>
      <c r="K106" s="12">
        <f>SUM(B106:J106)</f>
        <v>42</v>
      </c>
      <c r="N106" s="15"/>
      <c r="O106" s="15"/>
      <c r="P106" s="59"/>
      <c r="Q106" s="59"/>
      <c r="R106" s="59"/>
      <c r="S106" s="59"/>
      <c r="T106" s="59"/>
      <c r="W106" s="15"/>
      <c r="X106" s="15"/>
      <c r="Y106" s="15"/>
      <c r="Z106" s="15"/>
      <c r="AA106" s="15"/>
    </row>
    <row r="107" spans="1:27" s="16" customFormat="1" x14ac:dyDescent="0.2">
      <c r="A107" s="30">
        <f>A27</f>
        <v>6</v>
      </c>
      <c r="B107" s="18">
        <f>IF(AND(ISNUMBER($A107),ISNUMBER($A113)),IF((RANK(B$4,$B$4:$J$4,1))&lt;=($A107-$A113),1,0),"")</f>
        <v>0</v>
      </c>
      <c r="C107" s="6">
        <f t="shared" ref="C107:J108" si="47">IF(AND(ISNUMBER($A107),ISNUMBER($A113)),IF((RANK(C$4,$B$4:$J$4,1))&lt;=($A107-$A113),1,0),"")</f>
        <v>0</v>
      </c>
      <c r="D107" s="6">
        <f t="shared" si="47"/>
        <v>0</v>
      </c>
      <c r="E107" s="6">
        <f t="shared" si="47"/>
        <v>0</v>
      </c>
      <c r="F107" s="6">
        <f t="shared" si="47"/>
        <v>0</v>
      </c>
      <c r="G107" s="6">
        <f t="shared" si="47"/>
        <v>0</v>
      </c>
      <c r="H107" s="6">
        <f t="shared" si="47"/>
        <v>0</v>
      </c>
      <c r="I107" s="6">
        <f t="shared" si="47"/>
        <v>0</v>
      </c>
      <c r="J107" s="7">
        <f t="shared" si="47"/>
        <v>0</v>
      </c>
      <c r="K107" s="13">
        <f>SUM(B107:J107)</f>
        <v>0</v>
      </c>
      <c r="N107" s="15"/>
      <c r="O107" s="15"/>
      <c r="P107" s="59"/>
      <c r="Q107" s="59"/>
      <c r="R107" s="59"/>
      <c r="S107" s="59"/>
      <c r="T107" s="59"/>
      <c r="W107" s="15"/>
      <c r="X107" s="15"/>
      <c r="Y107" s="15"/>
      <c r="Z107" s="15"/>
      <c r="AA107" s="15"/>
    </row>
    <row r="108" spans="1:27" s="16" customFormat="1" x14ac:dyDescent="0.2">
      <c r="A108" s="30">
        <f>IF((A107-A113)&gt;9,(A107-A113-9),0)</f>
        <v>0</v>
      </c>
      <c r="B108" s="18">
        <f>IF(AND(ISNUMBER($A108),ISNUMBER($A114)),IF((RANK(B$4,$B$4:$J$4,1))&lt;=($A108-$A114),1,0),"")</f>
        <v>0</v>
      </c>
      <c r="C108" s="6">
        <f t="shared" si="47"/>
        <v>0</v>
      </c>
      <c r="D108" s="6">
        <f t="shared" si="47"/>
        <v>0</v>
      </c>
      <c r="E108" s="6">
        <f t="shared" si="47"/>
        <v>0</v>
      </c>
      <c r="F108" s="6">
        <f t="shared" si="47"/>
        <v>0</v>
      </c>
      <c r="G108" s="6">
        <f t="shared" si="47"/>
        <v>0</v>
      </c>
      <c r="H108" s="6">
        <f t="shared" si="47"/>
        <v>0</v>
      </c>
      <c r="I108" s="6">
        <f t="shared" si="47"/>
        <v>0</v>
      </c>
      <c r="J108" s="7">
        <f t="shared" si="47"/>
        <v>0</v>
      </c>
      <c r="K108" s="13">
        <f>SUM(B108:J108)</f>
        <v>0</v>
      </c>
      <c r="N108" s="15"/>
      <c r="O108" s="15"/>
      <c r="P108" s="59"/>
      <c r="Q108" s="59"/>
      <c r="R108" s="59"/>
      <c r="S108" s="59"/>
      <c r="T108" s="59"/>
      <c r="W108" s="15"/>
      <c r="X108" s="15"/>
      <c r="Y108" s="15"/>
      <c r="Z108" s="15"/>
      <c r="AA108" s="15"/>
    </row>
    <row r="109" spans="1:27" s="16" customFormat="1" x14ac:dyDescent="0.2">
      <c r="A109" s="30"/>
      <c r="B109" s="82">
        <f>IF(AND(ISNUMBER(B106),ISNUMBER(B107)),B106-B107-B108," ")</f>
        <v>8</v>
      </c>
      <c r="C109" s="83">
        <f t="shared" ref="C109:J109" si="48">IF(AND(ISNUMBER(C106),ISNUMBER(C107)),C106-C107-C108," ")</f>
        <v>5</v>
      </c>
      <c r="D109" s="83">
        <f t="shared" si="48"/>
        <v>4</v>
      </c>
      <c r="E109" s="83">
        <f t="shared" si="48"/>
        <v>3</v>
      </c>
      <c r="F109" s="83">
        <f t="shared" si="48"/>
        <v>5</v>
      </c>
      <c r="G109" s="83">
        <f t="shared" si="48"/>
        <v>5</v>
      </c>
      <c r="H109" s="83">
        <f t="shared" si="48"/>
        <v>4</v>
      </c>
      <c r="I109" s="83">
        <f t="shared" si="48"/>
        <v>3</v>
      </c>
      <c r="J109" s="84">
        <f t="shared" si="48"/>
        <v>5</v>
      </c>
      <c r="K109" s="13">
        <f>IF(ISNUMBER(FIND("Wins",K110)), 2, IF(ISNUMBER(FIND("Tie",K110)), 1, 0))</f>
        <v>2</v>
      </c>
      <c r="N109" s="15"/>
      <c r="O109" s="15"/>
      <c r="P109" s="59"/>
      <c r="Q109" s="59"/>
      <c r="R109" s="59"/>
      <c r="S109" s="59"/>
      <c r="T109" s="59"/>
      <c r="W109" s="15"/>
      <c r="X109" s="15"/>
      <c r="Y109" s="15"/>
      <c r="Z109" s="15"/>
      <c r="AA109" s="15"/>
    </row>
    <row r="110" spans="1:27" s="16" customFormat="1" ht="13.5" thickBot="1" x14ac:dyDescent="0.25">
      <c r="A110" s="31"/>
      <c r="B110" s="19">
        <f>IF(AND(ISNUMBER(B109),ISNUMBER(B115)),IF(B109&lt;B115, 0+1, (IF(B109&gt;B115, 0-1, 0)))," ")</f>
        <v>-1</v>
      </c>
      <c r="C110" s="9">
        <f t="shared" ref="C110:J110" si="49">IF(AND(ISNUMBER(C109),ISNUMBER(C115)),IF(C109&lt;C115, +B110+1, (IF(C109&gt;C115, +B110-1, +B110)))," ")</f>
        <v>-2</v>
      </c>
      <c r="D110" s="9">
        <f t="shared" si="49"/>
        <v>-1</v>
      </c>
      <c r="E110" s="9">
        <f t="shared" si="49"/>
        <v>0</v>
      </c>
      <c r="F110" s="9">
        <f t="shared" si="49"/>
        <v>0</v>
      </c>
      <c r="G110" s="9">
        <f t="shared" si="49"/>
        <v>1</v>
      </c>
      <c r="H110" s="9">
        <f t="shared" si="49"/>
        <v>2</v>
      </c>
      <c r="I110" s="9">
        <f t="shared" si="49"/>
        <v>2</v>
      </c>
      <c r="J110" s="10">
        <f t="shared" si="49"/>
        <v>2</v>
      </c>
      <c r="K110" s="14" t="str">
        <f>IF(ISNUMBER(J110),IF(F110&gt;4,"Wins " &amp; F110 &amp; " &amp; 4",IF(G110&gt;3,"Wins " &amp; G110 &amp; " &amp; 3",IF(H110&gt;2,"Wins " &amp; H110 &amp; " &amp; 2",IF(I110&gt;1,"Wins " &amp; I110 &amp; " &amp; 1",IF(J110&gt;J116,"Wins " &amp; J110 &amp; " Up",IF(J110&lt;J116,"Loss","Tie"))))))," ")</f>
        <v>Wins 2 &amp; 1</v>
      </c>
      <c r="N110" s="15"/>
      <c r="O110" s="15"/>
      <c r="P110" s="59"/>
      <c r="Q110" s="59"/>
      <c r="R110" s="59"/>
      <c r="S110" s="59"/>
      <c r="T110" s="59"/>
      <c r="W110" s="15"/>
      <c r="X110" s="15"/>
      <c r="Y110" s="15"/>
      <c r="Z110" s="15"/>
      <c r="AA110" s="15"/>
    </row>
    <row r="111" spans="1:27" s="16" customFormat="1" ht="13.5" thickBot="1" x14ac:dyDescent="0.25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N111" s="15"/>
      <c r="O111" s="15"/>
      <c r="P111" s="59"/>
      <c r="Q111" s="59"/>
      <c r="R111" s="59"/>
      <c r="S111" s="59"/>
      <c r="T111" s="59"/>
      <c r="W111" s="15"/>
      <c r="X111" s="15"/>
      <c r="Y111" s="15"/>
      <c r="Z111" s="15"/>
      <c r="AA111" s="15"/>
    </row>
    <row r="112" spans="1:27" s="16" customFormat="1" x14ac:dyDescent="0.2">
      <c r="A112" s="79" t="str">
        <f t="shared" ref="A112:J112" si="50">A24</f>
        <v>Chris</v>
      </c>
      <c r="B112" s="17">
        <f t="shared" si="50"/>
        <v>8</v>
      </c>
      <c r="C112" s="3">
        <f t="shared" si="50"/>
        <v>4</v>
      </c>
      <c r="D112" s="3">
        <f t="shared" si="50"/>
        <v>7</v>
      </c>
      <c r="E112" s="3">
        <f t="shared" si="50"/>
        <v>5</v>
      </c>
      <c r="F112" s="3">
        <f t="shared" si="50"/>
        <v>6</v>
      </c>
      <c r="G112" s="3">
        <f t="shared" si="50"/>
        <v>7</v>
      </c>
      <c r="H112" s="3">
        <f t="shared" si="50"/>
        <v>6</v>
      </c>
      <c r="I112" s="3">
        <f t="shared" si="50"/>
        <v>4</v>
      </c>
      <c r="J112" s="4">
        <f t="shared" si="50"/>
        <v>6</v>
      </c>
      <c r="K112" s="12">
        <f>SUM(B112:J112)</f>
        <v>53</v>
      </c>
      <c r="N112" s="15"/>
      <c r="O112" s="15"/>
      <c r="P112" s="59"/>
      <c r="Q112" s="59"/>
      <c r="R112" s="59"/>
      <c r="S112" s="59"/>
      <c r="T112" s="59"/>
      <c r="W112" s="15"/>
      <c r="X112" s="15"/>
      <c r="Y112" s="15"/>
      <c r="Z112" s="15"/>
      <c r="AA112" s="15"/>
    </row>
    <row r="113" spans="1:27" s="16" customFormat="1" x14ac:dyDescent="0.2">
      <c r="A113" s="80">
        <f>A25</f>
        <v>15</v>
      </c>
      <c r="B113" s="18">
        <f>IF(AND(ISNUMBER($A107),ISNUMBER($A113)),IF((RANK(B$4,$B$4:$J$4,1))&lt;=($A113-$A107),1,0),"")</f>
        <v>1</v>
      </c>
      <c r="C113" s="6">
        <f t="shared" ref="C113:J114" si="51">IF(AND(ISNUMBER($A107),ISNUMBER($A113)),IF((RANK(C$4,$B$4:$J$4,1))&lt;=($A113-$A107),1,0),"")</f>
        <v>1</v>
      </c>
      <c r="D113" s="6">
        <f t="shared" si="51"/>
        <v>1</v>
      </c>
      <c r="E113" s="6">
        <f t="shared" si="51"/>
        <v>1</v>
      </c>
      <c r="F113" s="6">
        <f t="shared" si="51"/>
        <v>1</v>
      </c>
      <c r="G113" s="6">
        <f t="shared" si="51"/>
        <v>1</v>
      </c>
      <c r="H113" s="6">
        <f t="shared" si="51"/>
        <v>1</v>
      </c>
      <c r="I113" s="6">
        <f t="shared" si="51"/>
        <v>1</v>
      </c>
      <c r="J113" s="7">
        <f t="shared" si="51"/>
        <v>1</v>
      </c>
      <c r="K113" s="13">
        <f>SUM(B113:J113)</f>
        <v>9</v>
      </c>
      <c r="N113" s="15"/>
      <c r="O113" s="15"/>
      <c r="P113" s="59"/>
      <c r="Q113" s="59"/>
      <c r="R113" s="59"/>
      <c r="S113" s="59"/>
      <c r="T113" s="59"/>
      <c r="W113" s="15"/>
      <c r="X113" s="15"/>
      <c r="Y113" s="15"/>
      <c r="Z113" s="15"/>
      <c r="AA113" s="15"/>
    </row>
    <row r="114" spans="1:27" s="16" customFormat="1" x14ac:dyDescent="0.2">
      <c r="A114" s="80">
        <f>IF((A113-A107)&gt;9,(A113-A107-9),0)</f>
        <v>0</v>
      </c>
      <c r="B114" s="18">
        <f>IF(AND(ISNUMBER($A108),ISNUMBER($A114)),IF((RANK(B$4,$B$4:$J$4,1))&lt;=($A114-$A108),1,0),"")</f>
        <v>0</v>
      </c>
      <c r="C114" s="6">
        <f t="shared" si="51"/>
        <v>0</v>
      </c>
      <c r="D114" s="6">
        <f t="shared" si="51"/>
        <v>0</v>
      </c>
      <c r="E114" s="6">
        <f t="shared" si="51"/>
        <v>0</v>
      </c>
      <c r="F114" s="6">
        <f t="shared" si="51"/>
        <v>0</v>
      </c>
      <c r="G114" s="6">
        <f t="shared" si="51"/>
        <v>0</v>
      </c>
      <c r="H114" s="6">
        <f t="shared" si="51"/>
        <v>0</v>
      </c>
      <c r="I114" s="6">
        <f t="shared" si="51"/>
        <v>0</v>
      </c>
      <c r="J114" s="7">
        <f t="shared" si="51"/>
        <v>0</v>
      </c>
      <c r="K114" s="13">
        <f>SUM(B114:J114)</f>
        <v>0</v>
      </c>
      <c r="N114" s="15"/>
      <c r="O114" s="15"/>
      <c r="P114" s="59"/>
      <c r="Q114" s="59"/>
      <c r="R114" s="59"/>
      <c r="S114" s="59"/>
      <c r="T114" s="59"/>
      <c r="W114" s="15"/>
      <c r="X114" s="15"/>
      <c r="Y114" s="15"/>
      <c r="Z114" s="15"/>
      <c r="AA114" s="15"/>
    </row>
    <row r="115" spans="1:27" s="16" customFormat="1" x14ac:dyDescent="0.2">
      <c r="A115" s="80"/>
      <c r="B115" s="82">
        <f>IF(AND(ISNUMBER(B112),ISNUMBER(B113)),B112-B113-B114," ")</f>
        <v>7</v>
      </c>
      <c r="C115" s="83">
        <f t="shared" ref="C115:J115" si="52">IF(AND(ISNUMBER(C112),ISNUMBER(C113)),C112-C113-C114," ")</f>
        <v>3</v>
      </c>
      <c r="D115" s="83">
        <f t="shared" si="52"/>
        <v>6</v>
      </c>
      <c r="E115" s="83">
        <f t="shared" si="52"/>
        <v>4</v>
      </c>
      <c r="F115" s="83">
        <f t="shared" si="52"/>
        <v>5</v>
      </c>
      <c r="G115" s="83">
        <f t="shared" si="52"/>
        <v>6</v>
      </c>
      <c r="H115" s="83">
        <f t="shared" si="52"/>
        <v>5</v>
      </c>
      <c r="I115" s="83">
        <f t="shared" si="52"/>
        <v>3</v>
      </c>
      <c r="J115" s="84">
        <f t="shared" si="52"/>
        <v>5</v>
      </c>
      <c r="K115" s="13">
        <f>IF(ISNUMBER(FIND("Wins",K116)), 2, IF(ISNUMBER(FIND("Tie",K116)), 1, 0))</f>
        <v>0</v>
      </c>
      <c r="N115" s="15"/>
      <c r="O115" s="15"/>
      <c r="P115" s="59"/>
      <c r="Q115" s="59"/>
      <c r="R115" s="59"/>
      <c r="S115" s="59"/>
      <c r="T115" s="59"/>
      <c r="W115" s="15"/>
      <c r="X115" s="15"/>
      <c r="Y115" s="15"/>
      <c r="Z115" s="15"/>
      <c r="AA115" s="15"/>
    </row>
    <row r="116" spans="1:27" s="16" customFormat="1" ht="13.5" thickBot="1" x14ac:dyDescent="0.25">
      <c r="A116" s="81"/>
      <c r="B116" s="19">
        <f>IF(AND(ISNUMBER(B109),ISNUMBER(B115)),IF(B115&lt;B109, 0+1, (IF(B115&gt;B109, 0-1, 0)))," ")</f>
        <v>1</v>
      </c>
      <c r="C116" s="9">
        <f t="shared" ref="C116:J116" si="53">IF(AND(ISNUMBER(C109),ISNUMBER(C115)),IF(C115&lt;C109, +B116+1, (IF(C115&gt;C109, +B116-1, +B116)))," ")</f>
        <v>2</v>
      </c>
      <c r="D116" s="9">
        <f t="shared" si="53"/>
        <v>1</v>
      </c>
      <c r="E116" s="9">
        <f t="shared" si="53"/>
        <v>0</v>
      </c>
      <c r="F116" s="9">
        <f t="shared" si="53"/>
        <v>0</v>
      </c>
      <c r="G116" s="9">
        <f t="shared" si="53"/>
        <v>-1</v>
      </c>
      <c r="H116" s="9">
        <f t="shared" si="53"/>
        <v>-2</v>
      </c>
      <c r="I116" s="9">
        <f t="shared" si="53"/>
        <v>-2</v>
      </c>
      <c r="J116" s="10">
        <f t="shared" si="53"/>
        <v>-2</v>
      </c>
      <c r="K116" s="14" t="str">
        <f>IF(ISNUMBER(J116),IF(F116&gt;4,"Wins " &amp; F116 &amp; " &amp; 4",IF(G116&gt;3,"Wins " &amp; G116 &amp; " &amp; 3",IF(H116&gt;2,"Wins " &amp; H116 &amp; " &amp; 2",IF(I116&gt;1,"Wins " &amp; I116 &amp; " &amp; 1",IF(J116&gt;J110,"Wins " &amp; J116 &amp; " Up",IF(J116&lt;J110,"Loss","Tie"))))))," ")</f>
        <v>Loss</v>
      </c>
      <c r="N116" s="15"/>
      <c r="O116" s="15"/>
      <c r="P116" s="59"/>
      <c r="Q116" s="59"/>
      <c r="R116" s="59"/>
      <c r="S116" s="59"/>
      <c r="T116" s="59"/>
      <c r="W116" s="15"/>
      <c r="X116" s="15"/>
      <c r="Y116" s="15"/>
      <c r="Z116" s="15"/>
      <c r="AA116" s="15"/>
    </row>
    <row r="117" spans="1:27" s="16" customFormat="1" x14ac:dyDescent="0.2">
      <c r="A117" s="26"/>
      <c r="B117" s="85"/>
      <c r="C117" s="85"/>
      <c r="D117" s="85"/>
      <c r="E117" s="85"/>
      <c r="F117" s="85"/>
      <c r="G117" s="85"/>
      <c r="H117" s="85"/>
      <c r="I117" s="85"/>
      <c r="J117" s="85"/>
      <c r="K117" s="15"/>
      <c r="N117" s="15"/>
      <c r="O117" s="15"/>
      <c r="P117" s="59"/>
      <c r="Q117" s="59"/>
      <c r="R117" s="59"/>
      <c r="S117" s="59"/>
      <c r="T117" s="59"/>
      <c r="W117" s="15"/>
      <c r="X117" s="15"/>
      <c r="Y117" s="15"/>
      <c r="Z117" s="15"/>
      <c r="AA117" s="15"/>
    </row>
    <row r="118" spans="1:27" ht="13.5" thickBot="1" x14ac:dyDescent="0.25">
      <c r="A118" s="24" t="s">
        <v>82</v>
      </c>
    </row>
    <row r="119" spans="1:27" x14ac:dyDescent="0.2">
      <c r="A119" s="79" t="str">
        <f t="shared" ref="A119:J119" si="54">A30</f>
        <v>Gerald C</v>
      </c>
      <c r="B119" s="17">
        <f t="shared" si="54"/>
        <v>5</v>
      </c>
      <c r="C119" s="3">
        <f t="shared" si="54"/>
        <v>6</v>
      </c>
      <c r="D119" s="3">
        <f t="shared" si="54"/>
        <v>6</v>
      </c>
      <c r="E119" s="3">
        <f t="shared" si="54"/>
        <v>5</v>
      </c>
      <c r="F119" s="3">
        <f t="shared" si="54"/>
        <v>9</v>
      </c>
      <c r="G119" s="3">
        <f t="shared" si="54"/>
        <v>4</v>
      </c>
      <c r="H119" s="3">
        <f t="shared" si="54"/>
        <v>7</v>
      </c>
      <c r="I119" s="3">
        <f t="shared" si="54"/>
        <v>5</v>
      </c>
      <c r="J119" s="4">
        <f t="shared" si="54"/>
        <v>6</v>
      </c>
      <c r="K119" s="12">
        <f>SUM(B119:J119)</f>
        <v>53</v>
      </c>
    </row>
    <row r="120" spans="1:27" x14ac:dyDescent="0.2">
      <c r="A120" s="80">
        <f>A31</f>
        <v>12</v>
      </c>
      <c r="B120" s="18">
        <f>IF(AND(ISNUMBER($A120),ISNUMBER($A126)),IF((RANK(B$4,$B$4:$J$4,1))&lt;=($A120-$A126),1,0),"")</f>
        <v>0</v>
      </c>
      <c r="C120" s="6">
        <f t="shared" ref="C120:J120" si="55">IF(AND(ISNUMBER($A120),ISNUMBER($A126)),IF((RANK(C$4,$B$4:$J$4,1))&lt;=($A120-$A126),1,0),"")</f>
        <v>0</v>
      </c>
      <c r="D120" s="6">
        <f t="shared" si="55"/>
        <v>1</v>
      </c>
      <c r="E120" s="6">
        <f t="shared" si="55"/>
        <v>0</v>
      </c>
      <c r="F120" s="6">
        <f t="shared" si="55"/>
        <v>1</v>
      </c>
      <c r="G120" s="6">
        <f t="shared" si="55"/>
        <v>0</v>
      </c>
      <c r="H120" s="6">
        <f t="shared" si="55"/>
        <v>0</v>
      </c>
      <c r="I120" s="6">
        <f t="shared" si="55"/>
        <v>0</v>
      </c>
      <c r="J120" s="7">
        <f t="shared" si="55"/>
        <v>0</v>
      </c>
      <c r="K120" s="13">
        <f>SUM(B120:J120)</f>
        <v>2</v>
      </c>
    </row>
    <row r="121" spans="1:27" x14ac:dyDescent="0.2">
      <c r="A121" s="80">
        <f>IF((A120-A126)&gt;9,(A120-A126-9),0)</f>
        <v>0</v>
      </c>
      <c r="B121" s="18">
        <f>IF(AND(ISNUMBER($A121),ISNUMBER($A127)),IF((RANK(B$4,$B$4:$J$4,1))&lt;=($A121-$A127),1,0),"")</f>
        <v>0</v>
      </c>
      <c r="C121" s="6">
        <f t="shared" ref="C121:J121" si="56">IF(AND(ISNUMBER($A121),ISNUMBER($A127)),IF((RANK(C$4,$B$4:$J$4,1))&lt;=($A121-$A127),1,0),"")</f>
        <v>0</v>
      </c>
      <c r="D121" s="6">
        <f t="shared" si="56"/>
        <v>0</v>
      </c>
      <c r="E121" s="6">
        <f t="shared" si="56"/>
        <v>0</v>
      </c>
      <c r="F121" s="6">
        <f t="shared" si="56"/>
        <v>0</v>
      </c>
      <c r="G121" s="6">
        <f t="shared" si="56"/>
        <v>0</v>
      </c>
      <c r="H121" s="6">
        <f t="shared" si="56"/>
        <v>0</v>
      </c>
      <c r="I121" s="6">
        <f t="shared" si="56"/>
        <v>0</v>
      </c>
      <c r="J121" s="7">
        <f t="shared" si="56"/>
        <v>0</v>
      </c>
      <c r="K121" s="13">
        <f>SUM(B121:J121)</f>
        <v>0</v>
      </c>
    </row>
    <row r="122" spans="1:27" x14ac:dyDescent="0.2">
      <c r="A122" s="80"/>
      <c r="B122" s="82">
        <f>IF(AND(ISNUMBER(B119),ISNUMBER(B120)),B119-B120-B121," ")</f>
        <v>5</v>
      </c>
      <c r="C122" s="83">
        <f t="shared" ref="C122:J122" si="57">IF(AND(ISNUMBER(C119),ISNUMBER(C120)),C119-C120-C121," ")</f>
        <v>6</v>
      </c>
      <c r="D122" s="83">
        <f t="shared" si="57"/>
        <v>5</v>
      </c>
      <c r="E122" s="83">
        <f t="shared" si="57"/>
        <v>5</v>
      </c>
      <c r="F122" s="83">
        <f t="shared" si="57"/>
        <v>8</v>
      </c>
      <c r="G122" s="83">
        <f t="shared" si="57"/>
        <v>4</v>
      </c>
      <c r="H122" s="83">
        <f t="shared" si="57"/>
        <v>7</v>
      </c>
      <c r="I122" s="83">
        <f t="shared" si="57"/>
        <v>5</v>
      </c>
      <c r="J122" s="84">
        <f t="shared" si="57"/>
        <v>6</v>
      </c>
      <c r="K122" s="13">
        <f>IF(ISNUMBER(FIND("Wins",K123)), 2, IF(ISNUMBER(FIND("Tie",K123)), 1, 0))</f>
        <v>2</v>
      </c>
    </row>
    <row r="123" spans="1:27" ht="13.5" thickBot="1" x14ac:dyDescent="0.25">
      <c r="A123" s="81"/>
      <c r="B123" s="19">
        <f>IF(AND(ISNUMBER(B122),ISNUMBER(B128)),IF(B122&lt;B128, 0+1, (IF(B122&gt;B128, 0-1, 0)))," ")</f>
        <v>1</v>
      </c>
      <c r="C123" s="9">
        <f t="shared" ref="C123:J123" si="58">IF(AND(ISNUMBER(C122),ISNUMBER(C128)),IF(C122&lt;C128, +B123+1, (IF(C122&gt;C128, +B123-1, +B123)))," ")</f>
        <v>1</v>
      </c>
      <c r="D123" s="9">
        <f t="shared" si="58"/>
        <v>2</v>
      </c>
      <c r="E123" s="9">
        <f t="shared" si="58"/>
        <v>2</v>
      </c>
      <c r="F123" s="9">
        <f t="shared" si="58"/>
        <v>1</v>
      </c>
      <c r="G123" s="9">
        <f t="shared" si="58"/>
        <v>1</v>
      </c>
      <c r="H123" s="9">
        <f t="shared" si="58"/>
        <v>0</v>
      </c>
      <c r="I123" s="9">
        <f t="shared" si="58"/>
        <v>1</v>
      </c>
      <c r="J123" s="10">
        <f t="shared" si="58"/>
        <v>2</v>
      </c>
      <c r="K123" s="14" t="str">
        <f>IF(ISNUMBER(J123),IF(F123&gt;4,"Wins " &amp; F123 &amp; " &amp; 4",IF(G123&gt;3,"Wins " &amp; G123 &amp; " &amp; 3",IF(H123&gt;2,"Wins " &amp; H123 &amp; " &amp; 2",IF(I123&gt;1,"Wins " &amp; I123 &amp; " &amp; 1",IF(J123&gt;J129,"Wins " &amp; J123 &amp; " Up",IF(J123&lt;J129,"Loss","Tie"))))))," ")</f>
        <v>Wins 2 Up</v>
      </c>
    </row>
    <row r="124" spans="1:27" ht="13.5" thickBot="1" x14ac:dyDescent="0.25">
      <c r="A124" s="32"/>
    </row>
    <row r="125" spans="1:27" x14ac:dyDescent="0.2">
      <c r="A125" s="79" t="str">
        <f t="shared" ref="A125:J125" si="59">A36</f>
        <v>Bob</v>
      </c>
      <c r="B125" s="17">
        <f t="shared" si="59"/>
        <v>7</v>
      </c>
      <c r="C125" s="3">
        <f t="shared" si="59"/>
        <v>6</v>
      </c>
      <c r="D125" s="3">
        <f t="shared" si="59"/>
        <v>7</v>
      </c>
      <c r="E125" s="3">
        <f t="shared" si="59"/>
        <v>5</v>
      </c>
      <c r="F125" s="3">
        <f t="shared" si="59"/>
        <v>6</v>
      </c>
      <c r="G125" s="3">
        <f t="shared" si="59"/>
        <v>4</v>
      </c>
      <c r="H125" s="3">
        <f t="shared" si="59"/>
        <v>6</v>
      </c>
      <c r="I125" s="3">
        <f t="shared" si="59"/>
        <v>6</v>
      </c>
      <c r="J125" s="4">
        <f t="shared" si="59"/>
        <v>10</v>
      </c>
      <c r="K125" s="12">
        <f>SUM(B125:J125)</f>
        <v>57</v>
      </c>
    </row>
    <row r="126" spans="1:27" x14ac:dyDescent="0.2">
      <c r="A126" s="80">
        <f>A37</f>
        <v>10</v>
      </c>
      <c r="B126" s="18">
        <f>IF(AND(ISNUMBER($A120),ISNUMBER($A126)),IF((RANK(B$4,$B$4:$J$4,1))&lt;=($A126-$A120),1,0),"")</f>
        <v>0</v>
      </c>
      <c r="C126" s="6">
        <f t="shared" ref="C126:J126" si="60">IF(AND(ISNUMBER($A120),ISNUMBER($A126)),IF((RANK(C$4,$B$4:$J$4,1))&lt;=($A126-$A120),1,0),"")</f>
        <v>0</v>
      </c>
      <c r="D126" s="6">
        <f t="shared" si="60"/>
        <v>0</v>
      </c>
      <c r="E126" s="6">
        <f t="shared" si="60"/>
        <v>0</v>
      </c>
      <c r="F126" s="6">
        <f t="shared" si="60"/>
        <v>0</v>
      </c>
      <c r="G126" s="6">
        <f t="shared" si="60"/>
        <v>0</v>
      </c>
      <c r="H126" s="6">
        <f t="shared" si="60"/>
        <v>0</v>
      </c>
      <c r="I126" s="6">
        <f t="shared" si="60"/>
        <v>0</v>
      </c>
      <c r="J126" s="7">
        <f t="shared" si="60"/>
        <v>0</v>
      </c>
      <c r="K126" s="13">
        <f>SUM(B126:J126)</f>
        <v>0</v>
      </c>
    </row>
    <row r="127" spans="1:27" x14ac:dyDescent="0.2">
      <c r="A127" s="80">
        <f>IF((A126-A120)&gt;9,(A126-A120-9),0)</f>
        <v>0</v>
      </c>
      <c r="B127" s="18">
        <f>IF(AND(ISNUMBER($A121),ISNUMBER($A127)),IF((RANK(B$4,$B$4:$J$4,1))&lt;=($A127-$A121),1,0),"")</f>
        <v>0</v>
      </c>
      <c r="C127" s="6">
        <f t="shared" ref="C127:J127" si="61">IF(AND(ISNUMBER($A121),ISNUMBER($A127)),IF((RANK(C$4,$B$4:$J$4,1))&lt;=($A127-$A121),1,0),"")</f>
        <v>0</v>
      </c>
      <c r="D127" s="6">
        <f t="shared" si="61"/>
        <v>0</v>
      </c>
      <c r="E127" s="6">
        <f t="shared" si="61"/>
        <v>0</v>
      </c>
      <c r="F127" s="6">
        <f t="shared" si="61"/>
        <v>0</v>
      </c>
      <c r="G127" s="6">
        <f t="shared" si="61"/>
        <v>0</v>
      </c>
      <c r="H127" s="6">
        <f t="shared" si="61"/>
        <v>0</v>
      </c>
      <c r="I127" s="6">
        <f t="shared" si="61"/>
        <v>0</v>
      </c>
      <c r="J127" s="7">
        <f t="shared" si="61"/>
        <v>0</v>
      </c>
      <c r="K127" s="13">
        <f>SUM(B127:J127)</f>
        <v>0</v>
      </c>
    </row>
    <row r="128" spans="1:27" x14ac:dyDescent="0.2">
      <c r="A128" s="80"/>
      <c r="B128" s="82">
        <f>IF(AND(ISNUMBER(B125),ISNUMBER(B126)),B125-B126-B127," ")</f>
        <v>7</v>
      </c>
      <c r="C128" s="83">
        <f t="shared" ref="C128:J128" si="62">IF(AND(ISNUMBER(C125),ISNUMBER(C126)),C125-C126-C127," ")</f>
        <v>6</v>
      </c>
      <c r="D128" s="83">
        <f t="shared" si="62"/>
        <v>7</v>
      </c>
      <c r="E128" s="83">
        <f t="shared" si="62"/>
        <v>5</v>
      </c>
      <c r="F128" s="83">
        <f t="shared" si="62"/>
        <v>6</v>
      </c>
      <c r="G128" s="83">
        <f t="shared" si="62"/>
        <v>4</v>
      </c>
      <c r="H128" s="83">
        <f t="shared" si="62"/>
        <v>6</v>
      </c>
      <c r="I128" s="83">
        <f t="shared" si="62"/>
        <v>6</v>
      </c>
      <c r="J128" s="84">
        <f t="shared" si="62"/>
        <v>10</v>
      </c>
      <c r="K128" s="13">
        <f>IF(ISNUMBER(FIND("Wins",K129)), 2, IF(ISNUMBER(FIND("Tie",K129)), 1, 0))</f>
        <v>0</v>
      </c>
    </row>
    <row r="129" spans="1:11" ht="13.5" thickBot="1" x14ac:dyDescent="0.25">
      <c r="A129" s="81"/>
      <c r="B129" s="19">
        <f>IF(AND(ISNUMBER(B122),ISNUMBER(B128)),IF(B128&lt;B122, 0+1, (IF(B128&gt;B122, 0-1, 0)))," ")</f>
        <v>-1</v>
      </c>
      <c r="C129" s="9">
        <f t="shared" ref="C129:J129" si="63">IF(AND(ISNUMBER(C122),ISNUMBER(C128)),IF(C128&lt;C122, +B129+1, (IF(C128&gt;C122, +B129-1, +B129)))," ")</f>
        <v>-1</v>
      </c>
      <c r="D129" s="9">
        <f t="shared" si="63"/>
        <v>-2</v>
      </c>
      <c r="E129" s="9">
        <f t="shared" si="63"/>
        <v>-2</v>
      </c>
      <c r="F129" s="9">
        <f t="shared" si="63"/>
        <v>-1</v>
      </c>
      <c r="G129" s="9">
        <f t="shared" si="63"/>
        <v>-1</v>
      </c>
      <c r="H129" s="9">
        <f t="shared" si="63"/>
        <v>0</v>
      </c>
      <c r="I129" s="9">
        <f t="shared" si="63"/>
        <v>-1</v>
      </c>
      <c r="J129" s="10">
        <f t="shared" si="63"/>
        <v>-2</v>
      </c>
      <c r="K129" s="14" t="str">
        <f>IF(ISNUMBER(J129),IF(F129&gt;4,"Wins " &amp; F129 &amp; " &amp; 4",IF(G129&gt;3,"Wins " &amp; G129 &amp; " &amp; 3",IF(H129&gt;2,"Wins " &amp; H129 &amp; " &amp; 2",IF(I129&gt;1,"Wins " &amp; I129 &amp; " &amp; 1",IF(J129&gt;J123,"Wins " &amp; J129 &amp; " Up",IF(J129&lt;J123,"Loss","Tie"))))))," ")</f>
        <v>Loss</v>
      </c>
    </row>
    <row r="130" spans="1:11" x14ac:dyDescent="0.2">
      <c r="A130" s="26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ht="13.5" thickBot="1" x14ac:dyDescent="0.25">
      <c r="A131" s="24" t="s">
        <v>133</v>
      </c>
    </row>
    <row r="132" spans="1:11" x14ac:dyDescent="0.2">
      <c r="A132" s="29" t="str">
        <f t="shared" ref="A132:J132" si="64">A32</f>
        <v>John</v>
      </c>
      <c r="B132" s="17">
        <f t="shared" si="64"/>
        <v>5</v>
      </c>
      <c r="C132" s="3">
        <f t="shared" si="64"/>
        <v>6</v>
      </c>
      <c r="D132" s="3">
        <f t="shared" si="64"/>
        <v>5</v>
      </c>
      <c r="E132" s="3">
        <f t="shared" si="64"/>
        <v>3</v>
      </c>
      <c r="F132" s="3">
        <f t="shared" si="64"/>
        <v>5</v>
      </c>
      <c r="G132" s="3">
        <f t="shared" si="64"/>
        <v>3</v>
      </c>
      <c r="H132" s="3">
        <f t="shared" si="64"/>
        <v>5</v>
      </c>
      <c r="I132" s="3">
        <f t="shared" si="64"/>
        <v>5</v>
      </c>
      <c r="J132" s="4">
        <f t="shared" si="64"/>
        <v>5</v>
      </c>
      <c r="K132" s="12">
        <f>SUM(B132:J132)</f>
        <v>42</v>
      </c>
    </row>
    <row r="133" spans="1:11" x14ac:dyDescent="0.2">
      <c r="A133" s="30">
        <f>A33</f>
        <v>7</v>
      </c>
      <c r="B133" s="18">
        <f>IF(AND(ISNUMBER($A133),ISNUMBER($A139)),IF((RANK(B$4,$B$4:$J$4,1))&lt;=($A133-$A139),1,0),"")</f>
        <v>0</v>
      </c>
      <c r="C133" s="6">
        <f t="shared" ref="C133:J133" si="65">IF(AND(ISNUMBER($A133),ISNUMBER($A139)),IF((RANK(C$4,$B$4:$J$4,1))&lt;=($A133-$A139),1,0),"")</f>
        <v>0</v>
      </c>
      <c r="D133" s="6">
        <f t="shared" si="65"/>
        <v>0</v>
      </c>
      <c r="E133" s="6">
        <f t="shared" si="65"/>
        <v>0</v>
      </c>
      <c r="F133" s="6">
        <f t="shared" si="65"/>
        <v>0</v>
      </c>
      <c r="G133" s="6">
        <f t="shared" si="65"/>
        <v>0</v>
      </c>
      <c r="H133" s="6">
        <f t="shared" si="65"/>
        <v>0</v>
      </c>
      <c r="I133" s="6">
        <f t="shared" si="65"/>
        <v>0</v>
      </c>
      <c r="J133" s="7">
        <f t="shared" si="65"/>
        <v>0</v>
      </c>
      <c r="K133" s="13">
        <f>SUM(B133:J133)</f>
        <v>0</v>
      </c>
    </row>
    <row r="134" spans="1:11" x14ac:dyDescent="0.2">
      <c r="A134" s="30">
        <f>IF((A133-A139)&gt;9,(A133-A139-9),0)</f>
        <v>0</v>
      </c>
      <c r="B134" s="18">
        <f>IF(AND(ISNUMBER($A134),ISNUMBER($A140)),IF((RANK(B$4,$B$4:$J$4,1))&lt;=($A134-$A140),1,0),"")</f>
        <v>0</v>
      </c>
      <c r="C134" s="6">
        <f t="shared" ref="C134:J134" si="66">IF(AND(ISNUMBER($A134),ISNUMBER($A140)),IF((RANK(C$4,$B$4:$J$4,1))&lt;=($A134-$A140),1,0),"")</f>
        <v>0</v>
      </c>
      <c r="D134" s="6">
        <f t="shared" si="66"/>
        <v>0</v>
      </c>
      <c r="E134" s="6">
        <f t="shared" si="66"/>
        <v>0</v>
      </c>
      <c r="F134" s="6">
        <f t="shared" si="66"/>
        <v>0</v>
      </c>
      <c r="G134" s="6">
        <f t="shared" si="66"/>
        <v>0</v>
      </c>
      <c r="H134" s="6">
        <f t="shared" si="66"/>
        <v>0</v>
      </c>
      <c r="I134" s="6">
        <f t="shared" si="66"/>
        <v>0</v>
      </c>
      <c r="J134" s="7">
        <f t="shared" si="66"/>
        <v>0</v>
      </c>
      <c r="K134" s="13">
        <f>SUM(B134:J134)</f>
        <v>0</v>
      </c>
    </row>
    <row r="135" spans="1:11" x14ac:dyDescent="0.2">
      <c r="A135" s="30"/>
      <c r="B135" s="82">
        <f>IF(AND(ISNUMBER(B132),ISNUMBER(B133)),B132-B133-B134," ")</f>
        <v>5</v>
      </c>
      <c r="C135" s="83">
        <f t="shared" ref="C135:J135" si="67">IF(AND(ISNUMBER(C132),ISNUMBER(C133)),C132-C133-C134," ")</f>
        <v>6</v>
      </c>
      <c r="D135" s="83">
        <f t="shared" si="67"/>
        <v>5</v>
      </c>
      <c r="E135" s="83">
        <f t="shared" si="67"/>
        <v>3</v>
      </c>
      <c r="F135" s="83">
        <f t="shared" si="67"/>
        <v>5</v>
      </c>
      <c r="G135" s="83">
        <f t="shared" si="67"/>
        <v>3</v>
      </c>
      <c r="H135" s="83">
        <f t="shared" si="67"/>
        <v>5</v>
      </c>
      <c r="I135" s="83">
        <f t="shared" si="67"/>
        <v>5</v>
      </c>
      <c r="J135" s="84">
        <f t="shared" si="67"/>
        <v>5</v>
      </c>
      <c r="K135" s="13">
        <f>IF(ISNUMBER(FIND("Wins",K136)), 2, IF(ISNUMBER(FIND("Tie",K136)), 1, 0))</f>
        <v>2</v>
      </c>
    </row>
    <row r="136" spans="1:11" ht="13.5" thickBot="1" x14ac:dyDescent="0.25">
      <c r="A136" s="31"/>
      <c r="B136" s="19">
        <f>IF(AND(ISNUMBER(B135),ISNUMBER(B141)),IF(B135&lt;B141, 0+1, (IF(B135&gt;B141, 0-1, 0)))," ")</f>
        <v>1</v>
      </c>
      <c r="C136" s="9">
        <f t="shared" ref="C136:J136" si="68">IF(AND(ISNUMBER(C135),ISNUMBER(C141)),IF(C135&lt;C141, +B136+1, (IF(C135&gt;C141, +B136-1, +B136)))," ")</f>
        <v>2</v>
      </c>
      <c r="D136" s="9">
        <f t="shared" si="68"/>
        <v>2</v>
      </c>
      <c r="E136" s="9">
        <f t="shared" si="68"/>
        <v>3</v>
      </c>
      <c r="F136" s="9">
        <f t="shared" si="68"/>
        <v>4</v>
      </c>
      <c r="G136" s="9">
        <f t="shared" si="68"/>
        <v>5</v>
      </c>
      <c r="H136" s="9">
        <f t="shared" si="68"/>
        <v>4</v>
      </c>
      <c r="I136" s="9">
        <f t="shared" si="68"/>
        <v>3</v>
      </c>
      <c r="J136" s="10">
        <f t="shared" si="68"/>
        <v>4</v>
      </c>
      <c r="K136" s="14" t="str">
        <f>IF(ISNUMBER(J136),IF(F136&gt;4,"Wins " &amp; F136 &amp; " &amp; 4",IF(G136&gt;3,"Wins " &amp; G136 &amp; " &amp; 3",IF(H136&gt;2,"Wins " &amp; H136 &amp; " &amp; 2",IF(I136&gt;1,"Wins " &amp; I136 &amp; " &amp; 1",IF(J136&gt;J142,"Wins " &amp; J136 &amp; " Up",IF(J136&lt;J142,"Loss","Tie"))))))," ")</f>
        <v>Wins 5 &amp; 3</v>
      </c>
    </row>
    <row r="137" spans="1:11" ht="13.5" thickBot="1" x14ac:dyDescent="0.25">
      <c r="A137" s="32"/>
    </row>
    <row r="138" spans="1:11" x14ac:dyDescent="0.2">
      <c r="A138" s="79" t="str">
        <f t="shared" ref="A138:J138" si="69">A34</f>
        <v>Tony W</v>
      </c>
      <c r="B138" s="17">
        <f t="shared" si="69"/>
        <v>8</v>
      </c>
      <c r="C138" s="3">
        <f t="shared" si="69"/>
        <v>8</v>
      </c>
      <c r="D138" s="3">
        <f t="shared" si="69"/>
        <v>6</v>
      </c>
      <c r="E138" s="3">
        <f t="shared" si="69"/>
        <v>4</v>
      </c>
      <c r="F138" s="3">
        <f t="shared" si="69"/>
        <v>7</v>
      </c>
      <c r="G138" s="3">
        <f t="shared" si="69"/>
        <v>6</v>
      </c>
      <c r="H138" s="3">
        <f t="shared" si="69"/>
        <v>4</v>
      </c>
      <c r="I138" s="3">
        <f t="shared" si="69"/>
        <v>3</v>
      </c>
      <c r="J138" s="4">
        <f t="shared" si="69"/>
        <v>8</v>
      </c>
      <c r="K138" s="12">
        <f>SUM(B138:J138)</f>
        <v>54</v>
      </c>
    </row>
    <row r="139" spans="1:11" x14ac:dyDescent="0.2">
      <c r="A139" s="80">
        <f>A35</f>
        <v>10</v>
      </c>
      <c r="B139" s="18">
        <f>IF(AND(ISNUMBER($A133),ISNUMBER($A139)),IF((RANK(B$4,$B$4:$J$4,1))&lt;=($A139-$A133),1,0),"")</f>
        <v>0</v>
      </c>
      <c r="C139" s="6">
        <f t="shared" ref="C139:J139" si="70">IF(AND(ISNUMBER($A133),ISNUMBER($A139)),IF((RANK(C$4,$B$4:$J$4,1))&lt;=($A139-$A133),1,0),"")</f>
        <v>0</v>
      </c>
      <c r="D139" s="6">
        <f t="shared" si="70"/>
        <v>1</v>
      </c>
      <c r="E139" s="6">
        <f t="shared" si="70"/>
        <v>0</v>
      </c>
      <c r="F139" s="6">
        <f t="shared" si="70"/>
        <v>1</v>
      </c>
      <c r="G139" s="6">
        <f t="shared" si="70"/>
        <v>0</v>
      </c>
      <c r="H139" s="6">
        <f t="shared" si="70"/>
        <v>0</v>
      </c>
      <c r="I139" s="6">
        <f t="shared" si="70"/>
        <v>0</v>
      </c>
      <c r="J139" s="7">
        <f t="shared" si="70"/>
        <v>1</v>
      </c>
      <c r="K139" s="13">
        <f>SUM(B139:J139)</f>
        <v>3</v>
      </c>
    </row>
    <row r="140" spans="1:11" x14ac:dyDescent="0.2">
      <c r="A140" s="80">
        <f>IF((A139-A133)&gt;9,(A139-A133-9),0)</f>
        <v>0</v>
      </c>
      <c r="B140" s="18">
        <f>IF(AND(ISNUMBER($A134),ISNUMBER($A140)),IF((RANK(B$4,$B$4:$J$4,1))&lt;=($A140-$A134),1,0),"")</f>
        <v>0</v>
      </c>
      <c r="C140" s="6">
        <f t="shared" ref="C140:J140" si="71">IF(AND(ISNUMBER($A134),ISNUMBER($A140)),IF((RANK(C$4,$B$4:$J$4,1))&lt;=($A140-$A134),1,0),"")</f>
        <v>0</v>
      </c>
      <c r="D140" s="6">
        <f t="shared" si="71"/>
        <v>0</v>
      </c>
      <c r="E140" s="6">
        <f t="shared" si="71"/>
        <v>0</v>
      </c>
      <c r="F140" s="6">
        <f t="shared" si="71"/>
        <v>0</v>
      </c>
      <c r="G140" s="6">
        <f t="shared" si="71"/>
        <v>0</v>
      </c>
      <c r="H140" s="6">
        <f t="shared" si="71"/>
        <v>0</v>
      </c>
      <c r="I140" s="6">
        <f t="shared" si="71"/>
        <v>0</v>
      </c>
      <c r="J140" s="7">
        <f t="shared" si="71"/>
        <v>0</v>
      </c>
      <c r="K140" s="13">
        <f>SUM(B140:J140)</f>
        <v>0</v>
      </c>
    </row>
    <row r="141" spans="1:11" x14ac:dyDescent="0.2">
      <c r="A141" s="80"/>
      <c r="B141" s="82">
        <f>IF(AND(ISNUMBER(B138),ISNUMBER(B139)),B138-B139-B140," ")</f>
        <v>8</v>
      </c>
      <c r="C141" s="83">
        <f t="shared" ref="C141:J141" si="72">IF(AND(ISNUMBER(C138),ISNUMBER(C139)),C138-C139-C140," ")</f>
        <v>8</v>
      </c>
      <c r="D141" s="83">
        <f t="shared" si="72"/>
        <v>5</v>
      </c>
      <c r="E141" s="83">
        <f t="shared" si="72"/>
        <v>4</v>
      </c>
      <c r="F141" s="83">
        <f t="shared" si="72"/>
        <v>6</v>
      </c>
      <c r="G141" s="83">
        <f t="shared" si="72"/>
        <v>6</v>
      </c>
      <c r="H141" s="83">
        <f t="shared" si="72"/>
        <v>4</v>
      </c>
      <c r="I141" s="83">
        <f t="shared" si="72"/>
        <v>3</v>
      </c>
      <c r="J141" s="84">
        <f t="shared" si="72"/>
        <v>7</v>
      </c>
      <c r="K141" s="13">
        <f>IF(ISNUMBER(FIND("Wins",K142)), 2, IF(ISNUMBER(FIND("Tie",K142)), 1, 0))</f>
        <v>0</v>
      </c>
    </row>
    <row r="142" spans="1:11" ht="13.5" thickBot="1" x14ac:dyDescent="0.25">
      <c r="A142" s="81"/>
      <c r="B142" s="19">
        <f>IF(AND(ISNUMBER(B135),ISNUMBER(B141)),IF(B141&lt;B135, 0+1, (IF(B141&gt;B135, 0-1, 0)))," ")</f>
        <v>-1</v>
      </c>
      <c r="C142" s="9">
        <f t="shared" ref="C142:J142" si="73">IF(AND(ISNUMBER(C135),ISNUMBER(C141)),IF(C141&lt;C135, +B142+1, (IF(C141&gt;C135, +B142-1, +B142)))," ")</f>
        <v>-2</v>
      </c>
      <c r="D142" s="9">
        <f t="shared" si="73"/>
        <v>-2</v>
      </c>
      <c r="E142" s="9">
        <f t="shared" si="73"/>
        <v>-3</v>
      </c>
      <c r="F142" s="9">
        <f t="shared" si="73"/>
        <v>-4</v>
      </c>
      <c r="G142" s="9">
        <f t="shared" si="73"/>
        <v>-5</v>
      </c>
      <c r="H142" s="9">
        <f t="shared" si="73"/>
        <v>-4</v>
      </c>
      <c r="I142" s="9">
        <f t="shared" si="73"/>
        <v>-3</v>
      </c>
      <c r="J142" s="10">
        <f t="shared" si="73"/>
        <v>-4</v>
      </c>
      <c r="K142" s="14" t="str">
        <f>IF(ISNUMBER(J142),IF(F142&gt;4,"Wins " &amp; F142 &amp; " &amp; 4",IF(G142&gt;3,"Wins " &amp; G142 &amp; " &amp; 3",IF(H142&gt;2,"Wins " &amp; H142 &amp; " &amp; 2",IF(I142&gt;1,"Wins " &amp; I142 &amp; " &amp; 1",IF(J142&gt;J136,"Wins " &amp; J142 &amp; " Up",IF(J142&lt;J136,"Loss","Tie"))))))," ")</f>
        <v>Loss</v>
      </c>
    </row>
    <row r="143" spans="1:11" x14ac:dyDescent="0.2">
      <c r="A143" s="26"/>
      <c r="B143" s="85"/>
      <c r="C143" s="85"/>
      <c r="D143" s="85"/>
      <c r="E143" s="85"/>
      <c r="F143" s="85"/>
      <c r="G143" s="85"/>
      <c r="H143" s="85"/>
      <c r="I143" s="85"/>
      <c r="J143" s="85"/>
      <c r="K143" s="15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H48"/>
  <sheetViews>
    <sheetView zoomScaleNormal="100" workbookViewId="0">
      <selection activeCell="K32" sqref="K32"/>
    </sheetView>
  </sheetViews>
  <sheetFormatPr defaultColWidth="9.140625" defaultRowHeight="12.75" x14ac:dyDescent="0.2"/>
  <cols>
    <col min="1" max="1" width="9.140625" style="1"/>
    <col min="2" max="2" width="16.42578125" style="1" bestFit="1" customWidth="1"/>
    <col min="3" max="13" width="9.140625" style="2"/>
    <col min="14" max="19" width="0" style="2" hidden="1" customWidth="1"/>
    <col min="20" max="27" width="0" style="1" hidden="1" customWidth="1"/>
    <col min="28" max="32" width="11.140625" style="1" customWidth="1"/>
    <col min="33" max="33" width="11.140625" style="2" customWidth="1"/>
    <col min="34" max="34" width="11.140625" style="15" customWidth="1"/>
    <col min="35" max="39" width="11.140625" style="15" hidden="1" customWidth="1"/>
    <col min="40" max="46" width="4.140625" style="253" hidden="1" customWidth="1"/>
    <col min="47" max="51" width="6.28515625" style="253" hidden="1" customWidth="1"/>
    <col min="52" max="53" width="4.140625" style="253" hidden="1" customWidth="1"/>
    <col min="54" max="55" width="4.140625" style="1" hidden="1" customWidth="1"/>
    <col min="56" max="57" width="4.140625" style="2" hidden="1" customWidth="1"/>
    <col min="58" max="58" width="4.140625" style="2" customWidth="1"/>
    <col min="59" max="59" width="9.140625" style="2"/>
    <col min="60" max="60" width="9.85546875" style="2" customWidth="1"/>
    <col min="61" max="16384" width="9.140625" style="1"/>
  </cols>
  <sheetData>
    <row r="1" spans="1:60" ht="15.75" thickBot="1" x14ac:dyDescent="0.3">
      <c r="AN1" s="253">
        <f>Setup!$F49</f>
        <v>3</v>
      </c>
      <c r="AO1" s="253">
        <f>Setup!$F50</f>
        <v>2</v>
      </c>
      <c r="AP1" s="253">
        <f>Setup!$F51</f>
        <v>1</v>
      </c>
      <c r="AQ1" s="253">
        <f>Setup!$F52</f>
        <v>0</v>
      </c>
      <c r="AR1" s="253">
        <f>Setup!$F53</f>
        <v>0</v>
      </c>
      <c r="AT1"/>
      <c r="AU1" s="224">
        <v>1</v>
      </c>
      <c r="AV1" s="224">
        <v>2</v>
      </c>
      <c r="AW1" s="224">
        <v>3</v>
      </c>
      <c r="AX1" s="224">
        <v>4</v>
      </c>
      <c r="AY1" s="224">
        <v>5</v>
      </c>
    </row>
    <row r="2" spans="1:60" ht="15" x14ac:dyDescent="0.25">
      <c r="B2" s="226" t="s">
        <v>1</v>
      </c>
      <c r="C2" s="76">
        <f>Courses!C51</f>
        <v>1</v>
      </c>
      <c r="D2" s="34">
        <f>Courses!D51</f>
        <v>2</v>
      </c>
      <c r="E2" s="34">
        <f>Courses!E51</f>
        <v>3</v>
      </c>
      <c r="F2" s="34">
        <f>Courses!F51</f>
        <v>4</v>
      </c>
      <c r="G2" s="34">
        <f>Courses!G51</f>
        <v>5</v>
      </c>
      <c r="H2" s="34">
        <f>Courses!H51</f>
        <v>6</v>
      </c>
      <c r="I2" s="34">
        <f>Courses!I51</f>
        <v>7</v>
      </c>
      <c r="J2" s="34">
        <f>Courses!J51</f>
        <v>8</v>
      </c>
      <c r="K2" s="35">
        <f>Courses!K51</f>
        <v>9</v>
      </c>
      <c r="L2" s="73"/>
      <c r="AN2" s="253">
        <f>COUNTIF($M$6:$M$37,AN3)</f>
        <v>4</v>
      </c>
      <c r="AO2" s="253">
        <f>COUNTIF($M$6:$M$37,AO3)</f>
        <v>4</v>
      </c>
      <c r="AP2" s="253">
        <f>COUNTIF($M$6:$M$37,AP3)</f>
        <v>4</v>
      </c>
      <c r="AQ2" s="253">
        <f>COUNTIF($M$6:$M$37,AQ3)</f>
        <v>4</v>
      </c>
      <c r="AR2" s="253">
        <f>COUNTIF($M$6:$M$37,AR3)</f>
        <v>0</v>
      </c>
      <c r="AT2" s="224">
        <v>0</v>
      </c>
      <c r="AU2" s="224">
        <f>COUNTIF($M$6:$M$37,AU$1)</f>
        <v>4</v>
      </c>
      <c r="AV2" s="224">
        <f>COUNTIF($M$6:$M$37,AV$1)</f>
        <v>4</v>
      </c>
      <c r="AW2" s="224">
        <f>COUNTIF($M$6:$M$37,AW$1)</f>
        <v>4</v>
      </c>
      <c r="AX2" s="224">
        <f>COUNTIF($M$6:$M$37,AX$1)</f>
        <v>4</v>
      </c>
      <c r="AY2" s="224">
        <f>COUNTIF($M$6:$M$37,AY$1)</f>
        <v>0</v>
      </c>
    </row>
    <row r="3" spans="1:60" ht="15" x14ac:dyDescent="0.25">
      <c r="B3" s="227" t="s">
        <v>2</v>
      </c>
      <c r="C3" s="77">
        <f>Courses!C52</f>
        <v>3</v>
      </c>
      <c r="D3" s="39">
        <f>Courses!D52</f>
        <v>3</v>
      </c>
      <c r="E3" s="39">
        <f>Courses!E52</f>
        <v>3</v>
      </c>
      <c r="F3" s="39">
        <f>Courses!F52</f>
        <v>3</v>
      </c>
      <c r="G3" s="39">
        <f>Courses!G52</f>
        <v>3</v>
      </c>
      <c r="H3" s="39">
        <f>Courses!H52</f>
        <v>3</v>
      </c>
      <c r="I3" s="39">
        <f>Courses!I52</f>
        <v>3</v>
      </c>
      <c r="J3" s="39">
        <f>Courses!J52</f>
        <v>3</v>
      </c>
      <c r="K3" s="40">
        <f>Courses!K52</f>
        <v>3</v>
      </c>
      <c r="L3" s="74">
        <f>SUM(C3:K3)</f>
        <v>27</v>
      </c>
      <c r="AN3" s="253">
        <v>1</v>
      </c>
      <c r="AO3" s="253">
        <v>2</v>
      </c>
      <c r="AP3" s="253">
        <v>3</v>
      </c>
      <c r="AQ3" s="253">
        <v>4</v>
      </c>
      <c r="AR3" s="253">
        <v>5</v>
      </c>
      <c r="AT3" s="224">
        <v>4</v>
      </c>
      <c r="AU3" s="224">
        <f>IF(AU$2=$AT3,$AN$1,"")</f>
        <v>3</v>
      </c>
      <c r="AV3" s="323"/>
      <c r="AW3" s="323"/>
      <c r="AX3" s="323"/>
      <c r="AY3" s="323"/>
    </row>
    <row r="4" spans="1:60" ht="15.75" thickBot="1" x14ac:dyDescent="0.3">
      <c r="B4" s="228" t="s">
        <v>3</v>
      </c>
      <c r="C4" s="78">
        <f>Courses!C53</f>
        <v>7</v>
      </c>
      <c r="D4" s="44">
        <f>Courses!D53</f>
        <v>4</v>
      </c>
      <c r="E4" s="44">
        <f>Courses!E53</f>
        <v>1</v>
      </c>
      <c r="F4" s="44">
        <f>Courses!F53</f>
        <v>9</v>
      </c>
      <c r="G4" s="44">
        <f>Courses!G53</f>
        <v>3</v>
      </c>
      <c r="H4" s="44">
        <f>Courses!H53</f>
        <v>5</v>
      </c>
      <c r="I4" s="44">
        <f>Courses!I53</f>
        <v>6</v>
      </c>
      <c r="J4" s="44">
        <f>Courses!J53</f>
        <v>8</v>
      </c>
      <c r="K4" s="45">
        <f>Courses!K53</f>
        <v>2</v>
      </c>
      <c r="L4" s="75"/>
      <c r="AT4" s="224">
        <v>8</v>
      </c>
      <c r="AU4" s="224" t="str">
        <f>IF(AU$2=$AT4,((AN$1+AO$1)/2),"")</f>
        <v/>
      </c>
      <c r="AV4" s="224">
        <f>IF(AV$2=$AT3,(AO$1),"")</f>
        <v>2</v>
      </c>
      <c r="AW4" s="323"/>
      <c r="AX4" s="323"/>
      <c r="AY4" s="323"/>
    </row>
    <row r="5" spans="1:60" ht="15.75" thickBot="1" x14ac:dyDescent="0.3">
      <c r="M5" s="2" t="s">
        <v>146</v>
      </c>
      <c r="AB5" s="335" t="s">
        <v>16</v>
      </c>
      <c r="AC5" s="693" t="s">
        <v>75</v>
      </c>
      <c r="AD5" s="693" t="s">
        <v>157</v>
      </c>
      <c r="AE5" s="693" t="s">
        <v>17</v>
      </c>
      <c r="AF5" s="693" t="s">
        <v>15</v>
      </c>
      <c r="AG5" s="731" t="s">
        <v>19</v>
      </c>
      <c r="AT5" s="224">
        <v>12</v>
      </c>
      <c r="AU5" s="224" t="str">
        <f>IF(AU$2=$AT5,((AN$1+AO$1+AP$1)/3),"")</f>
        <v/>
      </c>
      <c r="AV5" s="224" t="str">
        <f>IF(AV$2=$AT4,((AO$1+AP$1)/2),"")</f>
        <v/>
      </c>
      <c r="AW5" s="224">
        <f>IF(AW$2=$AT3,(AP$1),"")</f>
        <v>1</v>
      </c>
      <c r="AX5" s="323"/>
      <c r="AY5" s="323"/>
      <c r="AZ5" s="253">
        <v>1</v>
      </c>
      <c r="BA5" s="253">
        <v>2</v>
      </c>
      <c r="BB5" s="253">
        <v>3</v>
      </c>
      <c r="BC5" s="253">
        <v>4</v>
      </c>
      <c r="BD5" s="253"/>
      <c r="BE5" s="253"/>
      <c r="BF5" s="253"/>
    </row>
    <row r="6" spans="1:60" ht="15" x14ac:dyDescent="0.25">
      <c r="A6" s="1" t="s">
        <v>139</v>
      </c>
      <c r="B6" s="619" t="str">
        <f>Matchups!G3</f>
        <v>Gerald C</v>
      </c>
      <c r="C6" s="339"/>
      <c r="D6" s="116"/>
      <c r="E6" s="116"/>
      <c r="F6" s="116"/>
      <c r="G6" s="116"/>
      <c r="H6" s="116"/>
      <c r="I6" s="116"/>
      <c r="J6" s="116"/>
      <c r="K6" s="117">
        <v>23</v>
      </c>
      <c r="L6" s="12">
        <f>SUM(C6:K6,C10:K10)</f>
        <v>23</v>
      </c>
      <c r="M6" s="2">
        <f>RANK(L6,L$6:L$37,1)</f>
        <v>1</v>
      </c>
      <c r="AB6" s="90" t="str">
        <f>Setup!B2</f>
        <v>Mil</v>
      </c>
      <c r="AC6" s="717">
        <f>Setup!D2</f>
        <v>13.5</v>
      </c>
      <c r="AD6" s="694">
        <f>RANK(AC6,AC$6:AC$36,1)</f>
        <v>6</v>
      </c>
      <c r="AE6" s="697">
        <f>L30</f>
        <v>26</v>
      </c>
      <c r="AF6" s="726">
        <f>M30</f>
        <v>4</v>
      </c>
      <c r="AG6" s="555">
        <f>SUM(AZ6:BC6)</f>
        <v>0</v>
      </c>
      <c r="AJ6" s="224"/>
      <c r="AK6" s="564"/>
      <c r="AL6" s="424"/>
      <c r="AT6" s="224">
        <v>16</v>
      </c>
      <c r="AU6" s="224" t="str">
        <f>IF(AU$2=$AT6,((AN$1+AO$1+AP$1+AQ$1)/4),"")</f>
        <v/>
      </c>
      <c r="AV6" s="224" t="str">
        <f>IF(AV$2=$AT5,((AO$1+AP$1+AQ$1)/3),"")</f>
        <v/>
      </c>
      <c r="AW6" s="224" t="str">
        <f>IF(AW$2=$AT4,((AP$1+AQ$1)/2),"")</f>
        <v/>
      </c>
      <c r="AX6" s="564">
        <f>IF(AX$2=AT3,AQ$1,"")</f>
        <v>0</v>
      </c>
      <c r="AY6" s="564"/>
      <c r="AZ6" s="253" t="str">
        <f>IF($AF6=AZ$5,SUM(AU$3:AU$6),"")</f>
        <v/>
      </c>
      <c r="BA6" s="253" t="str">
        <f>IF($AF6=BA$5,SUM(AV$3:AV$6),"")</f>
        <v/>
      </c>
      <c r="BB6" s="253" t="str">
        <f>IF($AF6=BB$5,SUM(AW$3:AW$6),"")</f>
        <v/>
      </c>
      <c r="BC6" s="253">
        <f>IF($AF6=BC$5,SUM(AX$3:AX$6),"")</f>
        <v>0</v>
      </c>
      <c r="BH6" s="144"/>
    </row>
    <row r="7" spans="1:60" ht="15" hidden="1" x14ac:dyDescent="0.25">
      <c r="B7" s="91"/>
      <c r="C7" s="340"/>
      <c r="D7" s="137"/>
      <c r="E7" s="137"/>
      <c r="F7" s="137"/>
      <c r="G7" s="137"/>
      <c r="H7" s="137"/>
      <c r="I7" s="137"/>
      <c r="J7" s="137"/>
      <c r="K7" s="138"/>
      <c r="L7" s="13"/>
      <c r="AB7" s="91"/>
      <c r="AC7" s="718"/>
      <c r="AD7" s="8"/>
      <c r="AE7" s="13"/>
      <c r="AF7" s="548"/>
      <c r="AG7" s="528"/>
      <c r="AK7" s="424"/>
      <c r="AL7" s="424"/>
      <c r="AT7" s="224">
        <v>3</v>
      </c>
      <c r="AU7" s="224">
        <f>IF(AU$4&gt;=$Y7,AU$3,"")</f>
        <v>3</v>
      </c>
      <c r="AV7" s="224">
        <f>IF(AV$4&gt;$Y3,AV$3,"")</f>
        <v>0</v>
      </c>
      <c r="AW7" s="224" t="str">
        <f>IF(AW$4&gt;$Y2,AW$3,"")</f>
        <v/>
      </c>
      <c r="AX7" s="564"/>
      <c r="AY7" s="564"/>
      <c r="BB7" s="253"/>
      <c r="BC7" s="253"/>
      <c r="BH7" s="144"/>
    </row>
    <row r="8" spans="1:60" ht="15" x14ac:dyDescent="0.25">
      <c r="B8" s="722" t="str">
        <f>Matchups!G5</f>
        <v>Rick</v>
      </c>
      <c r="C8" s="526"/>
      <c r="D8" s="241"/>
      <c r="E8" s="241"/>
      <c r="F8" s="241"/>
      <c r="G8" s="241"/>
      <c r="H8" s="241"/>
      <c r="I8" s="241"/>
      <c r="J8" s="241"/>
      <c r="K8" s="242"/>
      <c r="L8" s="13"/>
      <c r="M8" s="2">
        <f>M6</f>
        <v>1</v>
      </c>
      <c r="AB8" s="91" t="str">
        <f>Setup!B4</f>
        <v>John</v>
      </c>
      <c r="AC8" s="718">
        <f>Setup!D4</f>
        <v>12.6</v>
      </c>
      <c r="AD8" s="695">
        <f>RANK(AC8,AC$6:AC$36,1)</f>
        <v>4</v>
      </c>
      <c r="AE8" s="698">
        <f>L22</f>
        <v>25</v>
      </c>
      <c r="AF8" s="727">
        <f>M22</f>
        <v>3</v>
      </c>
      <c r="AG8" s="528">
        <f>SUM(AZ8:BC8)</f>
        <v>1</v>
      </c>
      <c r="AJ8" s="224"/>
      <c r="AK8" s="564"/>
      <c r="AL8" s="424"/>
      <c r="AT8" s="224"/>
      <c r="AU8" s="224"/>
      <c r="AV8" s="224"/>
      <c r="AW8" s="224"/>
      <c r="AX8" s="564"/>
      <c r="AY8" s="564"/>
      <c r="AZ8" s="253" t="str">
        <f>IF($AF8=AZ$5,SUM(AU$3:AU$6),"")</f>
        <v/>
      </c>
      <c r="BA8" s="253" t="str">
        <f>IF($AF8=BA$5,SUM(AV$3:AV$6),"")</f>
        <v/>
      </c>
      <c r="BB8" s="253">
        <f>IF($AF8=BB$5,SUM(AW$3:AW$6),"")</f>
        <v>1</v>
      </c>
      <c r="BC8" s="253" t="str">
        <f>IF($AF8=BC$5,SUM(AX$3:AX$6),"")</f>
        <v/>
      </c>
      <c r="BH8" s="144"/>
    </row>
    <row r="9" spans="1:60" ht="15" hidden="1" x14ac:dyDescent="0.25">
      <c r="B9" s="91"/>
      <c r="C9" s="526"/>
      <c r="D9" s="241"/>
      <c r="E9" s="241"/>
      <c r="F9" s="241"/>
      <c r="G9" s="241"/>
      <c r="H9" s="241"/>
      <c r="I9" s="241"/>
      <c r="J9" s="241"/>
      <c r="K9" s="242"/>
      <c r="L9" s="13"/>
      <c r="AB9" s="91"/>
      <c r="AC9" s="718"/>
      <c r="AD9" s="8"/>
      <c r="AE9" s="13"/>
      <c r="AF9" s="548"/>
      <c r="AG9" s="528"/>
      <c r="AT9" s="224">
        <v>4</v>
      </c>
      <c r="AU9" s="224">
        <f>IF(AU$4&gt;=$Y9,AU$3,"")</f>
        <v>3</v>
      </c>
      <c r="AV9" s="224">
        <f>IF(AV$4&gt;$Y5,AV$3,"")</f>
        <v>0</v>
      </c>
      <c r="AW9" s="224" t="str">
        <f>IF(AW$4&gt;$Y3,AW$3,"")</f>
        <v/>
      </c>
      <c r="AX9" s="224" t="str">
        <f>IF(AX$4&gt;$Y$4,AX$3,"")</f>
        <v/>
      </c>
      <c r="AY9" s="323"/>
      <c r="BB9" s="253"/>
      <c r="BC9" s="253"/>
      <c r="BH9" s="144"/>
    </row>
    <row r="10" spans="1:60" ht="15" x14ac:dyDescent="0.25">
      <c r="A10" s="740">
        <f>AVERAGE(AC28,AC14,AC32,AC10)</f>
        <v>18.024999999999999</v>
      </c>
      <c r="B10" s="722" t="str">
        <f>Matchups!G7</f>
        <v>Patrick</v>
      </c>
      <c r="C10" s="754"/>
      <c r="D10" s="755"/>
      <c r="E10" s="755"/>
      <c r="F10" s="755"/>
      <c r="G10" s="755"/>
      <c r="H10" s="755"/>
      <c r="I10" s="755"/>
      <c r="J10" s="755"/>
      <c r="K10" s="756"/>
      <c r="L10" s="13"/>
      <c r="M10" s="2">
        <f>M8</f>
        <v>1</v>
      </c>
      <c r="AB10" s="765" t="str">
        <f>Setup!B6</f>
        <v>Brian P</v>
      </c>
      <c r="AC10" s="766">
        <f>Setup!D6</f>
        <v>13.5</v>
      </c>
      <c r="AD10" s="767">
        <f>RANK(AC10,AC$6:AC$36,1)</f>
        <v>6</v>
      </c>
      <c r="AE10" s="768">
        <f>L6</f>
        <v>23</v>
      </c>
      <c r="AF10" s="769">
        <f>M6</f>
        <v>1</v>
      </c>
      <c r="AG10" s="528">
        <f>SUM(AZ10:BC10)</f>
        <v>3</v>
      </c>
      <c r="AJ10" s="224"/>
      <c r="AK10" s="224"/>
      <c r="AL10" s="224"/>
      <c r="AT10"/>
      <c r="AU10" s="224"/>
      <c r="AV10" s="224"/>
      <c r="AW10" s="224"/>
      <c r="AX10" s="224"/>
      <c r="AY10" s="224"/>
      <c r="AZ10" s="253">
        <f>IF($AF10=AZ$5,SUM(AU$3:AU$6),"")</f>
        <v>3</v>
      </c>
      <c r="BA10" s="253" t="str">
        <f>IF($AF10=BA$5,SUM(AV$3:AV$6),"")</f>
        <v/>
      </c>
      <c r="BB10" s="253" t="str">
        <f>IF($AF10=BB$5,SUM(AW$3:AW$6),"")</f>
        <v/>
      </c>
      <c r="BC10" s="253" t="str">
        <f>IF($AF10=BC$5,SUM(AX$3:AX$6),"")</f>
        <v/>
      </c>
      <c r="BH10" s="144"/>
    </row>
    <row r="11" spans="1:60" ht="15" hidden="1" x14ac:dyDescent="0.25">
      <c r="B11" s="91"/>
      <c r="C11" s="526"/>
      <c r="D11" s="241"/>
      <c r="E11" s="241"/>
      <c r="F11" s="241"/>
      <c r="G11" s="241"/>
      <c r="H11" s="241"/>
      <c r="I11" s="241"/>
      <c r="J11" s="241"/>
      <c r="K11" s="242"/>
      <c r="L11" s="229"/>
      <c r="AB11" s="91"/>
      <c r="AC11" s="718"/>
      <c r="AD11" s="8"/>
      <c r="AE11" s="13"/>
      <c r="AF11" s="548"/>
      <c r="AG11" s="528"/>
      <c r="AT11" s="224">
        <v>5</v>
      </c>
      <c r="AU11" s="224">
        <f>IF(AU$4&gt;=$Y11,AU$3,"")</f>
        <v>3</v>
      </c>
      <c r="AV11" s="224">
        <f>IF(AV$4&gt;$Y7,AV$3,"")</f>
        <v>0</v>
      </c>
      <c r="AW11" s="224" t="str">
        <f>IF(AW$4&gt;$Y5,AW$3,"")</f>
        <v/>
      </c>
      <c r="AX11" s="224" t="str">
        <f>IF(AX$4&gt;$Y3,AX$3,"")</f>
        <v/>
      </c>
      <c r="AY11" s="224" t="str">
        <f>IF(AY$4&gt;$Y$4,AY$3,"")</f>
        <v/>
      </c>
      <c r="BB11" s="253"/>
      <c r="BC11" s="253"/>
      <c r="BH11" s="144"/>
    </row>
    <row r="12" spans="1:60" ht="15.75" thickBot="1" x14ac:dyDescent="0.3">
      <c r="B12" s="722" t="str">
        <f>Matchups!G9</f>
        <v>Brian P</v>
      </c>
      <c r="C12" s="526"/>
      <c r="D12" s="241"/>
      <c r="E12" s="241"/>
      <c r="F12" s="241"/>
      <c r="G12" s="241"/>
      <c r="H12" s="241"/>
      <c r="I12" s="241"/>
      <c r="J12" s="241"/>
      <c r="K12" s="242"/>
      <c r="L12" s="13"/>
      <c r="M12" s="2">
        <f>M10</f>
        <v>1</v>
      </c>
      <c r="AB12" s="91" t="str">
        <f>Setup!B8</f>
        <v xml:space="preserve">Pat </v>
      </c>
      <c r="AC12" s="718">
        <f>Setup!D8</f>
        <v>11.7</v>
      </c>
      <c r="AD12" s="695">
        <f>RANK(AC12,AC$6:AC$36,1)</f>
        <v>3</v>
      </c>
      <c r="AE12" s="698">
        <f>L14</f>
        <v>24</v>
      </c>
      <c r="AF12" s="727">
        <f>M14</f>
        <v>2</v>
      </c>
      <c r="AG12" s="528">
        <f>SUM(AZ12:BC12)</f>
        <v>2</v>
      </c>
      <c r="AJ12" s="224"/>
      <c r="AK12" s="224"/>
      <c r="AL12" s="224"/>
      <c r="AZ12" s="253" t="str">
        <f>IF($AF12=AZ$5,SUM(AU$3:AU$6),"")</f>
        <v/>
      </c>
      <c r="BA12" s="253">
        <f>IF($AF12=BA$5,SUM(AV$3:AV$6),"")</f>
        <v>2</v>
      </c>
      <c r="BB12" s="253" t="str">
        <f>IF($AF12=BB$5,SUM(AW$3:AW$6),"")</f>
        <v/>
      </c>
      <c r="BC12" s="253" t="str">
        <f>IF($AF12=BC$5,SUM(AX$3:AX$6),"")</f>
        <v/>
      </c>
      <c r="BH12" s="144"/>
    </row>
    <row r="13" spans="1:60" ht="13.5" hidden="1" thickBot="1" x14ac:dyDescent="0.25">
      <c r="B13" s="133"/>
      <c r="C13" s="342"/>
      <c r="D13" s="337"/>
      <c r="E13" s="337"/>
      <c r="F13" s="337"/>
      <c r="G13" s="337"/>
      <c r="H13" s="337"/>
      <c r="I13" s="337"/>
      <c r="J13" s="337"/>
      <c r="K13" s="338"/>
      <c r="L13" s="70"/>
      <c r="AB13" s="133"/>
      <c r="AC13" s="719"/>
      <c r="AD13" s="70"/>
      <c r="AE13" s="229"/>
      <c r="AF13" s="549"/>
      <c r="AG13" s="554"/>
      <c r="BB13" s="253"/>
      <c r="BC13" s="253"/>
      <c r="BH13" s="144"/>
    </row>
    <row r="14" spans="1:60" ht="15" x14ac:dyDescent="0.25">
      <c r="A14" s="1" t="s">
        <v>140</v>
      </c>
      <c r="B14" s="619" t="str">
        <f>Matchups!G11</f>
        <v xml:space="preserve">Pat </v>
      </c>
      <c r="C14" s="339"/>
      <c r="D14" s="116"/>
      <c r="E14" s="116"/>
      <c r="F14" s="116"/>
      <c r="G14" s="116"/>
      <c r="H14" s="116"/>
      <c r="I14" s="116"/>
      <c r="J14" s="116"/>
      <c r="K14" s="117">
        <v>24</v>
      </c>
      <c r="L14" s="12">
        <f>SUM(C14:K14,C18:K18)</f>
        <v>24</v>
      </c>
      <c r="M14" s="2">
        <f>RANK(L14,L$6:L$37,1)</f>
        <v>2</v>
      </c>
      <c r="AB14" s="90" t="str">
        <f>Setup!B10</f>
        <v>Rick</v>
      </c>
      <c r="AC14" s="717">
        <f>Setup!D10</f>
        <v>13.5</v>
      </c>
      <c r="AD14" s="694">
        <f>RANK(AC14,AC$6:AC$36,1)</f>
        <v>6</v>
      </c>
      <c r="AE14" s="697">
        <f>L6</f>
        <v>23</v>
      </c>
      <c r="AF14" s="726">
        <f>M6</f>
        <v>1</v>
      </c>
      <c r="AG14" s="555">
        <f>SUM(AZ14:BC14)</f>
        <v>3</v>
      </c>
      <c r="AI14" s="424"/>
      <c r="AJ14" s="564"/>
      <c r="AK14" s="564"/>
      <c r="AL14" s="424"/>
      <c r="AM14" s="424"/>
      <c r="AZ14" s="253">
        <f>IF($AF14=AZ$5,SUM(AU$3:AU$6),"")</f>
        <v>3</v>
      </c>
      <c r="BA14" s="253" t="str">
        <f>IF($AF14=BA$5,SUM(AV$3:AV$6),"")</f>
        <v/>
      </c>
      <c r="BB14" s="253" t="str">
        <f>IF($AF14=BB$5,SUM(AW$3:AW$6),"")</f>
        <v/>
      </c>
      <c r="BC14" s="253" t="str">
        <f>IF($AF14=BC$5,SUM(AX$3:AX$6),"")</f>
        <v/>
      </c>
      <c r="BH14" s="144"/>
    </row>
    <row r="15" spans="1:60" hidden="1" x14ac:dyDescent="0.2">
      <c r="B15" s="91"/>
      <c r="C15" s="341"/>
      <c r="D15" s="119"/>
      <c r="E15" s="119"/>
      <c r="F15" s="119"/>
      <c r="G15" s="119"/>
      <c r="H15" s="119"/>
      <c r="I15" s="119"/>
      <c r="J15" s="119"/>
      <c r="K15" s="120"/>
      <c r="L15" s="13"/>
      <c r="AB15" s="91"/>
      <c r="AC15" s="718"/>
      <c r="AD15" s="8"/>
      <c r="AE15" s="13"/>
      <c r="AF15" s="548"/>
      <c r="AG15" s="528"/>
      <c r="AI15" s="424"/>
      <c r="AJ15" s="424"/>
      <c r="AK15" s="424"/>
      <c r="AL15" s="424"/>
      <c r="AM15" s="424"/>
      <c r="BB15" s="253"/>
      <c r="BC15" s="253"/>
      <c r="BH15" s="144"/>
    </row>
    <row r="16" spans="1:60" ht="15" x14ac:dyDescent="0.25">
      <c r="B16" s="722" t="str">
        <f>Matchups!G13</f>
        <v>Hunter</v>
      </c>
      <c r="C16" s="526"/>
      <c r="D16" s="241"/>
      <c r="E16" s="241"/>
      <c r="F16" s="241"/>
      <c r="G16" s="241"/>
      <c r="H16" s="241"/>
      <c r="I16" s="241"/>
      <c r="J16" s="241"/>
      <c r="K16" s="242"/>
      <c r="L16" s="13"/>
      <c r="M16" s="2">
        <f>M14</f>
        <v>2</v>
      </c>
      <c r="AB16" s="91" t="str">
        <f>Setup!B12</f>
        <v>Keith</v>
      </c>
      <c r="AC16" s="718">
        <f>Setup!D12</f>
        <v>29.8</v>
      </c>
      <c r="AD16" s="695">
        <f>RANK(AC16,AC$6:AC$36,1)</f>
        <v>16</v>
      </c>
      <c r="AE16" s="698">
        <f>L14</f>
        <v>24</v>
      </c>
      <c r="AF16" s="727">
        <f>M14</f>
        <v>2</v>
      </c>
      <c r="AG16" s="528">
        <f>SUM(AZ16:BC16)</f>
        <v>2</v>
      </c>
      <c r="AI16" s="424"/>
      <c r="AJ16" s="564"/>
      <c r="AK16" s="564"/>
      <c r="AL16" s="424"/>
      <c r="AM16" s="424"/>
      <c r="AZ16" s="253" t="str">
        <f>IF($AF16=AZ$5,SUM(AU$3:AU$6),"")</f>
        <v/>
      </c>
      <c r="BA16" s="253">
        <f>IF($AF16=BA$5,SUM(AV$3:AV$6),"")</f>
        <v>2</v>
      </c>
      <c r="BB16" s="253" t="str">
        <f>IF($AF16=BB$5,SUM(AW$3:AW$6),"")</f>
        <v/>
      </c>
      <c r="BC16" s="253" t="str">
        <f>IF($AF16=BC$5,SUM(AX$3:AX$6),"")</f>
        <v/>
      </c>
      <c r="BH16" s="144"/>
    </row>
    <row r="17" spans="1:60" hidden="1" x14ac:dyDescent="0.2">
      <c r="B17" s="91"/>
      <c r="C17" s="526"/>
      <c r="D17" s="241"/>
      <c r="E17" s="241"/>
      <c r="F17" s="241"/>
      <c r="G17" s="241"/>
      <c r="H17" s="241"/>
      <c r="I17" s="241"/>
      <c r="J17" s="241"/>
      <c r="K17" s="242"/>
      <c r="L17" s="13"/>
      <c r="AB17" s="91"/>
      <c r="AC17" s="718"/>
      <c r="AD17" s="8"/>
      <c r="AE17" s="13"/>
      <c r="AF17" s="548"/>
      <c r="AG17" s="528"/>
      <c r="AI17" s="424"/>
      <c r="AJ17" s="424"/>
      <c r="AK17" s="424"/>
      <c r="AL17" s="424"/>
      <c r="AM17" s="424"/>
      <c r="BB17" s="253"/>
      <c r="BC17" s="253"/>
      <c r="BH17" s="144"/>
    </row>
    <row r="18" spans="1:60" ht="15" x14ac:dyDescent="0.25">
      <c r="A18" s="740">
        <f>AVERAGE(AC12,AC26,AC16,AC30)</f>
        <v>18.25</v>
      </c>
      <c r="B18" s="722" t="str">
        <f>Matchups!G15</f>
        <v>Bob</v>
      </c>
      <c r="C18" s="754"/>
      <c r="D18" s="755"/>
      <c r="E18" s="755"/>
      <c r="F18" s="755"/>
      <c r="G18" s="755"/>
      <c r="H18" s="755"/>
      <c r="I18" s="755"/>
      <c r="J18" s="755"/>
      <c r="K18" s="756"/>
      <c r="L18" s="13"/>
      <c r="M18" s="2">
        <f>M16</f>
        <v>2</v>
      </c>
      <c r="AB18" s="91" t="str">
        <f>Setup!B14</f>
        <v>Tony W</v>
      </c>
      <c r="AC18" s="718">
        <f>Setup!D14</f>
        <v>22.1</v>
      </c>
      <c r="AD18" s="695">
        <f>RANK(AC18,AC$6:AC$36,1)</f>
        <v>11</v>
      </c>
      <c r="AE18" s="698">
        <f>L30</f>
        <v>26</v>
      </c>
      <c r="AF18" s="727">
        <f>M30</f>
        <v>4</v>
      </c>
      <c r="AG18" s="528">
        <f>SUM(AZ18:BC18)</f>
        <v>0</v>
      </c>
      <c r="AI18" s="424"/>
      <c r="AJ18" s="564"/>
      <c r="AK18" s="564"/>
      <c r="AL18" s="424"/>
      <c r="AM18" s="424"/>
      <c r="AZ18" s="253" t="str">
        <f>IF($AF18=AZ$5,SUM(AU$3:AU$6),"")</f>
        <v/>
      </c>
      <c r="BA18" s="253" t="str">
        <f>IF($AF18=BA$5,SUM(AV$3:AV$6),"")</f>
        <v/>
      </c>
      <c r="BB18" s="253" t="str">
        <f>IF($AF18=BB$5,SUM(AW$3:AW$6),"")</f>
        <v/>
      </c>
      <c r="BC18" s="253">
        <f>IF($AF18=BC$5,SUM(AX$3:AX$6),"")</f>
        <v>0</v>
      </c>
      <c r="BH18" s="144"/>
    </row>
    <row r="19" spans="1:60" hidden="1" x14ac:dyDescent="0.2">
      <c r="B19" s="91"/>
      <c r="C19" s="540"/>
      <c r="D19" s="244"/>
      <c r="E19" s="244"/>
      <c r="F19" s="244"/>
      <c r="G19" s="244"/>
      <c r="H19" s="244"/>
      <c r="I19" s="244"/>
      <c r="J19" s="244"/>
      <c r="K19" s="245"/>
      <c r="L19" s="229"/>
      <c r="AB19" s="91"/>
      <c r="AC19" s="718"/>
      <c r="AD19" s="8"/>
      <c r="AE19" s="229"/>
      <c r="AF19" s="549"/>
      <c r="AG19" s="528"/>
      <c r="AI19" s="424"/>
      <c r="AJ19" s="424"/>
      <c r="AK19" s="424"/>
      <c r="AL19" s="424"/>
      <c r="AM19" s="424"/>
      <c r="BB19" s="253"/>
      <c r="BC19" s="253"/>
      <c r="BH19" s="144"/>
    </row>
    <row r="20" spans="1:60" ht="15.75" thickBot="1" x14ac:dyDescent="0.3">
      <c r="B20" s="723" t="str">
        <f>Matchups!G17</f>
        <v>Keith</v>
      </c>
      <c r="C20" s="526"/>
      <c r="D20" s="241"/>
      <c r="E20" s="241"/>
      <c r="F20" s="241"/>
      <c r="G20" s="241"/>
      <c r="H20" s="241"/>
      <c r="I20" s="241"/>
      <c r="J20" s="241"/>
      <c r="K20" s="242"/>
      <c r="L20" s="13"/>
      <c r="M20" s="2">
        <f>M18</f>
        <v>2</v>
      </c>
      <c r="AB20" s="91" t="str">
        <f>Setup!B16</f>
        <v>Manny</v>
      </c>
      <c r="AC20" s="718">
        <f>Setup!D16</f>
        <v>25.2</v>
      </c>
      <c r="AD20" s="696">
        <f>RANK(AC20,AC$6:AC$36,1)</f>
        <v>13</v>
      </c>
      <c r="AE20" s="724">
        <f>L22</f>
        <v>25</v>
      </c>
      <c r="AF20" s="728">
        <f>M22</f>
        <v>3</v>
      </c>
      <c r="AG20" s="529">
        <f>SUM(AZ20:BC20)</f>
        <v>1</v>
      </c>
      <c r="AI20" s="424"/>
      <c r="AJ20" s="564"/>
      <c r="AK20" s="564"/>
      <c r="AL20" s="424"/>
      <c r="AM20" s="424"/>
      <c r="AZ20" s="253" t="str">
        <f>IF($AF20=AZ$5,SUM(AU$3:AU$6),"")</f>
        <v/>
      </c>
      <c r="BA20" s="253" t="str">
        <f>IF($AF20=BA$5,SUM(AV$3:AV$6),"")</f>
        <v/>
      </c>
      <c r="BB20" s="253">
        <f>IF($AF20=BB$5,SUM(AW$3:AW$6),"")</f>
        <v>1</v>
      </c>
      <c r="BC20" s="253" t="str">
        <f>IF($AF20=BC$5,SUM(AX$3:AX$6),"")</f>
        <v/>
      </c>
      <c r="BH20" s="144"/>
    </row>
    <row r="21" spans="1:60" ht="13.5" hidden="1" thickBot="1" x14ac:dyDescent="0.25">
      <c r="B21" s="423"/>
      <c r="C21" s="342"/>
      <c r="D21" s="337"/>
      <c r="E21" s="337"/>
      <c r="F21" s="337"/>
      <c r="G21" s="337"/>
      <c r="H21" s="337"/>
      <c r="I21" s="337"/>
      <c r="J21" s="337"/>
      <c r="K21" s="338"/>
      <c r="L21" s="229"/>
      <c r="AB21" s="133"/>
      <c r="AC21" s="719"/>
      <c r="AD21" s="71"/>
      <c r="AE21" s="250"/>
      <c r="AF21" s="15"/>
      <c r="AG21" s="530"/>
      <c r="AI21" s="424"/>
      <c r="AJ21" s="424"/>
      <c r="AK21" s="424"/>
      <c r="AL21" s="424"/>
      <c r="AM21" s="424"/>
      <c r="BB21" s="253"/>
      <c r="BC21" s="253"/>
      <c r="BH21" s="144"/>
    </row>
    <row r="22" spans="1:60" ht="15" x14ac:dyDescent="0.25">
      <c r="A22" s="1" t="s">
        <v>141</v>
      </c>
      <c r="B22" s="619" t="str">
        <f>Matchups!G19</f>
        <v>John</v>
      </c>
      <c r="C22" s="339"/>
      <c r="D22" s="116"/>
      <c r="E22" s="116"/>
      <c r="F22" s="116"/>
      <c r="G22" s="116"/>
      <c r="H22" s="116"/>
      <c r="I22" s="116"/>
      <c r="J22" s="116"/>
      <c r="K22" s="117">
        <v>25</v>
      </c>
      <c r="L22" s="12">
        <f>SUM(C22:K22,C26:K26)</f>
        <v>25</v>
      </c>
      <c r="M22" s="2">
        <f>RANK(L22,L$6:L$37,1)</f>
        <v>3</v>
      </c>
      <c r="AB22" s="90" t="str">
        <f>Setup!B18</f>
        <v>Tommy</v>
      </c>
      <c r="AC22" s="717">
        <f>Setup!D18</f>
        <v>9.4</v>
      </c>
      <c r="AD22" s="695">
        <f>RANK(AC22,AC$6:AC$36,1)</f>
        <v>2</v>
      </c>
      <c r="AE22" s="694">
        <f>L22</f>
        <v>25</v>
      </c>
      <c r="AF22" s="700">
        <f>M22</f>
        <v>3</v>
      </c>
      <c r="AG22" s="528">
        <f>SUM(AZ22:BC22)</f>
        <v>1</v>
      </c>
      <c r="AI22" s="424"/>
      <c r="AJ22" s="564"/>
      <c r="AK22" s="564"/>
      <c r="AL22" s="424"/>
      <c r="AM22" s="424"/>
      <c r="AZ22" s="253" t="str">
        <f>IF($AF22=AZ$5,SUM(AU$3:AU$6),"")</f>
        <v/>
      </c>
      <c r="BA22" s="253" t="str">
        <f>IF($AF22=BA$5,SUM(AV$3:AV$6),"")</f>
        <v/>
      </c>
      <c r="BB22" s="253">
        <f>IF($AF22=BB$5,SUM(AW$3:AW$6),"")</f>
        <v>1</v>
      </c>
      <c r="BC22" s="253" t="str">
        <f>IF($AF22=BC$5,SUM(AX$3:AX$6),"")</f>
        <v/>
      </c>
      <c r="BH22" s="144"/>
    </row>
    <row r="23" spans="1:60" hidden="1" x14ac:dyDescent="0.2">
      <c r="B23" s="91"/>
      <c r="C23" s="341"/>
      <c r="D23" s="119"/>
      <c r="E23" s="119"/>
      <c r="F23" s="119"/>
      <c r="G23" s="119"/>
      <c r="H23" s="119"/>
      <c r="I23" s="119"/>
      <c r="J23" s="119"/>
      <c r="K23" s="120"/>
      <c r="L23" s="13"/>
      <c r="AB23" s="91"/>
      <c r="AC23" s="718"/>
      <c r="AD23" s="8"/>
      <c r="AE23" s="8"/>
      <c r="AF23" s="407"/>
      <c r="AG23" s="528"/>
      <c r="AI23" s="424"/>
      <c r="AJ23" s="424"/>
      <c r="AK23" s="424"/>
      <c r="AL23" s="424"/>
      <c r="AM23" s="424"/>
      <c r="BB23" s="253"/>
      <c r="BC23" s="253"/>
      <c r="BH23" s="144"/>
    </row>
    <row r="24" spans="1:60" ht="15" x14ac:dyDescent="0.25">
      <c r="B24" s="722" t="str">
        <f>Matchups!G21</f>
        <v>Manny</v>
      </c>
      <c r="C24" s="526"/>
      <c r="D24" s="241"/>
      <c r="E24" s="241"/>
      <c r="F24" s="241"/>
      <c r="G24" s="241"/>
      <c r="H24" s="241"/>
      <c r="I24" s="241"/>
      <c r="J24" s="241"/>
      <c r="K24" s="242"/>
      <c r="L24" s="13"/>
      <c r="M24" s="2">
        <f>M22</f>
        <v>3</v>
      </c>
      <c r="AB24" s="91" t="str">
        <f>Setup!B20</f>
        <v>Dave</v>
      </c>
      <c r="AC24" s="718">
        <f>Setup!D20</f>
        <v>8.8000000000000007</v>
      </c>
      <c r="AD24" s="695">
        <f>RANK(AC24,AC$6:AC$36,1)</f>
        <v>1</v>
      </c>
      <c r="AE24" s="695">
        <f>L30</f>
        <v>26</v>
      </c>
      <c r="AF24" s="701">
        <f>M30</f>
        <v>4</v>
      </c>
      <c r="AG24" s="528">
        <f>SUM(AZ24:BC24)</f>
        <v>0</v>
      </c>
      <c r="AI24" s="424"/>
      <c r="AJ24" s="564"/>
      <c r="AK24" s="564"/>
      <c r="AL24" s="424"/>
      <c r="AM24" s="424"/>
      <c r="AZ24" s="253" t="str">
        <f>IF($AF24=AZ$5,SUM(AU$3:AU$6),"")</f>
        <v/>
      </c>
      <c r="BA24" s="253" t="str">
        <f>IF($AF24=BA$5,SUM(AV$3:AV$6),"")</f>
        <v/>
      </c>
      <c r="BB24" s="253" t="str">
        <f>IF($AF24=BB$5,SUM(AW$3:AW$6),"")</f>
        <v/>
      </c>
      <c r="BC24" s="253">
        <f>IF($AF24=BC$5,SUM(AX$3:AX$6),"")</f>
        <v>0</v>
      </c>
      <c r="BH24" s="144"/>
    </row>
    <row r="25" spans="1:60" hidden="1" x14ac:dyDescent="0.2">
      <c r="B25" s="91"/>
      <c r="C25" s="526"/>
      <c r="D25" s="241"/>
      <c r="E25" s="241"/>
      <c r="F25" s="241"/>
      <c r="G25" s="241"/>
      <c r="H25" s="241"/>
      <c r="I25" s="241"/>
      <c r="J25" s="241"/>
      <c r="K25" s="242"/>
      <c r="L25" s="13"/>
      <c r="AB25" s="91"/>
      <c r="AC25" s="718"/>
      <c r="AD25" s="8"/>
      <c r="AE25" s="8"/>
      <c r="AF25" s="407"/>
      <c r="AG25" s="528"/>
      <c r="AI25" s="424"/>
      <c r="AJ25" s="424"/>
      <c r="AK25" s="424"/>
      <c r="AL25" s="424"/>
      <c r="AM25" s="424"/>
      <c r="BB25" s="253"/>
      <c r="BC25" s="253"/>
      <c r="BH25" s="144"/>
    </row>
    <row r="26" spans="1:60" ht="15" x14ac:dyDescent="0.25">
      <c r="A26" s="740">
        <f>AVERAGE(AC34,AC22,AC20,AC8)</f>
        <v>17.724999999999998</v>
      </c>
      <c r="B26" s="722" t="str">
        <f>Matchups!G23</f>
        <v>Brian S</v>
      </c>
      <c r="C26" s="754"/>
      <c r="D26" s="755"/>
      <c r="E26" s="755"/>
      <c r="F26" s="755"/>
      <c r="G26" s="755"/>
      <c r="H26" s="755"/>
      <c r="I26" s="755"/>
      <c r="J26" s="755"/>
      <c r="K26" s="756"/>
      <c r="L26" s="13"/>
      <c r="M26" s="2">
        <f>M24</f>
        <v>3</v>
      </c>
      <c r="AB26" s="91" t="str">
        <f>Setup!B22</f>
        <v>Hunter</v>
      </c>
      <c r="AC26" s="718">
        <f>Setup!D22</f>
        <v>13.4</v>
      </c>
      <c r="AD26" s="695">
        <f>RANK(AC26,AC$6:AC$36,1)</f>
        <v>5</v>
      </c>
      <c r="AE26" s="695">
        <f>L14</f>
        <v>24</v>
      </c>
      <c r="AF26" s="701">
        <f>M14</f>
        <v>2</v>
      </c>
      <c r="AG26" s="528">
        <f>SUM(AZ26:BC26)</f>
        <v>2</v>
      </c>
      <c r="AI26" s="424"/>
      <c r="AJ26" s="564"/>
      <c r="AK26" s="564"/>
      <c r="AL26" s="424"/>
      <c r="AM26" s="424"/>
      <c r="AZ26" s="253" t="str">
        <f>IF($AF26=AZ$5,SUM(AU$3:AU$6),"")</f>
        <v/>
      </c>
      <c r="BA26" s="253">
        <f>IF($AF26=BA$5,SUM(AV$3:AV$6),"")</f>
        <v>2</v>
      </c>
      <c r="BB26" s="253" t="str">
        <f>IF($AF26=BB$5,SUM(AW$3:AW$6),"")</f>
        <v/>
      </c>
      <c r="BC26" s="253" t="str">
        <f>IF($AF26=BC$5,SUM(AX$3:AX$6),"")</f>
        <v/>
      </c>
      <c r="BH26" s="144"/>
    </row>
    <row r="27" spans="1:60" hidden="1" x14ac:dyDescent="0.2">
      <c r="B27" s="91"/>
      <c r="C27" s="526"/>
      <c r="D27" s="241"/>
      <c r="E27" s="241"/>
      <c r="F27" s="241"/>
      <c r="G27" s="241"/>
      <c r="H27" s="241"/>
      <c r="I27" s="241"/>
      <c r="J27" s="241"/>
      <c r="K27" s="242"/>
      <c r="L27" s="13"/>
      <c r="AB27" s="91"/>
      <c r="AC27" s="718"/>
      <c r="AD27" s="8"/>
      <c r="AE27" s="8"/>
      <c r="AF27" s="407"/>
      <c r="AG27" s="528"/>
      <c r="AI27" s="424"/>
      <c r="AJ27" s="424"/>
      <c r="AK27" s="424"/>
      <c r="AL27" s="424"/>
      <c r="AM27" s="424"/>
      <c r="BB27" s="253"/>
      <c r="BC27" s="253"/>
      <c r="BH27" s="144"/>
    </row>
    <row r="28" spans="1:60" ht="15.75" thickBot="1" x14ac:dyDescent="0.3">
      <c r="B28" s="723" t="str">
        <f>Matchups!G25</f>
        <v>Tommy</v>
      </c>
      <c r="C28" s="527"/>
      <c r="D28" s="247"/>
      <c r="E28" s="247"/>
      <c r="F28" s="247"/>
      <c r="G28" s="247"/>
      <c r="H28" s="247"/>
      <c r="I28" s="247"/>
      <c r="J28" s="247"/>
      <c r="K28" s="248"/>
      <c r="L28" s="14"/>
      <c r="M28" s="2">
        <f>M26</f>
        <v>3</v>
      </c>
      <c r="AB28" s="456" t="str">
        <f>Setup!B24</f>
        <v>Gerald C</v>
      </c>
      <c r="AC28" s="770">
        <f>Setup!D24</f>
        <v>27.6</v>
      </c>
      <c r="AD28" s="767">
        <f>RANK(AC28,AC$6:AC$36,1)</f>
        <v>15</v>
      </c>
      <c r="AE28" s="771">
        <f>L6</f>
        <v>23</v>
      </c>
      <c r="AF28" s="772">
        <f>M6</f>
        <v>1</v>
      </c>
      <c r="AG28" s="529">
        <f>SUM(AZ28:BC28)</f>
        <v>3</v>
      </c>
      <c r="AI28" s="424"/>
      <c r="AJ28" s="564"/>
      <c r="AK28" s="564"/>
      <c r="AL28" s="424"/>
      <c r="AM28" s="424"/>
      <c r="AZ28" s="253">
        <f>IF($AF28=AZ$5,SUM(AU$3:AU$6),"")</f>
        <v>3</v>
      </c>
      <c r="BA28" s="253" t="str">
        <f>IF($AF28=BA$5,SUM(AV$3:AV$6),"")</f>
        <v/>
      </c>
      <c r="BB28" s="253" t="str">
        <f>IF($AF28=BB$5,SUM(AW$3:AW$6),"")</f>
        <v/>
      </c>
      <c r="BC28" s="253" t="str">
        <f>IF($AF28=BC$5,SUM(AX$3:AX$6),"")</f>
        <v/>
      </c>
      <c r="BH28" s="144"/>
    </row>
    <row r="29" spans="1:60" ht="13.5" hidden="1" thickBot="1" x14ac:dyDescent="0.25">
      <c r="B29" s="136"/>
      <c r="C29" s="124"/>
      <c r="D29" s="125"/>
      <c r="E29" s="125"/>
      <c r="F29" s="125"/>
      <c r="G29" s="125"/>
      <c r="H29" s="125"/>
      <c r="I29" s="125"/>
      <c r="J29" s="125"/>
      <c r="K29" s="126"/>
      <c r="L29" s="250"/>
      <c r="AB29" s="136"/>
      <c r="AC29" s="721"/>
      <c r="AD29" s="70"/>
      <c r="AE29" s="250"/>
      <c r="AF29" s="15"/>
      <c r="AG29" s="270"/>
      <c r="AI29" s="424"/>
      <c r="AJ29" s="424"/>
      <c r="AK29" s="424"/>
      <c r="AL29" s="424"/>
      <c r="AM29" s="424"/>
      <c r="BB29" s="253"/>
      <c r="BC29" s="253"/>
      <c r="BH29" s="144"/>
    </row>
    <row r="30" spans="1:60" ht="15" x14ac:dyDescent="0.25">
      <c r="A30" s="1" t="s">
        <v>142</v>
      </c>
      <c r="B30" s="722" t="str">
        <f>Matchups!G27</f>
        <v>Mil</v>
      </c>
      <c r="C30" s="339"/>
      <c r="D30" s="116"/>
      <c r="E30" s="116"/>
      <c r="F30" s="116"/>
      <c r="G30" s="116"/>
      <c r="H30" s="116"/>
      <c r="I30" s="116"/>
      <c r="J30" s="116"/>
      <c r="K30" s="401">
        <v>26</v>
      </c>
      <c r="L30" s="5">
        <f>SUM(C30:K30,C34:K34)</f>
        <v>26</v>
      </c>
      <c r="M30" s="2">
        <f>RANK(L30,L$6:L$37,1)</f>
        <v>4</v>
      </c>
      <c r="AB30" s="91" t="str">
        <f>Setup!B26</f>
        <v>Bob</v>
      </c>
      <c r="AC30" s="718">
        <f>Setup!D26</f>
        <v>18.100000000000001</v>
      </c>
      <c r="AD30" s="694">
        <f>RANK(AC30,AC$6:AC$36,1)</f>
        <v>10</v>
      </c>
      <c r="AE30" s="725">
        <f>L14</f>
        <v>24</v>
      </c>
      <c r="AF30" s="729">
        <f>M14</f>
        <v>2</v>
      </c>
      <c r="AG30" s="555">
        <f>SUM(AZ30:BC30)</f>
        <v>2</v>
      </c>
      <c r="AI30" s="424"/>
      <c r="AJ30" s="564"/>
      <c r="AK30" s="424"/>
      <c r="AL30" s="424"/>
      <c r="AM30" s="424"/>
      <c r="AZ30" s="253" t="str">
        <f>IF($AF30=AZ$5,SUM(AU$3:AU$6),"")</f>
        <v/>
      </c>
      <c r="BA30" s="253">
        <f>IF($AF30=BA$5,SUM(AV$3:AV$6),"")</f>
        <v>2</v>
      </c>
      <c r="BB30" s="253" t="str">
        <f>IF($AF30=BB$5,SUM(AW$3:AW$6),"")</f>
        <v/>
      </c>
      <c r="BC30" s="253" t="str">
        <f>IF($AF30=BC$5,SUM(AX$3:AX$6),"")</f>
        <v/>
      </c>
      <c r="BH30" s="144"/>
    </row>
    <row r="31" spans="1:60" hidden="1" x14ac:dyDescent="0.2">
      <c r="B31" s="91"/>
      <c r="C31" s="341"/>
      <c r="D31" s="119"/>
      <c r="E31" s="119"/>
      <c r="F31" s="119"/>
      <c r="G31" s="119"/>
      <c r="H31" s="119"/>
      <c r="I31" s="119"/>
      <c r="J31" s="119"/>
      <c r="K31" s="402"/>
      <c r="L31" s="8"/>
      <c r="AB31" s="91"/>
      <c r="AC31" s="718"/>
      <c r="AD31" s="8"/>
      <c r="AE31" s="13"/>
      <c r="AF31" s="548"/>
      <c r="AG31" s="528"/>
      <c r="AI31" s="424"/>
      <c r="AJ31" s="424"/>
      <c r="AK31" s="424"/>
      <c r="AL31" s="424"/>
      <c r="AM31" s="424"/>
      <c r="BB31" s="253"/>
      <c r="BC31" s="253"/>
      <c r="BH31" s="139"/>
    </row>
    <row r="32" spans="1:60" ht="15" x14ac:dyDescent="0.25">
      <c r="B32" s="722" t="str">
        <f>Matchups!G29</f>
        <v>Dave</v>
      </c>
      <c r="C32" s="526"/>
      <c r="D32" s="241"/>
      <c r="E32" s="241"/>
      <c r="F32" s="241"/>
      <c r="G32" s="241"/>
      <c r="H32" s="241"/>
      <c r="I32" s="241"/>
      <c r="J32" s="241"/>
      <c r="K32" s="542"/>
      <c r="L32" s="8"/>
      <c r="M32" s="2">
        <f>M30</f>
        <v>4</v>
      </c>
      <c r="AB32" s="91" t="str">
        <f>Setup!B28</f>
        <v>Patrick</v>
      </c>
      <c r="AC32" s="718">
        <f>Setup!D28</f>
        <v>17.5</v>
      </c>
      <c r="AD32" s="695">
        <f>RANK(AC32,AC$6:AC$36,1)</f>
        <v>9</v>
      </c>
      <c r="AE32" s="698">
        <f>L6</f>
        <v>23</v>
      </c>
      <c r="AF32" s="727">
        <f>M6</f>
        <v>1</v>
      </c>
      <c r="AG32" s="528">
        <f>SUM(AZ32:BC32)</f>
        <v>3</v>
      </c>
      <c r="AI32" s="424"/>
      <c r="AJ32" s="564"/>
      <c r="AK32" s="424"/>
      <c r="AL32" s="424"/>
      <c r="AM32" s="424"/>
      <c r="AZ32" s="253">
        <f>IF($AF32=AZ$5,SUM(AU$3:AU$6),"")</f>
        <v>3</v>
      </c>
      <c r="BA32" s="253" t="str">
        <f>IF($AF32=BA$5,SUM(AV$3:AV$6),"")</f>
        <v/>
      </c>
      <c r="BB32" s="253" t="str">
        <f>IF($AF32=BB$5,SUM(AW$3:AW$6),"")</f>
        <v/>
      </c>
      <c r="BC32" s="253" t="str">
        <f>IF($AF32=BC$5,SUM(AX$3:AX$6),"")</f>
        <v/>
      </c>
      <c r="BH32" s="144"/>
    </row>
    <row r="33" spans="1:60" hidden="1" x14ac:dyDescent="0.2">
      <c r="B33" s="91"/>
      <c r="C33" s="526"/>
      <c r="D33" s="241"/>
      <c r="E33" s="241"/>
      <c r="F33" s="241"/>
      <c r="G33" s="241"/>
      <c r="H33" s="241"/>
      <c r="I33" s="241"/>
      <c r="J33" s="241"/>
      <c r="K33" s="542"/>
      <c r="L33" s="8"/>
      <c r="AB33" s="91"/>
      <c r="AC33" s="718"/>
      <c r="AD33" s="8"/>
      <c r="AE33" s="13"/>
      <c r="AF33" s="548"/>
      <c r="AG33" s="528"/>
      <c r="AI33" s="424"/>
      <c r="AJ33" s="424"/>
      <c r="AK33" s="424"/>
      <c r="AL33" s="424"/>
      <c r="AM33" s="424"/>
      <c r="BB33" s="253"/>
      <c r="BC33" s="253"/>
    </row>
    <row r="34" spans="1:60" s="425" customFormat="1" ht="15" x14ac:dyDescent="0.25">
      <c r="A34" s="739">
        <f>AVERAGE(AC18,AC6,AC24,AC36)</f>
        <v>17.875</v>
      </c>
      <c r="B34" s="722" t="str">
        <f>Matchups!G31</f>
        <v>Tony W</v>
      </c>
      <c r="C34" s="754"/>
      <c r="D34" s="755"/>
      <c r="E34" s="755"/>
      <c r="F34" s="755"/>
      <c r="G34" s="755"/>
      <c r="H34" s="755"/>
      <c r="I34" s="755"/>
      <c r="J34" s="755"/>
      <c r="K34" s="757"/>
      <c r="L34" s="8"/>
      <c r="M34" s="2">
        <f>M32</f>
        <v>4</v>
      </c>
      <c r="N34" s="424"/>
      <c r="O34" s="424"/>
      <c r="P34" s="424"/>
      <c r="Q34" s="424"/>
      <c r="R34" s="424"/>
      <c r="S34" s="424"/>
      <c r="AB34" s="91" t="str">
        <f>Setup!B30</f>
        <v>Brian S</v>
      </c>
      <c r="AC34" s="718">
        <f>Setup!D30</f>
        <v>23.7</v>
      </c>
      <c r="AD34" s="695">
        <f>RANK(AC34,AC$6:AC$36,1)</f>
        <v>12</v>
      </c>
      <c r="AE34" s="698">
        <f>L22</f>
        <v>25</v>
      </c>
      <c r="AF34" s="727">
        <f>M22</f>
        <v>3</v>
      </c>
      <c r="AG34" s="528">
        <f>SUM(AZ34:BC34)</f>
        <v>1</v>
      </c>
      <c r="AH34" s="424"/>
      <c r="AI34" s="424"/>
      <c r="AJ34" s="564"/>
      <c r="AK34" s="424"/>
      <c r="AL34" s="424"/>
      <c r="AM34" s="424"/>
      <c r="AN34" s="253"/>
      <c r="AO34" s="253"/>
      <c r="AP34" s="253"/>
      <c r="AQ34" s="253"/>
      <c r="AR34" s="253"/>
      <c r="AS34" s="253"/>
      <c r="AT34" s="253"/>
      <c r="AU34" s="253"/>
      <c r="AV34" s="253"/>
      <c r="AW34" s="253"/>
      <c r="AX34" s="253"/>
      <c r="AY34" s="253"/>
      <c r="AZ34" s="253" t="str">
        <f>IF($AF34=AZ$5,SUM(AU$3:AU$6),"")</f>
        <v/>
      </c>
      <c r="BA34" s="253" t="str">
        <f>IF($AF34=BA$5,SUM(AV$3:AV$6),"")</f>
        <v/>
      </c>
      <c r="BB34" s="253">
        <f>IF($AF34=BB$5,SUM(AW$3:AW$6),"")</f>
        <v>1</v>
      </c>
      <c r="BC34" s="253" t="str">
        <f>IF($AF34=BC$5,SUM(AX$3:AX$6),"")</f>
        <v/>
      </c>
      <c r="BD34" s="2"/>
      <c r="BE34" s="2"/>
      <c r="BF34" s="2"/>
      <c r="BG34" s="2"/>
      <c r="BH34" s="424"/>
    </row>
    <row r="35" spans="1:60" s="425" customFormat="1" hidden="1" x14ac:dyDescent="0.2">
      <c r="B35" s="91"/>
      <c r="C35" s="526"/>
      <c r="D35" s="241"/>
      <c r="E35" s="241"/>
      <c r="F35" s="241"/>
      <c r="G35" s="241"/>
      <c r="H35" s="241"/>
      <c r="I35" s="241"/>
      <c r="J35" s="241"/>
      <c r="K35" s="542"/>
      <c r="L35" s="545"/>
      <c r="M35" s="2"/>
      <c r="N35" s="424"/>
      <c r="O35" s="424"/>
      <c r="P35" s="424"/>
      <c r="Q35" s="424"/>
      <c r="R35" s="424"/>
      <c r="S35" s="424"/>
      <c r="AB35" s="91"/>
      <c r="AC35" s="718"/>
      <c r="AD35" s="8"/>
      <c r="AE35" s="13"/>
      <c r="AF35" s="548"/>
      <c r="AG35" s="528"/>
      <c r="AH35" s="424"/>
      <c r="AI35" s="424"/>
      <c r="AK35" s="424"/>
      <c r="AL35" s="424"/>
      <c r="AM35" s="424"/>
      <c r="AN35" s="253"/>
      <c r="AO35" s="253"/>
      <c r="AP35" s="253"/>
      <c r="AQ35" s="253"/>
      <c r="AR35" s="253"/>
      <c r="AS35" s="253"/>
      <c r="AT35" s="253"/>
      <c r="AU35" s="253"/>
      <c r="AV35" s="253"/>
      <c r="AW35" s="253"/>
      <c r="AX35" s="253"/>
      <c r="AY35" s="253"/>
      <c r="AZ35" s="253"/>
      <c r="BA35" s="253"/>
      <c r="BB35" s="253"/>
      <c r="BC35" s="253"/>
      <c r="BD35" s="2"/>
      <c r="BE35" s="2"/>
      <c r="BF35" s="2"/>
      <c r="BG35" s="2"/>
      <c r="BH35" s="424"/>
    </row>
    <row r="36" spans="1:60" s="425" customFormat="1" ht="15.75" thickBot="1" x14ac:dyDescent="0.3">
      <c r="B36" s="723" t="str">
        <f>Matchups!G33</f>
        <v>Chris</v>
      </c>
      <c r="C36" s="527"/>
      <c r="D36" s="247"/>
      <c r="E36" s="247"/>
      <c r="F36" s="690" t="s">
        <v>145</v>
      </c>
      <c r="G36" s="247"/>
      <c r="H36" s="247"/>
      <c r="I36" s="247"/>
      <c r="J36" s="247"/>
      <c r="K36" s="543"/>
      <c r="L36" s="11"/>
      <c r="M36" s="2">
        <f>M34</f>
        <v>4</v>
      </c>
      <c r="N36" s="424"/>
      <c r="O36" s="424"/>
      <c r="P36" s="424"/>
      <c r="Q36" s="424"/>
      <c r="R36" s="424"/>
      <c r="S36" s="424"/>
      <c r="AB36" s="92" t="str">
        <f>Setup!B32</f>
        <v>Chris</v>
      </c>
      <c r="AC36" s="720">
        <f>Setup!D32</f>
        <v>27.1</v>
      </c>
      <c r="AD36" s="696">
        <f>RANK(AC36,AC$6:AC$36,1)</f>
        <v>14</v>
      </c>
      <c r="AE36" s="699">
        <f>L30</f>
        <v>26</v>
      </c>
      <c r="AF36" s="730">
        <f>M30</f>
        <v>4</v>
      </c>
      <c r="AG36" s="529">
        <f>SUM(AZ36:BC36)</f>
        <v>0</v>
      </c>
      <c r="AH36" s="424"/>
      <c r="AI36" s="424"/>
      <c r="AJ36" s="564"/>
      <c r="AK36" s="424"/>
      <c r="AL36" s="424"/>
      <c r="AM36" s="424"/>
      <c r="AN36" s="253"/>
      <c r="AO36" s="253"/>
      <c r="AP36" s="253"/>
      <c r="AQ36" s="253"/>
      <c r="AR36" s="253"/>
      <c r="AS36" s="253"/>
      <c r="AT36" s="253"/>
      <c r="AU36" s="253"/>
      <c r="AV36" s="253"/>
      <c r="AW36" s="253"/>
      <c r="AX36" s="253"/>
      <c r="AY36" s="253"/>
      <c r="AZ36" s="253" t="str">
        <f>IF($AF36=AZ$5,SUM(AU$3:AU$6),"")</f>
        <v/>
      </c>
      <c r="BA36" s="253" t="str">
        <f>IF($AF36=BA$5,SUM(AV$3:AV$6),"")</f>
        <v/>
      </c>
      <c r="BB36" s="253" t="str">
        <f>IF($AF36=BB$5,SUM(AW$3:AW$6),"")</f>
        <v/>
      </c>
      <c r="BC36" s="253">
        <f>IF($AF36=BC$5,SUM(AX$3:AX$6),"")</f>
        <v>0</v>
      </c>
      <c r="BD36" s="2"/>
      <c r="BE36" s="2"/>
      <c r="BF36" s="2"/>
      <c r="BG36" s="2"/>
      <c r="BH36" s="424"/>
    </row>
    <row r="37" spans="1:60" s="425" customFormat="1" ht="13.5" hidden="1" thickBot="1" x14ac:dyDescent="0.25">
      <c r="B37" s="689"/>
      <c r="C37" s="683"/>
      <c r="D37" s="684"/>
      <c r="E37" s="684"/>
      <c r="F37" s="684"/>
      <c r="G37" s="684"/>
      <c r="H37" s="684"/>
      <c r="I37" s="684"/>
      <c r="J37" s="684"/>
      <c r="K37" s="685"/>
      <c r="L37" s="546"/>
      <c r="M37" s="424"/>
      <c r="N37" s="424"/>
      <c r="O37" s="424"/>
      <c r="P37" s="424"/>
      <c r="Q37" s="424"/>
      <c r="R37" s="424"/>
      <c r="S37" s="424"/>
      <c r="AB37" s="136"/>
      <c r="AC37" s="692"/>
      <c r="AD37" s="692"/>
      <c r="AE37" s="692"/>
      <c r="AF37" s="692"/>
      <c r="AG37" s="691"/>
      <c r="AH37" s="424"/>
      <c r="AI37" s="424"/>
      <c r="AK37" s="424"/>
      <c r="AL37" s="424"/>
      <c r="AM37" s="424"/>
      <c r="AN37" s="253"/>
      <c r="AO37" s="253"/>
      <c r="AP37" s="253"/>
      <c r="AQ37" s="253"/>
      <c r="AR37" s="253"/>
      <c r="AS37" s="253"/>
      <c r="AT37" s="253"/>
      <c r="AU37" s="253"/>
      <c r="AV37" s="253"/>
      <c r="AW37" s="253"/>
      <c r="AX37" s="253"/>
      <c r="AY37" s="253"/>
      <c r="AZ37" s="253"/>
      <c r="BA37" s="253"/>
      <c r="BB37" s="1"/>
      <c r="BC37" s="1"/>
      <c r="BD37" s="2"/>
      <c r="BE37" s="2"/>
      <c r="BF37" s="2"/>
      <c r="BG37" s="2"/>
      <c r="BH37" s="424"/>
    </row>
    <row r="40" spans="1:60" x14ac:dyDescent="0.2">
      <c r="B40" s="759" t="s">
        <v>28</v>
      </c>
    </row>
    <row r="41" spans="1:60" x14ac:dyDescent="0.2">
      <c r="B41" s="758" t="s">
        <v>29</v>
      </c>
    </row>
    <row r="48" spans="1:60" x14ac:dyDescent="0.2">
      <c r="I48" s="738"/>
    </row>
  </sheetData>
  <pageMargins left="0.7" right="0.7" top="0.75" bottom="0.75" header="0.3" footer="0.3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38"/>
  <sheetViews>
    <sheetView zoomScaleNormal="100" workbookViewId="0">
      <selection activeCell="Q32" sqref="Q32"/>
    </sheetView>
  </sheetViews>
  <sheetFormatPr defaultColWidth="9.140625" defaultRowHeight="12.75" x14ac:dyDescent="0.2"/>
  <cols>
    <col min="1" max="1" width="16.42578125" style="1" bestFit="1" customWidth="1"/>
    <col min="2" max="11" width="9.140625" style="2"/>
    <col min="12" max="12" width="9.140625" style="1"/>
    <col min="13" max="13" width="11.140625" style="1" customWidth="1"/>
    <col min="14" max="15" width="11.140625" style="2" customWidth="1"/>
    <col min="16" max="20" width="11.85546875" style="52" customWidth="1"/>
    <col min="21" max="22" width="9.140625" style="1"/>
    <col min="23" max="26" width="9.140625" style="2"/>
    <col min="27" max="27" width="9.85546875" style="2" customWidth="1"/>
    <col min="28" max="16384" width="9.140625" style="1"/>
  </cols>
  <sheetData>
    <row r="1" spans="1:27" ht="13.5" thickBot="1" x14ac:dyDescent="0.25"/>
    <row r="2" spans="1:27" x14ac:dyDescent="0.2">
      <c r="A2" s="90" t="s">
        <v>1</v>
      </c>
      <c r="B2" s="76">
        <f>Courses!C57</f>
        <v>1</v>
      </c>
      <c r="C2" s="34">
        <f>Courses!D57</f>
        <v>2</v>
      </c>
      <c r="D2" s="34">
        <f>Courses!E57</f>
        <v>3</v>
      </c>
      <c r="E2" s="34">
        <f>Courses!F57</f>
        <v>4</v>
      </c>
      <c r="F2" s="34">
        <f>Courses!G57</f>
        <v>5</v>
      </c>
      <c r="G2" s="34">
        <f>Courses!H57</f>
        <v>6</v>
      </c>
      <c r="H2" s="34">
        <f>Courses!I57</f>
        <v>7</v>
      </c>
      <c r="I2" s="34">
        <f>Courses!J57</f>
        <v>8</v>
      </c>
      <c r="J2" s="35">
        <f>Courses!K57</f>
        <v>9</v>
      </c>
      <c r="K2" s="36"/>
    </row>
    <row r="3" spans="1:27" x14ac:dyDescent="0.2">
      <c r="A3" s="91" t="s">
        <v>2</v>
      </c>
      <c r="B3" s="77">
        <f>Courses!C58</f>
        <v>4</v>
      </c>
      <c r="C3" s="39">
        <f>Courses!D58</f>
        <v>3</v>
      </c>
      <c r="D3" s="39">
        <f>Courses!E58</f>
        <v>5</v>
      </c>
      <c r="E3" s="39">
        <f>Courses!F58</f>
        <v>4</v>
      </c>
      <c r="F3" s="39">
        <f>Courses!G58</f>
        <v>4</v>
      </c>
      <c r="G3" s="39">
        <f>Courses!H58</f>
        <v>4</v>
      </c>
      <c r="H3" s="39">
        <f>Courses!I58</f>
        <v>3</v>
      </c>
      <c r="I3" s="39">
        <f>Courses!J58</f>
        <v>4</v>
      </c>
      <c r="J3" s="40">
        <f>Courses!K58</f>
        <v>5</v>
      </c>
      <c r="K3" s="41">
        <f>SUM(B3:J3)</f>
        <v>36</v>
      </c>
      <c r="P3" s="55" t="s">
        <v>32</v>
      </c>
    </row>
    <row r="4" spans="1:27" ht="13.5" thickBot="1" x14ac:dyDescent="0.25">
      <c r="A4" s="92" t="s">
        <v>3</v>
      </c>
      <c r="B4" s="78">
        <f>Courses!C59</f>
        <v>5</v>
      </c>
      <c r="C4" s="44">
        <f>Courses!D59</f>
        <v>17</v>
      </c>
      <c r="D4" s="44">
        <f>Courses!E59</f>
        <v>3</v>
      </c>
      <c r="E4" s="44">
        <f>Courses!F59</f>
        <v>11</v>
      </c>
      <c r="F4" s="44">
        <f>Courses!G59</f>
        <v>1</v>
      </c>
      <c r="G4" s="44">
        <f>Courses!H59</f>
        <v>13</v>
      </c>
      <c r="H4" s="44">
        <f>Courses!I59</f>
        <v>15</v>
      </c>
      <c r="I4" s="44">
        <f>Courses!J59</f>
        <v>9</v>
      </c>
      <c r="J4" s="45">
        <f>Courses!K59</f>
        <v>7</v>
      </c>
      <c r="K4" s="46"/>
      <c r="P4" s="52" t="s">
        <v>34</v>
      </c>
      <c r="Q4" s="52" t="s">
        <v>126</v>
      </c>
      <c r="R4" s="52" t="s">
        <v>33</v>
      </c>
      <c r="T4" s="52" t="s">
        <v>127</v>
      </c>
    </row>
    <row r="5" spans="1:27" ht="13.5" thickBot="1" x14ac:dyDescent="0.25">
      <c r="M5" s="335" t="s">
        <v>16</v>
      </c>
      <c r="N5" s="336" t="s">
        <v>17</v>
      </c>
      <c r="O5" s="233" t="s">
        <v>36</v>
      </c>
      <c r="P5" s="161" t="str">
        <f>Results!C40</f>
        <v>Long Drive</v>
      </c>
      <c r="Q5" s="50" t="str">
        <f>Results!D40</f>
        <v>Closest to Pin</v>
      </c>
      <c r="R5" s="50" t="str">
        <f>Results!E40</f>
        <v>Long Putt</v>
      </c>
      <c r="S5" s="50" t="str">
        <f>Results!F40</f>
        <v>Secret Snowman</v>
      </c>
      <c r="T5" s="51" t="str">
        <f>Results!G40</f>
        <v>Closest to Pin</v>
      </c>
      <c r="V5" s="1">
        <v>1</v>
      </c>
      <c r="W5" s="2">
        <v>2</v>
      </c>
      <c r="X5" s="2">
        <v>3</v>
      </c>
      <c r="Y5" s="2">
        <v>4</v>
      </c>
      <c r="Z5" s="2">
        <v>5</v>
      </c>
    </row>
    <row r="6" spans="1:27" x14ac:dyDescent="0.2">
      <c r="A6" s="90" t="str">
        <f>Matchups!C3</f>
        <v>Mil</v>
      </c>
      <c r="B6" s="339"/>
      <c r="C6" s="116"/>
      <c r="D6" s="116"/>
      <c r="E6" s="116"/>
      <c r="F6" s="116"/>
      <c r="G6" s="116"/>
      <c r="H6" s="116"/>
      <c r="I6" s="116"/>
      <c r="J6" s="117">
        <v>53</v>
      </c>
      <c r="K6" s="5">
        <f>SUM(B6:J6)</f>
        <v>53</v>
      </c>
      <c r="M6" s="226" t="str">
        <f>A6</f>
        <v>Mil</v>
      </c>
      <c r="N6" s="5">
        <f>K6</f>
        <v>53</v>
      </c>
      <c r="O6" s="12"/>
      <c r="P6" s="162"/>
      <c r="Q6" s="65"/>
      <c r="R6" s="65"/>
      <c r="S6" s="65"/>
      <c r="T6" s="153"/>
      <c r="V6" s="2" t="str">
        <f t="shared" ref="V6:V29" si="0">IF($S$32=V$5,S6*V$5,"")</f>
        <v/>
      </c>
      <c r="W6" s="2" t="str">
        <f t="shared" ref="W6:W29" si="1">IF($S$32=W$5,S6*W$5,"")</f>
        <v/>
      </c>
      <c r="X6" s="2" t="str">
        <f t="shared" ref="X6:X29" si="2">IF($S$32=X$5,S6*X$5,"")</f>
        <v/>
      </c>
      <c r="Y6" s="2" t="str">
        <f t="shared" ref="Y6:Y29" si="3">IF($S$32=Y$5,S6*Y$5,"")</f>
        <v/>
      </c>
      <c r="Z6" s="2" t="str">
        <f t="shared" ref="Z6:Z29" si="4">IF($S$32=Z$5,S6*Z$5,"")</f>
        <v/>
      </c>
      <c r="AA6" s="144">
        <f>IF(SUM(V6:Z6)=0,0,Setup!F$44/SUM(V6:Z6))</f>
        <v>0</v>
      </c>
    </row>
    <row r="7" spans="1:27" hidden="1" x14ac:dyDescent="0.2">
      <c r="A7" s="91">
        <f>Matchups!C4</f>
        <v>6</v>
      </c>
      <c r="B7" s="340"/>
      <c r="C7" s="137"/>
      <c r="D7" s="137"/>
      <c r="E7" s="137"/>
      <c r="F7" s="137"/>
      <c r="G7" s="137"/>
      <c r="H7" s="137"/>
      <c r="I7" s="137"/>
      <c r="J7" s="138"/>
      <c r="K7" s="71"/>
      <c r="M7" s="227">
        <f t="shared" ref="M7:M29" si="5">A7</f>
        <v>6</v>
      </c>
      <c r="N7" s="8">
        <f t="shared" ref="N7:N29" si="6">K7</f>
        <v>0</v>
      </c>
      <c r="O7" s="231"/>
      <c r="P7" s="163"/>
      <c r="Q7" s="158"/>
      <c r="R7" s="158"/>
      <c r="S7" s="158"/>
      <c r="T7" s="159"/>
      <c r="V7" s="2" t="str">
        <f t="shared" si="0"/>
        <v/>
      </c>
      <c r="W7" s="2" t="str">
        <f t="shared" si="1"/>
        <v/>
      </c>
      <c r="X7" s="2" t="str">
        <f t="shared" si="2"/>
        <v/>
      </c>
      <c r="Y7" s="2" t="str">
        <f t="shared" si="3"/>
        <v/>
      </c>
      <c r="Z7" s="2" t="str">
        <f t="shared" si="4"/>
        <v/>
      </c>
      <c r="AA7" s="144">
        <f>IF(SUM(V7:Z7)=0,0,Setup!F$44/SUM(V7:Z7))</f>
        <v>0</v>
      </c>
    </row>
    <row r="8" spans="1:27" x14ac:dyDescent="0.2">
      <c r="A8" s="91" t="str">
        <f>Matchups!C5</f>
        <v>John</v>
      </c>
      <c r="B8" s="341"/>
      <c r="C8" s="119"/>
      <c r="D8" s="119"/>
      <c r="E8" s="119"/>
      <c r="F8" s="119"/>
      <c r="G8" s="119"/>
      <c r="H8" s="119"/>
      <c r="I8" s="119"/>
      <c r="J8" s="120">
        <v>40</v>
      </c>
      <c r="K8" s="8">
        <f t="shared" ref="K8:K28" si="7">SUM(B8:J8)</f>
        <v>40</v>
      </c>
      <c r="M8" s="227" t="str">
        <f t="shared" si="5"/>
        <v>John</v>
      </c>
      <c r="N8" s="8">
        <f t="shared" si="6"/>
        <v>40</v>
      </c>
      <c r="O8" s="13"/>
      <c r="P8" s="164"/>
      <c r="Q8" s="66">
        <v>1</v>
      </c>
      <c r="R8" s="66"/>
      <c r="S8" s="66"/>
      <c r="T8" s="154"/>
      <c r="V8" s="2" t="str">
        <f t="shared" si="0"/>
        <v/>
      </c>
      <c r="W8" s="2" t="str">
        <f t="shared" si="1"/>
        <v/>
      </c>
      <c r="X8" s="2" t="str">
        <f t="shared" si="2"/>
        <v/>
      </c>
      <c r="Y8" s="2" t="str">
        <f t="shared" si="3"/>
        <v/>
      </c>
      <c r="Z8" s="2" t="str">
        <f t="shared" si="4"/>
        <v/>
      </c>
      <c r="AA8" s="144">
        <f>IF(SUM(V8:Z8)=0,0,Setup!F$44/SUM(V8:Z8))</f>
        <v>0</v>
      </c>
    </row>
    <row r="9" spans="1:27" hidden="1" x14ac:dyDescent="0.2">
      <c r="A9" s="91">
        <f>Matchups!C6</f>
        <v>7</v>
      </c>
      <c r="B9" s="341"/>
      <c r="C9" s="119"/>
      <c r="D9" s="119"/>
      <c r="E9" s="119"/>
      <c r="F9" s="119"/>
      <c r="G9" s="119"/>
      <c r="H9" s="119"/>
      <c r="I9" s="119"/>
      <c r="J9" s="120"/>
      <c r="K9" s="8"/>
      <c r="M9" s="227">
        <f t="shared" si="5"/>
        <v>7</v>
      </c>
      <c r="N9" s="8">
        <f t="shared" si="6"/>
        <v>0</v>
      </c>
      <c r="O9" s="13"/>
      <c r="P9" s="164"/>
      <c r="Q9" s="66"/>
      <c r="R9" s="66"/>
      <c r="S9" s="66"/>
      <c r="T9" s="154"/>
      <c r="V9" s="2" t="str">
        <f t="shared" si="0"/>
        <v/>
      </c>
      <c r="W9" s="2" t="str">
        <f t="shared" si="1"/>
        <v/>
      </c>
      <c r="X9" s="2" t="str">
        <f t="shared" si="2"/>
        <v/>
      </c>
      <c r="Y9" s="2" t="str">
        <f t="shared" si="3"/>
        <v/>
      </c>
      <c r="Z9" s="2" t="str">
        <f t="shared" si="4"/>
        <v/>
      </c>
      <c r="AA9" s="144">
        <f>IF(SUM(V9:Z9)=0,0,Setup!F$44/SUM(V9:Z9))</f>
        <v>0</v>
      </c>
    </row>
    <row r="10" spans="1:27" x14ac:dyDescent="0.2">
      <c r="A10" s="91" t="str">
        <f>Matchups!C7</f>
        <v>Brian P</v>
      </c>
      <c r="B10" s="341"/>
      <c r="C10" s="119"/>
      <c r="D10" s="119"/>
      <c r="E10" s="119"/>
      <c r="F10" s="119"/>
      <c r="G10" s="119"/>
      <c r="H10" s="119"/>
      <c r="I10" s="119"/>
      <c r="J10" s="120">
        <v>42</v>
      </c>
      <c r="K10" s="8">
        <f t="shared" si="7"/>
        <v>42</v>
      </c>
      <c r="M10" s="227" t="str">
        <f t="shared" si="5"/>
        <v>Brian P</v>
      </c>
      <c r="N10" s="8">
        <f t="shared" si="6"/>
        <v>42</v>
      </c>
      <c r="O10" s="13"/>
      <c r="P10" s="164"/>
      <c r="Q10" s="66"/>
      <c r="R10" s="66"/>
      <c r="S10" s="66"/>
      <c r="T10" s="154"/>
      <c r="V10" s="2" t="str">
        <f t="shared" si="0"/>
        <v/>
      </c>
      <c r="W10" s="2" t="str">
        <f t="shared" si="1"/>
        <v/>
      </c>
      <c r="X10" s="2" t="str">
        <f t="shared" si="2"/>
        <v/>
      </c>
      <c r="Y10" s="2" t="str">
        <f t="shared" si="3"/>
        <v/>
      </c>
      <c r="Z10" s="2" t="str">
        <f t="shared" si="4"/>
        <v/>
      </c>
      <c r="AA10" s="144">
        <f>IF(SUM(V10:Z10)=0,0,Setup!F$44/SUM(V10:Z10))</f>
        <v>0</v>
      </c>
    </row>
    <row r="11" spans="1:27" hidden="1" x14ac:dyDescent="0.2">
      <c r="A11" s="91">
        <f>Matchups!C8</f>
        <v>6</v>
      </c>
      <c r="B11" s="341"/>
      <c r="C11" s="119"/>
      <c r="D11" s="119"/>
      <c r="E11" s="119"/>
      <c r="F11" s="119"/>
      <c r="G11" s="119"/>
      <c r="H11" s="119"/>
      <c r="I11" s="119"/>
      <c r="J11" s="120"/>
      <c r="K11" s="8"/>
      <c r="M11" s="227">
        <f t="shared" si="5"/>
        <v>6</v>
      </c>
      <c r="N11" s="8">
        <f t="shared" si="6"/>
        <v>0</v>
      </c>
      <c r="O11" s="13"/>
      <c r="P11" s="164"/>
      <c r="Q11" s="66"/>
      <c r="R11" s="66"/>
      <c r="S11" s="66"/>
      <c r="T11" s="154"/>
      <c r="V11" s="2" t="str">
        <f t="shared" si="0"/>
        <v/>
      </c>
      <c r="W11" s="2" t="str">
        <f t="shared" si="1"/>
        <v/>
      </c>
      <c r="X11" s="2" t="str">
        <f t="shared" si="2"/>
        <v/>
      </c>
      <c r="Y11" s="2" t="str">
        <f t="shared" si="3"/>
        <v/>
      </c>
      <c r="Z11" s="2" t="str">
        <f t="shared" si="4"/>
        <v/>
      </c>
      <c r="AA11" s="144">
        <f>IF(SUM(V11:Z11)=0,0,Setup!F$44/SUM(V11:Z11))</f>
        <v>0</v>
      </c>
    </row>
    <row r="12" spans="1:27" ht="13.5" thickBot="1" x14ac:dyDescent="0.25">
      <c r="A12" s="91" t="str">
        <f>Matchups!C9</f>
        <v xml:space="preserve">Pat </v>
      </c>
      <c r="B12" s="341"/>
      <c r="C12" s="119"/>
      <c r="D12" s="119"/>
      <c r="E12" s="119"/>
      <c r="F12" s="119"/>
      <c r="G12" s="119"/>
      <c r="H12" s="119"/>
      <c r="I12" s="119"/>
      <c r="J12" s="120">
        <v>47</v>
      </c>
      <c r="K12" s="8">
        <f t="shared" si="7"/>
        <v>47</v>
      </c>
      <c r="M12" s="227" t="str">
        <f t="shared" si="5"/>
        <v xml:space="preserve">Pat </v>
      </c>
      <c r="N12" s="8">
        <f t="shared" si="6"/>
        <v>47</v>
      </c>
      <c r="O12" s="13"/>
      <c r="P12" s="164"/>
      <c r="Q12" s="66"/>
      <c r="R12" s="66"/>
      <c r="S12" s="66"/>
      <c r="T12" s="154"/>
      <c r="V12" s="2" t="str">
        <f t="shared" si="0"/>
        <v/>
      </c>
      <c r="W12" s="2" t="str">
        <f t="shared" si="1"/>
        <v/>
      </c>
      <c r="X12" s="2" t="str">
        <f t="shared" si="2"/>
        <v/>
      </c>
      <c r="Y12" s="2" t="str">
        <f t="shared" si="3"/>
        <v/>
      </c>
      <c r="Z12" s="2" t="str">
        <f t="shared" si="4"/>
        <v/>
      </c>
      <c r="AA12" s="144">
        <f>IF(SUM(V12:Z12)=0,0,Setup!F$44/SUM(V12:Z12))</f>
        <v>0</v>
      </c>
    </row>
    <row r="13" spans="1:27" ht="13.5" hidden="1" thickBot="1" x14ac:dyDescent="0.25">
      <c r="A13" s="133">
        <f>Matchups!C10</f>
        <v>6</v>
      </c>
      <c r="B13" s="342"/>
      <c r="C13" s="337"/>
      <c r="D13" s="337"/>
      <c r="E13" s="337"/>
      <c r="F13" s="337"/>
      <c r="G13" s="337"/>
      <c r="H13" s="337"/>
      <c r="I13" s="337"/>
      <c r="J13" s="338"/>
      <c r="K13" s="70"/>
      <c r="M13" s="334">
        <f t="shared" si="5"/>
        <v>6</v>
      </c>
      <c r="N13" s="70">
        <f t="shared" si="6"/>
        <v>0</v>
      </c>
      <c r="O13" s="229"/>
      <c r="P13" s="165"/>
      <c r="Q13" s="155"/>
      <c r="R13" s="155"/>
      <c r="S13" s="155"/>
      <c r="T13" s="156"/>
      <c r="V13" s="2" t="str">
        <f t="shared" si="0"/>
        <v/>
      </c>
      <c r="W13" s="2" t="str">
        <f t="shared" si="1"/>
        <v/>
      </c>
      <c r="X13" s="2" t="str">
        <f t="shared" si="2"/>
        <v/>
      </c>
      <c r="Y13" s="2" t="str">
        <f t="shared" si="3"/>
        <v/>
      </c>
      <c r="Z13" s="2" t="str">
        <f t="shared" si="4"/>
        <v/>
      </c>
      <c r="AA13" s="144">
        <f>IF(SUM(V13:Z13)=0,0,Setup!F$44/SUM(V13:Z13))</f>
        <v>0</v>
      </c>
    </row>
    <row r="14" spans="1:27" x14ac:dyDescent="0.2">
      <c r="A14" s="90" t="str">
        <f>Matchups!C11</f>
        <v>Rick</v>
      </c>
      <c r="B14" s="339"/>
      <c r="C14" s="116"/>
      <c r="D14" s="116"/>
      <c r="E14" s="116"/>
      <c r="F14" s="116"/>
      <c r="G14" s="116"/>
      <c r="H14" s="116"/>
      <c r="I14" s="116"/>
      <c r="J14" s="117">
        <v>48</v>
      </c>
      <c r="K14" s="12">
        <f t="shared" si="7"/>
        <v>48</v>
      </c>
      <c r="M14" s="226" t="str">
        <f t="shared" si="5"/>
        <v>Rick</v>
      </c>
      <c r="N14" s="406">
        <f t="shared" si="6"/>
        <v>48</v>
      </c>
      <c r="O14" s="5"/>
      <c r="P14" s="162"/>
      <c r="Q14" s="65"/>
      <c r="R14" s="65">
        <v>1</v>
      </c>
      <c r="S14" s="65"/>
      <c r="T14" s="153"/>
      <c r="V14" s="2" t="str">
        <f t="shared" si="0"/>
        <v/>
      </c>
      <c r="W14" s="2" t="str">
        <f t="shared" si="1"/>
        <v/>
      </c>
      <c r="X14" s="2" t="str">
        <f t="shared" si="2"/>
        <v/>
      </c>
      <c r="Y14" s="2" t="str">
        <f t="shared" si="3"/>
        <v/>
      </c>
      <c r="Z14" s="2" t="str">
        <f t="shared" si="4"/>
        <v/>
      </c>
      <c r="AA14" s="144">
        <f>IF(SUM(V14:Z14)=0,0,Setup!F$44/SUM(V14:Z14))</f>
        <v>0</v>
      </c>
    </row>
    <row r="15" spans="1:27" hidden="1" x14ac:dyDescent="0.2">
      <c r="A15" s="91">
        <f>Matchups!C12</f>
        <v>7</v>
      </c>
      <c r="B15" s="341"/>
      <c r="C15" s="119"/>
      <c r="D15" s="119"/>
      <c r="E15" s="119"/>
      <c r="F15" s="119"/>
      <c r="G15" s="119"/>
      <c r="H15" s="119"/>
      <c r="I15" s="119"/>
      <c r="J15" s="120"/>
      <c r="K15" s="13"/>
      <c r="M15" s="227">
        <f t="shared" si="5"/>
        <v>7</v>
      </c>
      <c r="N15" s="407">
        <f t="shared" si="6"/>
        <v>0</v>
      </c>
      <c r="O15" s="8"/>
      <c r="P15" s="164"/>
      <c r="Q15" s="66"/>
      <c r="R15" s="66"/>
      <c r="S15" s="66"/>
      <c r="T15" s="154"/>
      <c r="V15" s="2" t="str">
        <f t="shared" si="0"/>
        <v/>
      </c>
      <c r="W15" s="2" t="str">
        <f t="shared" si="1"/>
        <v/>
      </c>
      <c r="X15" s="2" t="str">
        <f t="shared" si="2"/>
        <v/>
      </c>
      <c r="Y15" s="2" t="str">
        <f t="shared" si="3"/>
        <v/>
      </c>
      <c r="Z15" s="2" t="str">
        <f t="shared" si="4"/>
        <v/>
      </c>
      <c r="AA15" s="144">
        <f>IF(SUM(V15:Z15)=0,0,Setup!F$44/SUM(V15:Z15))</f>
        <v>0</v>
      </c>
    </row>
    <row r="16" spans="1:27" x14ac:dyDescent="0.2">
      <c r="A16" s="91" t="str">
        <f>Matchups!C13</f>
        <v>Keith</v>
      </c>
      <c r="B16" s="341"/>
      <c r="C16" s="119"/>
      <c r="D16" s="119"/>
      <c r="E16" s="119"/>
      <c r="F16" s="119"/>
      <c r="G16" s="119"/>
      <c r="H16" s="119"/>
      <c r="I16" s="119"/>
      <c r="J16" s="120">
        <v>73</v>
      </c>
      <c r="K16" s="13">
        <f t="shared" si="7"/>
        <v>73</v>
      </c>
      <c r="M16" s="227" t="str">
        <f t="shared" si="5"/>
        <v>Keith</v>
      </c>
      <c r="N16" s="407">
        <f t="shared" si="6"/>
        <v>73</v>
      </c>
      <c r="O16" s="8"/>
      <c r="P16" s="164"/>
      <c r="Q16" s="66"/>
      <c r="R16" s="66"/>
      <c r="S16" s="66"/>
      <c r="T16" s="154"/>
      <c r="V16" s="2" t="str">
        <f t="shared" si="0"/>
        <v/>
      </c>
      <c r="W16" s="2" t="str">
        <f t="shared" si="1"/>
        <v/>
      </c>
      <c r="X16" s="2" t="str">
        <f t="shared" si="2"/>
        <v/>
      </c>
      <c r="Y16" s="2" t="str">
        <f t="shared" si="3"/>
        <v/>
      </c>
      <c r="Z16" s="2" t="str">
        <f t="shared" si="4"/>
        <v/>
      </c>
      <c r="AA16" s="144">
        <f>IF(SUM(V16:Z16)=0,0,Setup!F$44/SUM(V16:Z16))</f>
        <v>0</v>
      </c>
    </row>
    <row r="17" spans="1:27" hidden="1" x14ac:dyDescent="0.2">
      <c r="A17" s="91">
        <f>Matchups!C14</f>
        <v>16</v>
      </c>
      <c r="B17" s="341"/>
      <c r="C17" s="119"/>
      <c r="D17" s="119"/>
      <c r="E17" s="119"/>
      <c r="F17" s="119"/>
      <c r="G17" s="119"/>
      <c r="H17" s="119"/>
      <c r="I17" s="119"/>
      <c r="J17" s="120"/>
      <c r="K17" s="13"/>
      <c r="M17" s="227">
        <f t="shared" si="5"/>
        <v>16</v>
      </c>
      <c r="N17" s="407">
        <f t="shared" si="6"/>
        <v>0</v>
      </c>
      <c r="O17" s="8"/>
      <c r="P17" s="164"/>
      <c r="Q17" s="66"/>
      <c r="R17" s="66"/>
      <c r="S17" s="66"/>
      <c r="T17" s="154"/>
      <c r="V17" s="2" t="str">
        <f t="shared" si="0"/>
        <v/>
      </c>
      <c r="W17" s="2" t="str">
        <f t="shared" si="1"/>
        <v/>
      </c>
      <c r="X17" s="2" t="str">
        <f t="shared" si="2"/>
        <v/>
      </c>
      <c r="Y17" s="2" t="str">
        <f t="shared" si="3"/>
        <v/>
      </c>
      <c r="Z17" s="2" t="str">
        <f t="shared" si="4"/>
        <v/>
      </c>
      <c r="AA17" s="144">
        <f>IF(SUM(V17:Z17)=0,0,Setup!F$44/SUM(V17:Z17))</f>
        <v>0</v>
      </c>
    </row>
    <row r="18" spans="1:27" x14ac:dyDescent="0.2">
      <c r="A18" s="91" t="str">
        <f>Matchups!C15</f>
        <v>Tony W</v>
      </c>
      <c r="B18" s="341"/>
      <c r="C18" s="119"/>
      <c r="D18" s="119"/>
      <c r="E18" s="119"/>
      <c r="F18" s="119"/>
      <c r="G18" s="119"/>
      <c r="H18" s="119"/>
      <c r="I18" s="119"/>
      <c r="J18" s="120">
        <v>57</v>
      </c>
      <c r="K18" s="13">
        <f t="shared" si="7"/>
        <v>57</v>
      </c>
      <c r="M18" s="227" t="str">
        <f t="shared" si="5"/>
        <v>Tony W</v>
      </c>
      <c r="N18" s="407">
        <f t="shared" si="6"/>
        <v>57</v>
      </c>
      <c r="O18" s="8"/>
      <c r="P18" s="164"/>
      <c r="Q18" s="66"/>
      <c r="R18" s="66"/>
      <c r="S18" s="66"/>
      <c r="T18" s="154"/>
      <c r="V18" s="2" t="str">
        <f t="shared" si="0"/>
        <v/>
      </c>
      <c r="W18" s="2" t="str">
        <f t="shared" si="1"/>
        <v/>
      </c>
      <c r="X18" s="2" t="str">
        <f t="shared" si="2"/>
        <v/>
      </c>
      <c r="Y18" s="2" t="str">
        <f t="shared" si="3"/>
        <v/>
      </c>
      <c r="Z18" s="2" t="str">
        <f t="shared" si="4"/>
        <v/>
      </c>
      <c r="AA18" s="144">
        <f>IF(SUM(V18:Z18)=0,0,Setup!F$44/SUM(V18:Z18))</f>
        <v>0</v>
      </c>
    </row>
    <row r="19" spans="1:27" hidden="1" x14ac:dyDescent="0.2">
      <c r="A19" s="133">
        <f>Matchups!C16</f>
        <v>10</v>
      </c>
      <c r="B19" s="342"/>
      <c r="C19" s="337"/>
      <c r="D19" s="337"/>
      <c r="E19" s="337"/>
      <c r="F19" s="337"/>
      <c r="G19" s="337"/>
      <c r="H19" s="337"/>
      <c r="I19" s="337"/>
      <c r="J19" s="338"/>
      <c r="K19" s="229"/>
      <c r="M19" s="334">
        <f t="shared" si="5"/>
        <v>10</v>
      </c>
      <c r="N19" s="559">
        <f t="shared" si="6"/>
        <v>0</v>
      </c>
      <c r="O19" s="70"/>
      <c r="P19" s="165"/>
      <c r="Q19" s="155"/>
      <c r="R19" s="155"/>
      <c r="S19" s="155"/>
      <c r="T19" s="156"/>
      <c r="V19" s="2" t="str">
        <f t="shared" si="0"/>
        <v/>
      </c>
      <c r="W19" s="2" t="str">
        <f t="shared" si="1"/>
        <v/>
      </c>
      <c r="X19" s="2" t="str">
        <f t="shared" si="2"/>
        <v/>
      </c>
      <c r="Y19" s="2" t="str">
        <f t="shared" si="3"/>
        <v/>
      </c>
      <c r="Z19" s="2" t="str">
        <f t="shared" si="4"/>
        <v/>
      </c>
      <c r="AA19" s="144">
        <f>IF(SUM(V19:Z19)=0,0,Setup!F$44/SUM(V19:Z19))</f>
        <v>0</v>
      </c>
    </row>
    <row r="20" spans="1:27" ht="13.5" thickBot="1" x14ac:dyDescent="0.25">
      <c r="A20" s="91" t="str">
        <f>Matchups!C17</f>
        <v>Manny</v>
      </c>
      <c r="B20" s="341"/>
      <c r="C20" s="119"/>
      <c r="D20" s="119"/>
      <c r="E20" s="119"/>
      <c r="F20" s="119"/>
      <c r="G20" s="119"/>
      <c r="H20" s="119"/>
      <c r="I20" s="119"/>
      <c r="J20" s="120">
        <v>55</v>
      </c>
      <c r="K20" s="13">
        <f t="shared" si="7"/>
        <v>55</v>
      </c>
      <c r="M20" s="227" t="str">
        <f t="shared" si="5"/>
        <v>Manny</v>
      </c>
      <c r="N20" s="407">
        <f t="shared" si="6"/>
        <v>55</v>
      </c>
      <c r="O20" s="8"/>
      <c r="P20" s="164"/>
      <c r="Q20" s="66"/>
      <c r="R20" s="66"/>
      <c r="S20" s="66"/>
      <c r="T20" s="154"/>
      <c r="V20" s="2" t="str">
        <f t="shared" si="0"/>
        <v/>
      </c>
      <c r="W20" s="2" t="str">
        <f t="shared" si="1"/>
        <v/>
      </c>
      <c r="X20" s="2" t="str">
        <f t="shared" si="2"/>
        <v/>
      </c>
      <c r="Y20" s="2" t="str">
        <f t="shared" si="3"/>
        <v/>
      </c>
      <c r="Z20" s="2" t="str">
        <f t="shared" si="4"/>
        <v/>
      </c>
      <c r="AA20" s="144">
        <f>IF(SUM(V20:Z20)=0,0,Setup!F$44/SUM(V20:Z20))</f>
        <v>0</v>
      </c>
    </row>
    <row r="21" spans="1:27" ht="13.5" hidden="1" thickBot="1" x14ac:dyDescent="0.25">
      <c r="A21" s="133">
        <f>Matchups!C18</f>
        <v>14</v>
      </c>
      <c r="B21" s="342"/>
      <c r="C21" s="337"/>
      <c r="D21" s="337"/>
      <c r="E21" s="337"/>
      <c r="F21" s="337"/>
      <c r="G21" s="337"/>
      <c r="H21" s="337"/>
      <c r="I21" s="337"/>
      <c r="J21" s="338"/>
      <c r="K21" s="229"/>
      <c r="M21" s="334">
        <f t="shared" si="5"/>
        <v>14</v>
      </c>
      <c r="N21" s="559">
        <f t="shared" si="6"/>
        <v>0</v>
      </c>
      <c r="O21" s="70"/>
      <c r="P21" s="165"/>
      <c r="Q21" s="155"/>
      <c r="R21" s="155"/>
      <c r="S21" s="155"/>
      <c r="T21" s="156"/>
      <c r="V21" s="2" t="str">
        <f t="shared" si="0"/>
        <v/>
      </c>
      <c r="W21" s="2" t="str">
        <f t="shared" si="1"/>
        <v/>
      </c>
      <c r="X21" s="2" t="str">
        <f t="shared" si="2"/>
        <v/>
      </c>
      <c r="Y21" s="2" t="str">
        <f t="shared" si="3"/>
        <v/>
      </c>
      <c r="Z21" s="2" t="str">
        <f t="shared" si="4"/>
        <v/>
      </c>
      <c r="AA21" s="144">
        <f>IF(SUM(V21:Z21)=0,0,Setup!F$44/SUM(V21:Z21))</f>
        <v>0</v>
      </c>
    </row>
    <row r="22" spans="1:27" x14ac:dyDescent="0.2">
      <c r="A22" s="90" t="str">
        <f>Matchups!C19</f>
        <v>Tommy</v>
      </c>
      <c r="B22" s="339"/>
      <c r="C22" s="116"/>
      <c r="D22" s="116"/>
      <c r="E22" s="116"/>
      <c r="F22" s="116"/>
      <c r="G22" s="116"/>
      <c r="H22" s="116"/>
      <c r="I22" s="116"/>
      <c r="J22" s="117">
        <v>42</v>
      </c>
      <c r="K22" s="12">
        <f t="shared" si="7"/>
        <v>42</v>
      </c>
      <c r="M22" s="226" t="str">
        <f t="shared" si="5"/>
        <v>Tommy</v>
      </c>
      <c r="N22" s="406">
        <f t="shared" si="6"/>
        <v>42</v>
      </c>
      <c r="O22" s="5"/>
      <c r="P22" s="162">
        <v>1</v>
      </c>
      <c r="Q22" s="65"/>
      <c r="R22" s="65"/>
      <c r="S22" s="65"/>
      <c r="T22" s="153"/>
      <c r="V22" s="2" t="str">
        <f t="shared" si="0"/>
        <v/>
      </c>
      <c r="W22" s="2" t="str">
        <f t="shared" si="1"/>
        <v/>
      </c>
      <c r="X22" s="2" t="str">
        <f t="shared" si="2"/>
        <v/>
      </c>
      <c r="Y22" s="2" t="str">
        <f t="shared" si="3"/>
        <v/>
      </c>
      <c r="Z22" s="2" t="str">
        <f t="shared" si="4"/>
        <v/>
      </c>
      <c r="AA22" s="144">
        <f>IF(SUM(V22:Z22)=0,0,Setup!F$44/SUM(V22:Z22))</f>
        <v>0</v>
      </c>
    </row>
    <row r="23" spans="1:27" hidden="1" x14ac:dyDescent="0.2">
      <c r="A23" s="91">
        <f>Matchups!C20</f>
        <v>5</v>
      </c>
      <c r="B23" s="341"/>
      <c r="C23" s="119"/>
      <c r="D23" s="119"/>
      <c r="E23" s="119"/>
      <c r="F23" s="119"/>
      <c r="G23" s="119"/>
      <c r="H23" s="119"/>
      <c r="I23" s="119"/>
      <c r="J23" s="120"/>
      <c r="K23" s="13"/>
      <c r="M23" s="227">
        <f t="shared" si="5"/>
        <v>5</v>
      </c>
      <c r="N23" s="407">
        <f t="shared" si="6"/>
        <v>0</v>
      </c>
      <c r="O23" s="8"/>
      <c r="P23" s="164"/>
      <c r="Q23" s="66"/>
      <c r="R23" s="66"/>
      <c r="S23" s="66"/>
      <c r="T23" s="154"/>
      <c r="V23" s="2" t="str">
        <f t="shared" si="0"/>
        <v/>
      </c>
      <c r="W23" s="2" t="str">
        <f t="shared" si="1"/>
        <v/>
      </c>
      <c r="X23" s="2" t="str">
        <f t="shared" si="2"/>
        <v/>
      </c>
      <c r="Y23" s="2" t="str">
        <f t="shared" si="3"/>
        <v/>
      </c>
      <c r="Z23" s="2" t="str">
        <f t="shared" si="4"/>
        <v/>
      </c>
      <c r="AA23" s="144">
        <f>IF(SUM(V23:Z23)=0,0,Setup!F$44/SUM(V23:Z23))</f>
        <v>0</v>
      </c>
    </row>
    <row r="24" spans="1:27" x14ac:dyDescent="0.2">
      <c r="A24" s="91" t="str">
        <f>Matchups!C21</f>
        <v>Dave</v>
      </c>
      <c r="B24" s="341"/>
      <c r="C24" s="119"/>
      <c r="D24" s="119"/>
      <c r="E24" s="119"/>
      <c r="F24" s="119"/>
      <c r="G24" s="119"/>
      <c r="H24" s="119"/>
      <c r="I24" s="119"/>
      <c r="J24" s="120">
        <v>45</v>
      </c>
      <c r="K24" s="13">
        <f t="shared" si="7"/>
        <v>45</v>
      </c>
      <c r="M24" s="227" t="str">
        <f t="shared" si="5"/>
        <v>Dave</v>
      </c>
      <c r="N24" s="407">
        <f t="shared" si="6"/>
        <v>45</v>
      </c>
      <c r="O24" s="8"/>
      <c r="P24" s="164"/>
      <c r="Q24" s="66"/>
      <c r="R24" s="66"/>
      <c r="S24" s="66"/>
      <c r="T24" s="154"/>
      <c r="V24" s="2" t="str">
        <f t="shared" si="0"/>
        <v/>
      </c>
      <c r="W24" s="2" t="str">
        <f t="shared" si="1"/>
        <v/>
      </c>
      <c r="X24" s="2" t="str">
        <f t="shared" si="2"/>
        <v/>
      </c>
      <c r="Y24" s="2" t="str">
        <f t="shared" si="3"/>
        <v/>
      </c>
      <c r="Z24" s="2" t="str">
        <f t="shared" si="4"/>
        <v/>
      </c>
      <c r="AA24" s="144">
        <f>IF(SUM(V24:Z24)=0,0,Setup!F$44/SUM(V24:Z24))</f>
        <v>0</v>
      </c>
    </row>
    <row r="25" spans="1:27" hidden="1" x14ac:dyDescent="0.2">
      <c r="A25" s="91">
        <f>Matchups!C22</f>
        <v>5</v>
      </c>
      <c r="B25" s="341"/>
      <c r="C25" s="119"/>
      <c r="D25" s="119"/>
      <c r="E25" s="119"/>
      <c r="F25" s="119"/>
      <c r="G25" s="119"/>
      <c r="H25" s="119"/>
      <c r="I25" s="119"/>
      <c r="J25" s="120"/>
      <c r="K25" s="13"/>
      <c r="M25" s="227">
        <f t="shared" si="5"/>
        <v>5</v>
      </c>
      <c r="N25" s="407">
        <f t="shared" si="6"/>
        <v>0</v>
      </c>
      <c r="O25" s="8"/>
      <c r="P25" s="164"/>
      <c r="Q25" s="66"/>
      <c r="R25" s="66"/>
      <c r="S25" s="66"/>
      <c r="T25" s="154"/>
      <c r="V25" s="2" t="str">
        <f t="shared" si="0"/>
        <v/>
      </c>
      <c r="W25" s="2" t="str">
        <f t="shared" si="1"/>
        <v/>
      </c>
      <c r="X25" s="2" t="str">
        <f t="shared" si="2"/>
        <v/>
      </c>
      <c r="Y25" s="2" t="str">
        <f t="shared" si="3"/>
        <v/>
      </c>
      <c r="Z25" s="2" t="str">
        <f t="shared" si="4"/>
        <v/>
      </c>
      <c r="AA25" s="144">
        <f>IF(SUM(V25:Z25)=0,0,Setup!F$44/SUM(V25:Z25))</f>
        <v>0</v>
      </c>
    </row>
    <row r="26" spans="1:27" x14ac:dyDescent="0.2">
      <c r="A26" s="91" t="str">
        <f>Matchups!C23</f>
        <v>Hunter</v>
      </c>
      <c r="B26" s="341"/>
      <c r="C26" s="119"/>
      <c r="D26" s="119"/>
      <c r="E26" s="119"/>
      <c r="F26" s="119"/>
      <c r="G26" s="119"/>
      <c r="H26" s="119"/>
      <c r="I26" s="119"/>
      <c r="J26" s="120">
        <v>60</v>
      </c>
      <c r="K26" s="13">
        <f t="shared" si="7"/>
        <v>60</v>
      </c>
      <c r="M26" s="227" t="str">
        <f t="shared" si="5"/>
        <v>Hunter</v>
      </c>
      <c r="N26" s="407">
        <f t="shared" si="6"/>
        <v>60</v>
      </c>
      <c r="O26" s="8"/>
      <c r="P26" s="164"/>
      <c r="Q26" s="66"/>
      <c r="R26" s="66"/>
      <c r="S26" s="66"/>
      <c r="T26" s="154"/>
      <c r="V26" s="2" t="str">
        <f t="shared" si="0"/>
        <v/>
      </c>
      <c r="W26" s="2" t="str">
        <f t="shared" si="1"/>
        <v/>
      </c>
      <c r="X26" s="2" t="str">
        <f t="shared" si="2"/>
        <v/>
      </c>
      <c r="Y26" s="2" t="str">
        <f t="shared" si="3"/>
        <v/>
      </c>
      <c r="Z26" s="2" t="str">
        <f t="shared" si="4"/>
        <v/>
      </c>
      <c r="AA26" s="144">
        <f>IF(SUM(V26:Z26)=0,0,Setup!F$44/SUM(V26:Z26))</f>
        <v>0</v>
      </c>
    </row>
    <row r="27" spans="1:27" hidden="1" x14ac:dyDescent="0.2">
      <c r="A27" s="91">
        <f>Matchups!C24</f>
        <v>7</v>
      </c>
      <c r="B27" s="341"/>
      <c r="C27" s="119"/>
      <c r="D27" s="119"/>
      <c r="E27" s="119"/>
      <c r="F27" s="119"/>
      <c r="G27" s="119"/>
      <c r="H27" s="119"/>
      <c r="I27" s="119"/>
      <c r="J27" s="120"/>
      <c r="K27" s="13"/>
      <c r="M27" s="227">
        <f t="shared" si="5"/>
        <v>7</v>
      </c>
      <c r="N27" s="407">
        <f t="shared" si="6"/>
        <v>0</v>
      </c>
      <c r="O27" s="8"/>
      <c r="P27" s="164"/>
      <c r="Q27" s="66"/>
      <c r="R27" s="66"/>
      <c r="S27" s="66"/>
      <c r="T27" s="154"/>
      <c r="V27" s="2" t="str">
        <f t="shared" si="0"/>
        <v/>
      </c>
      <c r="W27" s="2" t="str">
        <f t="shared" si="1"/>
        <v/>
      </c>
      <c r="X27" s="2" t="str">
        <f t="shared" si="2"/>
        <v/>
      </c>
      <c r="Y27" s="2" t="str">
        <f t="shared" si="3"/>
        <v/>
      </c>
      <c r="Z27" s="2" t="str">
        <f t="shared" si="4"/>
        <v/>
      </c>
      <c r="AA27" s="144">
        <f>IF(SUM(V27:Z27)=0,0,Setup!F$44/SUM(V27:Z27))</f>
        <v>0</v>
      </c>
    </row>
    <row r="28" spans="1:27" ht="13.5" thickBot="1" x14ac:dyDescent="0.25">
      <c r="A28" s="92" t="str">
        <f>Matchups!C25</f>
        <v>Gerald C</v>
      </c>
      <c r="B28" s="343"/>
      <c r="C28" s="122"/>
      <c r="D28" s="122"/>
      <c r="E28" s="122"/>
      <c r="F28" s="122"/>
      <c r="G28" s="122"/>
      <c r="H28" s="122"/>
      <c r="I28" s="122"/>
      <c r="J28" s="123">
        <v>58</v>
      </c>
      <c r="K28" s="14">
        <f t="shared" si="7"/>
        <v>58</v>
      </c>
      <c r="M28" s="228" t="str">
        <f t="shared" si="5"/>
        <v>Gerald C</v>
      </c>
      <c r="N28" s="408">
        <f t="shared" si="6"/>
        <v>58</v>
      </c>
      <c r="O28" s="11"/>
      <c r="P28" s="166"/>
      <c r="Q28" s="67"/>
      <c r="R28" s="67"/>
      <c r="S28" s="67"/>
      <c r="T28" s="157"/>
      <c r="V28" s="2" t="str">
        <f t="shared" si="0"/>
        <v/>
      </c>
      <c r="W28" s="2" t="str">
        <f t="shared" si="1"/>
        <v/>
      </c>
      <c r="X28" s="2" t="str">
        <f t="shared" si="2"/>
        <v/>
      </c>
      <c r="Y28" s="2" t="str">
        <f t="shared" si="3"/>
        <v/>
      </c>
      <c r="Z28" s="2" t="str">
        <f t="shared" si="4"/>
        <v/>
      </c>
      <c r="AA28" s="144">
        <f>IF(SUM(V28:Z28)=0,0,Setup!F$44/SUM(V28:Z28))</f>
        <v>0</v>
      </c>
    </row>
    <row r="29" spans="1:27" ht="13.5" hidden="1" thickBot="1" x14ac:dyDescent="0.25">
      <c r="A29" s="423">
        <f>Matchups!C26</f>
        <v>12</v>
      </c>
      <c r="B29" s="124"/>
      <c r="C29" s="125"/>
      <c r="D29" s="125"/>
      <c r="E29" s="125"/>
      <c r="F29" s="125"/>
      <c r="G29" s="125"/>
      <c r="H29" s="125"/>
      <c r="I29" s="125"/>
      <c r="J29" s="126"/>
      <c r="K29" s="250"/>
      <c r="M29" s="262">
        <f t="shared" si="5"/>
        <v>12</v>
      </c>
      <c r="N29" s="560">
        <f t="shared" si="6"/>
        <v>0</v>
      </c>
      <c r="O29" s="71"/>
      <c r="P29" s="163"/>
      <c r="Q29" s="158"/>
      <c r="R29" s="158"/>
      <c r="S29" s="158"/>
      <c r="T29" s="159"/>
      <c r="V29" s="2" t="str">
        <f t="shared" si="0"/>
        <v/>
      </c>
      <c r="W29" s="2" t="str">
        <f t="shared" si="1"/>
        <v/>
      </c>
      <c r="X29" s="2" t="str">
        <f t="shared" si="2"/>
        <v/>
      </c>
      <c r="Y29" s="2" t="str">
        <f t="shared" si="3"/>
        <v/>
      </c>
      <c r="Z29" s="2" t="str">
        <f t="shared" si="4"/>
        <v/>
      </c>
      <c r="AA29" s="144">
        <f>IF(SUM(V29:Z29)=0,0,Setup!F$44/SUM(V29:Z29))</f>
        <v>0</v>
      </c>
    </row>
    <row r="30" spans="1:27" x14ac:dyDescent="0.2">
      <c r="A30" s="90" t="str">
        <f>Matchups!C27</f>
        <v>Bob</v>
      </c>
      <c r="B30" s="339"/>
      <c r="C30" s="116"/>
      <c r="D30" s="116"/>
      <c r="E30" s="116"/>
      <c r="F30" s="116"/>
      <c r="G30" s="116"/>
      <c r="H30" s="116"/>
      <c r="I30" s="116"/>
      <c r="J30" s="401">
        <v>45</v>
      </c>
      <c r="K30" s="5">
        <f>SUM(B30:J30)</f>
        <v>45</v>
      </c>
      <c r="M30" s="226" t="str">
        <f>A30</f>
        <v>Bob</v>
      </c>
      <c r="N30" s="5">
        <f>K30</f>
        <v>45</v>
      </c>
      <c r="O30" s="8"/>
      <c r="P30" s="164"/>
      <c r="Q30" s="66">
        <v>1</v>
      </c>
      <c r="R30" s="66"/>
      <c r="S30" s="66"/>
      <c r="T30" s="154"/>
      <c r="V30" s="2" t="str">
        <f>IF($S$32=V$5,S30*V$5,"")</f>
        <v/>
      </c>
      <c r="W30" s="2" t="str">
        <f>IF($S$32=W$5,S30*W$5,"")</f>
        <v/>
      </c>
      <c r="X30" s="2" t="str">
        <f>IF($S$32=X$5,S30*X$5,"")</f>
        <v/>
      </c>
      <c r="Y30" s="2" t="str">
        <f>IF($S$32=Y$5,S30*Y$5,"")</f>
        <v/>
      </c>
      <c r="Z30" s="2" t="str">
        <f>IF($S$32=Z$5,S30*Z$5,"")</f>
        <v/>
      </c>
      <c r="AA30" s="144">
        <f>IF(SUM(V30:Z30)=0,0,Setup!F$44/SUM(V30:Z30))</f>
        <v>0</v>
      </c>
    </row>
    <row r="31" spans="1:27" hidden="1" x14ac:dyDescent="0.2">
      <c r="A31" s="91">
        <f>Matchups!C28</f>
        <v>10</v>
      </c>
      <c r="B31" s="341"/>
      <c r="C31" s="119"/>
      <c r="D31" s="119"/>
      <c r="E31" s="119"/>
      <c r="F31" s="119"/>
      <c r="G31" s="119"/>
      <c r="H31" s="119"/>
      <c r="I31" s="119"/>
      <c r="J31" s="402"/>
      <c r="K31" s="8"/>
      <c r="M31" s="227">
        <f t="shared" ref="M31:M37" si="8">A31</f>
        <v>10</v>
      </c>
      <c r="N31" s="8">
        <f t="shared" ref="N31:N37" si="9">K31</f>
        <v>0</v>
      </c>
      <c r="O31" s="8"/>
      <c r="P31" s="164"/>
      <c r="Q31" s="66"/>
      <c r="R31" s="66"/>
      <c r="S31" s="66"/>
      <c r="T31" s="154"/>
      <c r="AA31" s="139">
        <f>IF(SUM(W31:Z31)=0,0,Setup!F$44/Z31)</f>
        <v>0</v>
      </c>
    </row>
    <row r="32" spans="1:27" x14ac:dyDescent="0.2">
      <c r="A32" s="91" t="str">
        <f>Matchups!C29</f>
        <v>Patrick</v>
      </c>
      <c r="B32" s="341"/>
      <c r="C32" s="119"/>
      <c r="D32" s="119"/>
      <c r="E32" s="119"/>
      <c r="F32" s="119"/>
      <c r="G32" s="119"/>
      <c r="H32" s="119"/>
      <c r="I32" s="119"/>
      <c r="J32" s="402">
        <v>54</v>
      </c>
      <c r="K32" s="8">
        <f>SUM(B32:J32)</f>
        <v>54</v>
      </c>
      <c r="M32" s="227" t="str">
        <f t="shared" si="8"/>
        <v>Patrick</v>
      </c>
      <c r="N32" s="8">
        <f t="shared" si="9"/>
        <v>54</v>
      </c>
      <c r="O32" s="8"/>
      <c r="P32" s="164"/>
      <c r="Q32" s="66"/>
      <c r="R32" s="66"/>
      <c r="S32" s="66"/>
      <c r="T32" s="154"/>
      <c r="V32" s="2" t="str">
        <f>IF($S$32=V$5,S32*V$5,"")</f>
        <v/>
      </c>
      <c r="W32" s="2" t="str">
        <f>IF($S$32=W$5,S32*W$5,"")</f>
        <v/>
      </c>
      <c r="X32" s="2" t="str">
        <f>IF($S$32=X$5,S32*X$5,"")</f>
        <v/>
      </c>
      <c r="Y32" s="2" t="str">
        <f>IF($S$32=Y$5,S32*Y$5,"")</f>
        <v/>
      </c>
      <c r="Z32" s="2" t="str">
        <f>IF($S$32=Z$5,S32*Z$5,"")</f>
        <v/>
      </c>
      <c r="AA32" s="144">
        <f>IF(SUM(V32:Z32)=0,0,Setup!F$44/SUM(V32:Z32))</f>
        <v>0</v>
      </c>
    </row>
    <row r="33" spans="1:27" hidden="1" x14ac:dyDescent="0.2">
      <c r="A33" s="91">
        <f>Matchups!C30</f>
        <v>8</v>
      </c>
      <c r="B33" s="341"/>
      <c r="C33" s="119"/>
      <c r="D33" s="119"/>
      <c r="E33" s="119"/>
      <c r="F33" s="119"/>
      <c r="G33" s="119"/>
      <c r="H33" s="119"/>
      <c r="I33" s="119"/>
      <c r="J33" s="402"/>
      <c r="K33" s="8"/>
      <c r="M33" s="227">
        <f t="shared" si="8"/>
        <v>8</v>
      </c>
      <c r="N33" s="8">
        <f t="shared" si="9"/>
        <v>0</v>
      </c>
      <c r="O33" s="8"/>
      <c r="P33" s="164"/>
      <c r="Q33" s="66"/>
      <c r="R33" s="66"/>
      <c r="S33" s="66"/>
      <c r="T33" s="154"/>
    </row>
    <row r="34" spans="1:27" s="425" customFormat="1" x14ac:dyDescent="0.2">
      <c r="A34" s="91" t="str">
        <f>Matchups!C31</f>
        <v>Brian S</v>
      </c>
      <c r="B34" s="341"/>
      <c r="C34" s="119"/>
      <c r="D34" s="119"/>
      <c r="E34" s="119"/>
      <c r="F34" s="119"/>
      <c r="G34" s="119"/>
      <c r="H34" s="119"/>
      <c r="I34" s="119"/>
      <c r="J34" s="402">
        <v>57</v>
      </c>
      <c r="K34" s="8">
        <f>SUM(B34:J34)</f>
        <v>57</v>
      </c>
      <c r="M34" s="227" t="str">
        <f t="shared" si="8"/>
        <v>Brian S</v>
      </c>
      <c r="N34" s="8">
        <f t="shared" si="9"/>
        <v>57</v>
      </c>
      <c r="O34" s="528"/>
      <c r="P34" s="164"/>
      <c r="Q34" s="66"/>
      <c r="R34" s="66"/>
      <c r="S34" s="66"/>
      <c r="T34" s="154"/>
      <c r="V34" s="2" t="str">
        <f>IF($S$32=V$5,S34*V$5,"")</f>
        <v/>
      </c>
      <c r="W34" s="2" t="str">
        <f>IF($S$32=W$5,S34*W$5,"")</f>
        <v/>
      </c>
      <c r="X34" s="2" t="str">
        <f>IF($S$32=X$5,S34*X$5,"")</f>
        <v/>
      </c>
      <c r="Y34" s="2" t="str">
        <f>IF($S$32=Y$5,S34*Y$5,"")</f>
        <v/>
      </c>
      <c r="Z34" s="2" t="str">
        <f>IF($S$32=Z$5,S34*Z$5,"")</f>
        <v/>
      </c>
      <c r="AA34" s="144">
        <f>IF(SUM(V34:Z34)=0,0,Setup!F$44/SUM(V34:Z34))</f>
        <v>0</v>
      </c>
    </row>
    <row r="35" spans="1:27" s="425" customFormat="1" hidden="1" x14ac:dyDescent="0.2">
      <c r="A35" s="91">
        <f>Matchups!C32</f>
        <v>13</v>
      </c>
      <c r="B35" s="341"/>
      <c r="C35" s="119"/>
      <c r="D35" s="119"/>
      <c r="E35" s="119"/>
      <c r="F35" s="119"/>
      <c r="G35" s="119"/>
      <c r="H35" s="119"/>
      <c r="I35" s="119"/>
      <c r="J35" s="402"/>
      <c r="K35" s="545"/>
      <c r="M35" s="227">
        <f t="shared" si="8"/>
        <v>13</v>
      </c>
      <c r="N35" s="8">
        <f t="shared" si="9"/>
        <v>0</v>
      </c>
      <c r="O35" s="528"/>
      <c r="P35" s="164"/>
      <c r="Q35" s="66"/>
      <c r="R35" s="66"/>
      <c r="S35" s="66"/>
      <c r="T35" s="154"/>
      <c r="V35" s="1"/>
      <c r="W35" s="2"/>
      <c r="X35" s="2"/>
      <c r="Y35" s="2"/>
      <c r="Z35" s="2"/>
      <c r="AA35" s="2"/>
    </row>
    <row r="36" spans="1:27" s="425" customFormat="1" ht="13.5" thickBot="1" x14ac:dyDescent="0.25">
      <c r="A36" s="92" t="str">
        <f>Matchups!C33</f>
        <v>Chris</v>
      </c>
      <c r="B36" s="343"/>
      <c r="C36" s="122"/>
      <c r="D36" s="122"/>
      <c r="E36" s="122"/>
      <c r="F36" s="122"/>
      <c r="G36" s="122"/>
      <c r="H36" s="122"/>
      <c r="I36" s="122"/>
      <c r="J36" s="403">
        <v>59</v>
      </c>
      <c r="K36" s="11">
        <f>SUM(B36:J36)</f>
        <v>59</v>
      </c>
      <c r="M36" s="228" t="str">
        <f t="shared" si="8"/>
        <v>Chris</v>
      </c>
      <c r="N36" s="11">
        <f t="shared" si="9"/>
        <v>59</v>
      </c>
      <c r="O36" s="529"/>
      <c r="P36" s="166"/>
      <c r="Q36" s="67"/>
      <c r="R36" s="67"/>
      <c r="S36" s="67"/>
      <c r="T36" s="157"/>
      <c r="V36" s="2" t="str">
        <f>IF($S$32=V$5,S36*V$5,"")</f>
        <v/>
      </c>
      <c r="W36" s="2" t="str">
        <f>IF($S$32=W$5,S36*W$5,"")</f>
        <v/>
      </c>
      <c r="X36" s="2" t="str">
        <f>IF($S$32=X$5,S36*X$5,"")</f>
        <v/>
      </c>
      <c r="Y36" s="2" t="str">
        <f>IF($S$32=Y$5,S36*Y$5,"")</f>
        <v/>
      </c>
      <c r="Z36" s="2" t="str">
        <f>IF($S$32=Z$5,S36*Z$5,"")</f>
        <v/>
      </c>
      <c r="AA36" s="144">
        <f>IF(SUM(V36:Z36)=0,0,Setup!F$44/SUM(V36:Z36))</f>
        <v>0</v>
      </c>
    </row>
    <row r="37" spans="1:27" s="425" customFormat="1" ht="13.5" hidden="1" thickBot="1" x14ac:dyDescent="0.25">
      <c r="A37" s="689">
        <f>Matchups!C34</f>
        <v>15</v>
      </c>
      <c r="B37" s="683"/>
      <c r="C37" s="684"/>
      <c r="D37" s="684"/>
      <c r="E37" s="684"/>
      <c r="F37" s="684"/>
      <c r="G37" s="684"/>
      <c r="H37" s="684"/>
      <c r="I37" s="684"/>
      <c r="J37" s="685"/>
      <c r="K37" s="546"/>
      <c r="M37" s="333">
        <f t="shared" si="8"/>
        <v>15</v>
      </c>
      <c r="N37" s="89">
        <f t="shared" si="9"/>
        <v>0</v>
      </c>
      <c r="O37" s="545"/>
      <c r="P37" s="687"/>
      <c r="Q37" s="394"/>
      <c r="R37" s="394"/>
      <c r="S37" s="394"/>
      <c r="T37" s="405"/>
      <c r="V37" s="1"/>
      <c r="W37" s="2"/>
      <c r="X37" s="2"/>
      <c r="Y37" s="2"/>
      <c r="Z37" s="2"/>
      <c r="AA37" s="2"/>
    </row>
    <row r="38" spans="1:27" x14ac:dyDescent="0.2">
      <c r="S38" s="52">
        <f>COUNTIF(S6:S37,1)</f>
        <v>0</v>
      </c>
    </row>
  </sheetData>
  <pageMargins left="0.7" right="0.7" top="0.75" bottom="0.75" header="0.3" footer="0.3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38"/>
  <sheetViews>
    <sheetView zoomScaleNormal="100" workbookViewId="0">
      <selection activeCell="J18" sqref="J18"/>
    </sheetView>
  </sheetViews>
  <sheetFormatPr defaultColWidth="9.140625" defaultRowHeight="12.75" x14ac:dyDescent="0.2"/>
  <cols>
    <col min="1" max="1" width="16.42578125" style="1" bestFit="1" customWidth="1"/>
    <col min="2" max="11" width="9.140625" style="2"/>
    <col min="12" max="12" width="9.140625" style="1"/>
    <col min="13" max="13" width="11.140625" style="1" customWidth="1"/>
    <col min="14" max="15" width="11.140625" style="2" customWidth="1"/>
    <col min="16" max="20" width="11.85546875" style="52" customWidth="1"/>
    <col min="21" max="22" width="9.140625" style="1"/>
    <col min="23" max="26" width="9.140625" style="2"/>
    <col min="27" max="27" width="9.85546875" style="2" customWidth="1"/>
    <col min="28" max="16384" width="9.140625" style="1"/>
  </cols>
  <sheetData>
    <row r="1" spans="1:27" ht="13.5" thickBot="1" x14ac:dyDescent="0.25"/>
    <row r="2" spans="1:27" x14ac:dyDescent="0.2">
      <c r="A2" s="90" t="s">
        <v>1</v>
      </c>
      <c r="B2" s="76">
        <f>Courses!C61</f>
        <v>10</v>
      </c>
      <c r="C2" s="34">
        <f>Courses!D61</f>
        <v>11</v>
      </c>
      <c r="D2" s="34">
        <f>Courses!E61</f>
        <v>12</v>
      </c>
      <c r="E2" s="34">
        <f>Courses!F61</f>
        <v>13</v>
      </c>
      <c r="F2" s="34">
        <f>Courses!G61</f>
        <v>14</v>
      </c>
      <c r="G2" s="34">
        <f>Courses!H61</f>
        <v>15</v>
      </c>
      <c r="H2" s="34">
        <f>Courses!I61</f>
        <v>16</v>
      </c>
      <c r="I2" s="34">
        <f>Courses!J61</f>
        <v>17</v>
      </c>
      <c r="J2" s="35">
        <f>Courses!K61</f>
        <v>18</v>
      </c>
      <c r="K2" s="36"/>
    </row>
    <row r="3" spans="1:27" x14ac:dyDescent="0.2">
      <c r="A3" s="91" t="s">
        <v>2</v>
      </c>
      <c r="B3" s="77">
        <f>Courses!C62</f>
        <v>4</v>
      </c>
      <c r="C3" s="39">
        <f>Courses!D62</f>
        <v>5</v>
      </c>
      <c r="D3" s="39">
        <f>Courses!E62</f>
        <v>4</v>
      </c>
      <c r="E3" s="39">
        <f>Courses!F62</f>
        <v>3</v>
      </c>
      <c r="F3" s="39">
        <f>Courses!G62</f>
        <v>5</v>
      </c>
      <c r="G3" s="39">
        <f>Courses!H62</f>
        <v>4</v>
      </c>
      <c r="H3" s="39">
        <f>Courses!I62</f>
        <v>3</v>
      </c>
      <c r="I3" s="39">
        <f>Courses!J62</f>
        <v>4</v>
      </c>
      <c r="J3" s="40">
        <f>Courses!K62</f>
        <v>4</v>
      </c>
      <c r="K3" s="41">
        <f>SUM(B3:J3)</f>
        <v>36</v>
      </c>
      <c r="P3" s="55" t="s">
        <v>32</v>
      </c>
    </row>
    <row r="4" spans="1:27" ht="13.5" thickBot="1" x14ac:dyDescent="0.25">
      <c r="A4" s="92" t="s">
        <v>3</v>
      </c>
      <c r="B4" s="78">
        <f>Courses!C63</f>
        <v>10</v>
      </c>
      <c r="C4" s="44">
        <f>Courses!D63</f>
        <v>6</v>
      </c>
      <c r="D4" s="44">
        <f>Courses!E63</f>
        <v>8</v>
      </c>
      <c r="E4" s="44">
        <f>Courses!F63</f>
        <v>18</v>
      </c>
      <c r="F4" s="44">
        <f>Courses!G63</f>
        <v>4</v>
      </c>
      <c r="G4" s="44">
        <f>Courses!H63</f>
        <v>14</v>
      </c>
      <c r="H4" s="44">
        <f>Courses!I63</f>
        <v>16</v>
      </c>
      <c r="I4" s="44">
        <f>Courses!J63</f>
        <v>2</v>
      </c>
      <c r="J4" s="45">
        <f>Courses!K63</f>
        <v>12</v>
      </c>
      <c r="K4" s="46"/>
      <c r="P4" s="52" t="s">
        <v>34</v>
      </c>
      <c r="Q4" s="52" t="s">
        <v>126</v>
      </c>
      <c r="R4" s="52" t="s">
        <v>33</v>
      </c>
      <c r="T4" s="52" t="s">
        <v>127</v>
      </c>
    </row>
    <row r="5" spans="1:27" ht="13.5" thickBot="1" x14ac:dyDescent="0.25">
      <c r="M5" s="335" t="s">
        <v>16</v>
      </c>
      <c r="N5" s="251" t="s">
        <v>17</v>
      </c>
      <c r="O5" s="233" t="s">
        <v>36</v>
      </c>
      <c r="P5" s="161" t="str">
        <f>Results!C40</f>
        <v>Long Drive</v>
      </c>
      <c r="Q5" s="50" t="str">
        <f>Results!D40</f>
        <v>Closest to Pin</v>
      </c>
      <c r="R5" s="50" t="str">
        <f>Results!E40</f>
        <v>Long Putt</v>
      </c>
      <c r="S5" s="50" t="str">
        <f>Results!F40</f>
        <v>Secret Snowman</v>
      </c>
      <c r="T5" s="51" t="str">
        <f>Results!G40</f>
        <v>Closest to Pin</v>
      </c>
      <c r="V5" s="1">
        <v>1</v>
      </c>
      <c r="W5" s="2">
        <v>2</v>
      </c>
      <c r="X5" s="2">
        <v>3</v>
      </c>
      <c r="Y5" s="2">
        <v>4</v>
      </c>
      <c r="Z5" s="2">
        <v>5</v>
      </c>
    </row>
    <row r="6" spans="1:27" x14ac:dyDescent="0.2">
      <c r="A6" s="90" t="str">
        <f>Matchups!C3</f>
        <v>Mil</v>
      </c>
      <c r="B6" s="339"/>
      <c r="C6" s="116"/>
      <c r="D6" s="116"/>
      <c r="E6" s="116"/>
      <c r="F6" s="116"/>
      <c r="G6" s="116"/>
      <c r="H6" s="116"/>
      <c r="I6" s="116"/>
      <c r="J6" s="117">
        <v>48</v>
      </c>
      <c r="K6" s="5">
        <f>SUM(B6:J6)</f>
        <v>48</v>
      </c>
      <c r="M6" s="90" t="str">
        <f>A6</f>
        <v>Mil</v>
      </c>
      <c r="N6" s="5">
        <f>K6</f>
        <v>48</v>
      </c>
      <c r="O6" s="12"/>
      <c r="P6" s="162"/>
      <c r="Q6" s="65"/>
      <c r="R6" s="65"/>
      <c r="S6" s="65"/>
      <c r="T6" s="153"/>
      <c r="V6" s="2" t="str">
        <f t="shared" ref="V6:V37" si="0">IF($S$38=V$5,S6*V$5,"")</f>
        <v/>
      </c>
      <c r="W6" s="2" t="str">
        <f t="shared" ref="W6:W37" si="1">IF($S$38=W$5,S6*W$5,"")</f>
        <v/>
      </c>
      <c r="X6" s="2" t="str">
        <f t="shared" ref="X6:X37" si="2">IF($S$38=X$5,S6*X$5,"")</f>
        <v/>
      </c>
      <c r="Y6" s="2" t="str">
        <f t="shared" ref="Y6:Y37" si="3">IF($S$38=Y$5,S6*Y$5,"")</f>
        <v/>
      </c>
      <c r="Z6" s="2" t="str">
        <f t="shared" ref="Z6:Z37" si="4">IF($S$38=Z$5,S6*Z$5,"")</f>
        <v/>
      </c>
      <c r="AA6" s="144">
        <f>IF(SUM(V6:Z6)=0,0,Setup!F$44/SUM(V6:Z6))</f>
        <v>0</v>
      </c>
    </row>
    <row r="7" spans="1:27" hidden="1" x14ac:dyDescent="0.2">
      <c r="A7" s="91">
        <f>Matchups!C4</f>
        <v>6</v>
      </c>
      <c r="B7" s="340"/>
      <c r="C7" s="137"/>
      <c r="D7" s="137"/>
      <c r="E7" s="137"/>
      <c r="F7" s="137"/>
      <c r="G7" s="137"/>
      <c r="H7" s="137"/>
      <c r="I7" s="137"/>
      <c r="J7" s="138"/>
      <c r="K7" s="71"/>
      <c r="M7" s="91">
        <f t="shared" ref="M7:M37" si="5">A7</f>
        <v>6</v>
      </c>
      <c r="N7" s="8">
        <f t="shared" ref="N7:N29" si="6">K7</f>
        <v>0</v>
      </c>
      <c r="O7" s="231"/>
      <c r="P7" s="163"/>
      <c r="Q7" s="158"/>
      <c r="R7" s="158"/>
      <c r="S7" s="158"/>
      <c r="T7" s="159"/>
      <c r="V7" s="2" t="str">
        <f t="shared" si="0"/>
        <v/>
      </c>
      <c r="W7" s="2" t="str">
        <f t="shared" si="1"/>
        <v/>
      </c>
      <c r="X7" s="2" t="str">
        <f t="shared" si="2"/>
        <v/>
      </c>
      <c r="Y7" s="2" t="str">
        <f t="shared" si="3"/>
        <v/>
      </c>
      <c r="Z7" s="2" t="str">
        <f t="shared" si="4"/>
        <v/>
      </c>
      <c r="AA7" s="144">
        <f>IF(SUM(V7:Z7)=0,0,Setup!F$44/SUM(V7:Z7))</f>
        <v>0</v>
      </c>
    </row>
    <row r="8" spans="1:27" x14ac:dyDescent="0.2">
      <c r="A8" s="91" t="str">
        <f>Matchups!C5</f>
        <v>John</v>
      </c>
      <c r="B8" s="341"/>
      <c r="C8" s="119"/>
      <c r="D8" s="119"/>
      <c r="E8" s="119"/>
      <c r="F8" s="119"/>
      <c r="G8" s="119"/>
      <c r="H8" s="119"/>
      <c r="I8" s="119"/>
      <c r="J8" s="120">
        <v>43</v>
      </c>
      <c r="K8" s="8">
        <f t="shared" ref="K8:K28" si="7">SUM(B8:J8)</f>
        <v>43</v>
      </c>
      <c r="M8" s="91" t="str">
        <f t="shared" si="5"/>
        <v>John</v>
      </c>
      <c r="N8" s="8">
        <f t="shared" si="6"/>
        <v>43</v>
      </c>
      <c r="O8" s="13"/>
      <c r="P8" s="164"/>
      <c r="Q8" s="66"/>
      <c r="R8" s="66"/>
      <c r="S8" s="66"/>
      <c r="T8" s="154"/>
      <c r="V8" s="2" t="str">
        <f t="shared" si="0"/>
        <v/>
      </c>
      <c r="W8" s="2" t="str">
        <f t="shared" si="1"/>
        <v/>
      </c>
      <c r="X8" s="2" t="str">
        <f t="shared" si="2"/>
        <v/>
      </c>
      <c r="Y8" s="2" t="str">
        <f t="shared" si="3"/>
        <v/>
      </c>
      <c r="Z8" s="2" t="str">
        <f t="shared" si="4"/>
        <v/>
      </c>
      <c r="AA8" s="144">
        <f>IF(SUM(V8:Z8)=0,0,Setup!F$44/SUM(V8:Z8))</f>
        <v>0</v>
      </c>
    </row>
    <row r="9" spans="1:27" hidden="1" x14ac:dyDescent="0.2">
      <c r="A9" s="91">
        <f>Matchups!C6</f>
        <v>7</v>
      </c>
      <c r="B9" s="341"/>
      <c r="C9" s="119"/>
      <c r="D9" s="119"/>
      <c r="E9" s="119"/>
      <c r="F9" s="119"/>
      <c r="G9" s="119"/>
      <c r="H9" s="119"/>
      <c r="I9" s="119"/>
      <c r="J9" s="120"/>
      <c r="K9" s="8"/>
      <c r="M9" s="91">
        <f t="shared" si="5"/>
        <v>7</v>
      </c>
      <c r="N9" s="8">
        <f t="shared" si="6"/>
        <v>0</v>
      </c>
      <c r="O9" s="13"/>
      <c r="P9" s="164"/>
      <c r="Q9" s="66"/>
      <c r="R9" s="66"/>
      <c r="S9" s="66"/>
      <c r="T9" s="154"/>
      <c r="V9" s="2" t="str">
        <f t="shared" si="0"/>
        <v/>
      </c>
      <c r="W9" s="2" t="str">
        <f t="shared" si="1"/>
        <v/>
      </c>
      <c r="X9" s="2" t="str">
        <f t="shared" si="2"/>
        <v/>
      </c>
      <c r="Y9" s="2" t="str">
        <f t="shared" si="3"/>
        <v/>
      </c>
      <c r="Z9" s="2" t="str">
        <f t="shared" si="4"/>
        <v/>
      </c>
      <c r="AA9" s="144">
        <f>IF(SUM(V9:Z9)=0,0,Setup!F$44/SUM(V9:Z9))</f>
        <v>0</v>
      </c>
    </row>
    <row r="10" spans="1:27" x14ac:dyDescent="0.2">
      <c r="A10" s="91" t="str">
        <f>Matchups!C7</f>
        <v>Brian P</v>
      </c>
      <c r="B10" s="341"/>
      <c r="C10" s="119"/>
      <c r="D10" s="119"/>
      <c r="E10" s="119"/>
      <c r="F10" s="119"/>
      <c r="G10" s="119"/>
      <c r="H10" s="119"/>
      <c r="I10" s="119"/>
      <c r="J10" s="120">
        <v>46</v>
      </c>
      <c r="K10" s="8">
        <f t="shared" si="7"/>
        <v>46</v>
      </c>
      <c r="M10" s="91" t="str">
        <f t="shared" si="5"/>
        <v>Brian P</v>
      </c>
      <c r="N10" s="8">
        <f t="shared" si="6"/>
        <v>46</v>
      </c>
      <c r="O10" s="13"/>
      <c r="P10" s="164"/>
      <c r="Q10" s="66"/>
      <c r="R10" s="66"/>
      <c r="S10" s="66"/>
      <c r="T10" s="154"/>
      <c r="V10" s="2" t="str">
        <f t="shared" si="0"/>
        <v/>
      </c>
      <c r="W10" s="2" t="str">
        <f t="shared" si="1"/>
        <v/>
      </c>
      <c r="X10" s="2" t="str">
        <f t="shared" si="2"/>
        <v/>
      </c>
      <c r="Y10" s="2" t="str">
        <f t="shared" si="3"/>
        <v/>
      </c>
      <c r="Z10" s="2" t="str">
        <f t="shared" si="4"/>
        <v/>
      </c>
      <c r="AA10" s="144">
        <f>IF(SUM(V10:Z10)=0,0,Setup!F$44/SUM(V10:Z10))</f>
        <v>0</v>
      </c>
    </row>
    <row r="11" spans="1:27" hidden="1" x14ac:dyDescent="0.2">
      <c r="A11" s="91">
        <f>Matchups!C8</f>
        <v>6</v>
      </c>
      <c r="B11" s="341"/>
      <c r="C11" s="119"/>
      <c r="D11" s="119"/>
      <c r="E11" s="119"/>
      <c r="F11" s="119"/>
      <c r="G11" s="119"/>
      <c r="H11" s="119"/>
      <c r="I11" s="119"/>
      <c r="J11" s="120"/>
      <c r="K11" s="8"/>
      <c r="M11" s="91">
        <f t="shared" si="5"/>
        <v>6</v>
      </c>
      <c r="N11" s="8">
        <f t="shared" si="6"/>
        <v>0</v>
      </c>
      <c r="O11" s="13"/>
      <c r="P11" s="164"/>
      <c r="Q11" s="66"/>
      <c r="R11" s="66"/>
      <c r="S11" s="66"/>
      <c r="T11" s="154"/>
      <c r="V11" s="2" t="str">
        <f t="shared" si="0"/>
        <v/>
      </c>
      <c r="W11" s="2" t="str">
        <f t="shared" si="1"/>
        <v/>
      </c>
      <c r="X11" s="2" t="str">
        <f t="shared" si="2"/>
        <v/>
      </c>
      <c r="Y11" s="2" t="str">
        <f t="shared" si="3"/>
        <v/>
      </c>
      <c r="Z11" s="2" t="str">
        <f t="shared" si="4"/>
        <v/>
      </c>
      <c r="AA11" s="144">
        <f>IF(SUM(V11:Z11)=0,0,Setup!F$44/SUM(V11:Z11))</f>
        <v>0</v>
      </c>
    </row>
    <row r="12" spans="1:27" ht="13.5" thickBot="1" x14ac:dyDescent="0.25">
      <c r="A12" s="91" t="str">
        <f>Matchups!C9</f>
        <v xml:space="preserve">Pat </v>
      </c>
      <c r="B12" s="341"/>
      <c r="C12" s="119"/>
      <c r="D12" s="119"/>
      <c r="E12" s="119"/>
      <c r="F12" s="119"/>
      <c r="G12" s="119"/>
      <c r="H12" s="119"/>
      <c r="I12" s="119"/>
      <c r="J12" s="120">
        <v>43</v>
      </c>
      <c r="K12" s="8">
        <f t="shared" si="7"/>
        <v>43</v>
      </c>
      <c r="M12" s="91" t="str">
        <f t="shared" si="5"/>
        <v xml:space="preserve">Pat </v>
      </c>
      <c r="N12" s="11">
        <f t="shared" si="6"/>
        <v>43</v>
      </c>
      <c r="O12" s="13"/>
      <c r="P12" s="164"/>
      <c r="Q12" s="66"/>
      <c r="R12" s="66"/>
      <c r="S12" s="66"/>
      <c r="T12" s="154"/>
      <c r="V12" s="2" t="str">
        <f t="shared" si="0"/>
        <v/>
      </c>
      <c r="W12" s="2" t="str">
        <f t="shared" si="1"/>
        <v/>
      </c>
      <c r="X12" s="2" t="str">
        <f t="shared" si="2"/>
        <v/>
      </c>
      <c r="Y12" s="2" t="str">
        <f t="shared" si="3"/>
        <v/>
      </c>
      <c r="Z12" s="2" t="str">
        <f t="shared" si="4"/>
        <v/>
      </c>
      <c r="AA12" s="144">
        <f>IF(SUM(V12:Z12)=0,0,Setup!F$44/SUM(V12:Z12))</f>
        <v>0</v>
      </c>
    </row>
    <row r="13" spans="1:27" ht="13.5" hidden="1" thickBot="1" x14ac:dyDescent="0.25">
      <c r="A13" s="133">
        <f>Matchups!C10</f>
        <v>6</v>
      </c>
      <c r="B13" s="342"/>
      <c r="C13" s="337"/>
      <c r="D13" s="337"/>
      <c r="E13" s="337"/>
      <c r="F13" s="337"/>
      <c r="G13" s="337"/>
      <c r="H13" s="337"/>
      <c r="I13" s="337"/>
      <c r="J13" s="338"/>
      <c r="K13" s="70"/>
      <c r="M13" s="133">
        <f t="shared" si="5"/>
        <v>6</v>
      </c>
      <c r="N13" s="410">
        <f t="shared" si="6"/>
        <v>0</v>
      </c>
      <c r="O13" s="229"/>
      <c r="P13" s="165"/>
      <c r="Q13" s="155"/>
      <c r="R13" s="155"/>
      <c r="S13" s="155"/>
      <c r="T13" s="156"/>
      <c r="V13" s="2" t="str">
        <f t="shared" si="0"/>
        <v/>
      </c>
      <c r="W13" s="2" t="str">
        <f t="shared" si="1"/>
        <v/>
      </c>
      <c r="X13" s="2" t="str">
        <f t="shared" si="2"/>
        <v/>
      </c>
      <c r="Y13" s="2" t="str">
        <f t="shared" si="3"/>
        <v/>
      </c>
      <c r="Z13" s="2" t="str">
        <f t="shared" si="4"/>
        <v/>
      </c>
      <c r="AA13" s="144">
        <f>IF(SUM(V13:Z13)=0,0,Setup!F$44/SUM(V13:Z13))</f>
        <v>0</v>
      </c>
    </row>
    <row r="14" spans="1:27" x14ac:dyDescent="0.2">
      <c r="A14" s="90" t="str">
        <f>Matchups!C11</f>
        <v>Rick</v>
      </c>
      <c r="B14" s="339"/>
      <c r="C14" s="116"/>
      <c r="D14" s="116"/>
      <c r="E14" s="116"/>
      <c r="F14" s="116"/>
      <c r="G14" s="116"/>
      <c r="H14" s="116"/>
      <c r="I14" s="116"/>
      <c r="J14" s="117">
        <v>46</v>
      </c>
      <c r="K14" s="12">
        <f t="shared" si="7"/>
        <v>46</v>
      </c>
      <c r="M14" s="226" t="str">
        <f t="shared" si="5"/>
        <v>Rick</v>
      </c>
      <c r="N14" s="5">
        <f t="shared" si="6"/>
        <v>46</v>
      </c>
      <c r="O14" s="12"/>
      <c r="P14" s="297"/>
      <c r="Q14" s="65"/>
      <c r="R14" s="65"/>
      <c r="S14" s="65"/>
      <c r="T14" s="153"/>
      <c r="V14" s="2" t="str">
        <f t="shared" si="0"/>
        <v/>
      </c>
      <c r="W14" s="2" t="str">
        <f t="shared" si="1"/>
        <v/>
      </c>
      <c r="X14" s="2" t="str">
        <f t="shared" si="2"/>
        <v/>
      </c>
      <c r="Y14" s="2" t="str">
        <f t="shared" si="3"/>
        <v/>
      </c>
      <c r="Z14" s="2" t="str">
        <f t="shared" si="4"/>
        <v/>
      </c>
      <c r="AA14" s="144">
        <f>IF(SUM(V14:Z14)=0,0,Setup!F$44/SUM(V14:Z14))</f>
        <v>0</v>
      </c>
    </row>
    <row r="15" spans="1:27" hidden="1" x14ac:dyDescent="0.2">
      <c r="A15" s="91">
        <f>Matchups!C12</f>
        <v>7</v>
      </c>
      <c r="B15" s="341"/>
      <c r="C15" s="119"/>
      <c r="D15" s="119"/>
      <c r="E15" s="119"/>
      <c r="F15" s="119"/>
      <c r="G15" s="119"/>
      <c r="H15" s="119"/>
      <c r="I15" s="119"/>
      <c r="J15" s="120"/>
      <c r="K15" s="13"/>
      <c r="M15" s="227">
        <f t="shared" si="5"/>
        <v>7</v>
      </c>
      <c r="N15" s="8">
        <f t="shared" si="6"/>
        <v>0</v>
      </c>
      <c r="O15" s="13"/>
      <c r="P15" s="191"/>
      <c r="Q15" s="66"/>
      <c r="R15" s="66"/>
      <c r="S15" s="66"/>
      <c r="T15" s="154"/>
      <c r="V15" s="2" t="str">
        <f t="shared" si="0"/>
        <v/>
      </c>
      <c r="W15" s="2" t="str">
        <f t="shared" si="1"/>
        <v/>
      </c>
      <c r="X15" s="2" t="str">
        <f t="shared" si="2"/>
        <v/>
      </c>
      <c r="Y15" s="2" t="str">
        <f t="shared" si="3"/>
        <v/>
      </c>
      <c r="Z15" s="2" t="str">
        <f t="shared" si="4"/>
        <v/>
      </c>
      <c r="AA15" s="144">
        <f>IF(SUM(V15:Z15)=0,0,Setup!F$44/SUM(V15:Z15))</f>
        <v>0</v>
      </c>
    </row>
    <row r="16" spans="1:27" x14ac:dyDescent="0.2">
      <c r="A16" s="91" t="str">
        <f>Matchups!C13</f>
        <v>Keith</v>
      </c>
      <c r="B16" s="341"/>
      <c r="C16" s="119"/>
      <c r="D16" s="119"/>
      <c r="E16" s="119"/>
      <c r="F16" s="119"/>
      <c r="G16" s="119"/>
      <c r="H16" s="119"/>
      <c r="I16" s="119"/>
      <c r="J16" s="120">
        <v>58</v>
      </c>
      <c r="K16" s="13">
        <f t="shared" si="7"/>
        <v>58</v>
      </c>
      <c r="M16" s="227" t="str">
        <f t="shared" si="5"/>
        <v>Keith</v>
      </c>
      <c r="N16" s="8">
        <f t="shared" si="6"/>
        <v>58</v>
      </c>
      <c r="O16" s="13"/>
      <c r="P16" s="191"/>
      <c r="Q16" s="66"/>
      <c r="R16" s="66"/>
      <c r="S16" s="66"/>
      <c r="T16" s="154"/>
      <c r="V16" s="2" t="str">
        <f t="shared" si="0"/>
        <v/>
      </c>
      <c r="W16" s="2" t="str">
        <f t="shared" si="1"/>
        <v/>
      </c>
      <c r="X16" s="2" t="str">
        <f t="shared" si="2"/>
        <v/>
      </c>
      <c r="Y16" s="2" t="str">
        <f t="shared" si="3"/>
        <v/>
      </c>
      <c r="Z16" s="2" t="str">
        <f t="shared" si="4"/>
        <v/>
      </c>
      <c r="AA16" s="144">
        <f>IF(SUM(V16:Z16)=0,0,Setup!F$44/SUM(V16:Z16))</f>
        <v>0</v>
      </c>
    </row>
    <row r="17" spans="1:27" hidden="1" x14ac:dyDescent="0.2">
      <c r="A17" s="91">
        <f>Matchups!C14</f>
        <v>16</v>
      </c>
      <c r="B17" s="341"/>
      <c r="C17" s="119"/>
      <c r="D17" s="119"/>
      <c r="E17" s="119"/>
      <c r="F17" s="119"/>
      <c r="G17" s="119"/>
      <c r="H17" s="119"/>
      <c r="I17" s="119"/>
      <c r="J17" s="120"/>
      <c r="K17" s="13"/>
      <c r="M17" s="227">
        <f t="shared" si="5"/>
        <v>16</v>
      </c>
      <c r="N17" s="8">
        <f t="shared" si="6"/>
        <v>0</v>
      </c>
      <c r="O17" s="13"/>
      <c r="P17" s="191"/>
      <c r="Q17" s="66"/>
      <c r="R17" s="66"/>
      <c r="S17" s="66"/>
      <c r="T17" s="154"/>
      <c r="V17" s="2" t="str">
        <f t="shared" si="0"/>
        <v/>
      </c>
      <c r="W17" s="2" t="str">
        <f t="shared" si="1"/>
        <v/>
      </c>
      <c r="X17" s="2" t="str">
        <f t="shared" si="2"/>
        <v/>
      </c>
      <c r="Y17" s="2" t="str">
        <f t="shared" si="3"/>
        <v/>
      </c>
      <c r="Z17" s="2" t="str">
        <f t="shared" si="4"/>
        <v/>
      </c>
      <c r="AA17" s="144">
        <f>IF(SUM(V17:Z17)=0,0,Setup!F$44/SUM(V17:Z17))</f>
        <v>0</v>
      </c>
    </row>
    <row r="18" spans="1:27" x14ac:dyDescent="0.2">
      <c r="A18" s="91" t="str">
        <f>Matchups!C15</f>
        <v>Tony W</v>
      </c>
      <c r="B18" s="341"/>
      <c r="C18" s="119"/>
      <c r="D18" s="119"/>
      <c r="E18" s="119"/>
      <c r="F18" s="119"/>
      <c r="G18" s="119"/>
      <c r="H18" s="119"/>
      <c r="I18" s="119"/>
      <c r="J18" s="120">
        <v>50</v>
      </c>
      <c r="K18" s="13">
        <f t="shared" si="7"/>
        <v>50</v>
      </c>
      <c r="M18" s="227" t="str">
        <f t="shared" si="5"/>
        <v>Tony W</v>
      </c>
      <c r="N18" s="8">
        <f t="shared" si="6"/>
        <v>50</v>
      </c>
      <c r="O18" s="13"/>
      <c r="P18" s="191"/>
      <c r="Q18" s="66"/>
      <c r="R18" s="66"/>
      <c r="S18" s="66"/>
      <c r="T18" s="154"/>
      <c r="V18" s="2" t="str">
        <f t="shared" si="0"/>
        <v/>
      </c>
      <c r="W18" s="2" t="str">
        <f t="shared" si="1"/>
        <v/>
      </c>
      <c r="X18" s="2" t="str">
        <f t="shared" si="2"/>
        <v/>
      </c>
      <c r="Y18" s="2" t="str">
        <f t="shared" si="3"/>
        <v/>
      </c>
      <c r="Z18" s="2" t="str">
        <f t="shared" si="4"/>
        <v/>
      </c>
      <c r="AA18" s="144">
        <f>IF(SUM(V18:Z18)=0,0,Setup!F$44/SUM(V18:Z18))</f>
        <v>0</v>
      </c>
    </row>
    <row r="19" spans="1:27" hidden="1" x14ac:dyDescent="0.2">
      <c r="A19" s="133">
        <f>Matchups!C16</f>
        <v>10</v>
      </c>
      <c r="B19" s="342"/>
      <c r="C19" s="337"/>
      <c r="D19" s="337"/>
      <c r="E19" s="337"/>
      <c r="F19" s="337"/>
      <c r="G19" s="337"/>
      <c r="H19" s="337"/>
      <c r="I19" s="337"/>
      <c r="J19" s="338"/>
      <c r="K19" s="229"/>
      <c r="M19" s="334">
        <f t="shared" si="5"/>
        <v>10</v>
      </c>
      <c r="N19" s="70">
        <f t="shared" si="6"/>
        <v>0</v>
      </c>
      <c r="O19" s="229"/>
      <c r="P19" s="404"/>
      <c r="Q19" s="155"/>
      <c r="R19" s="155"/>
      <c r="S19" s="155"/>
      <c r="T19" s="156"/>
      <c r="V19" s="2" t="str">
        <f t="shared" si="0"/>
        <v/>
      </c>
      <c r="W19" s="2" t="str">
        <f t="shared" si="1"/>
        <v/>
      </c>
      <c r="X19" s="2" t="str">
        <f t="shared" si="2"/>
        <v/>
      </c>
      <c r="Y19" s="2" t="str">
        <f t="shared" si="3"/>
        <v/>
      </c>
      <c r="Z19" s="2" t="str">
        <f t="shared" si="4"/>
        <v/>
      </c>
      <c r="AA19" s="144">
        <f>IF(SUM(V19:Z19)=0,0,Setup!F$44/SUM(V19:Z19))</f>
        <v>0</v>
      </c>
    </row>
    <row r="20" spans="1:27" ht="13.5" thickBot="1" x14ac:dyDescent="0.25">
      <c r="A20" s="91" t="str">
        <f>Matchups!C17</f>
        <v>Manny</v>
      </c>
      <c r="B20" s="341"/>
      <c r="C20" s="119"/>
      <c r="D20" s="119"/>
      <c r="E20" s="119"/>
      <c r="F20" s="119"/>
      <c r="G20" s="119"/>
      <c r="H20" s="119"/>
      <c r="I20" s="119"/>
      <c r="J20" s="120">
        <v>58</v>
      </c>
      <c r="K20" s="13">
        <f t="shared" si="7"/>
        <v>58</v>
      </c>
      <c r="M20" s="227" t="str">
        <f t="shared" si="5"/>
        <v>Manny</v>
      </c>
      <c r="N20" s="8">
        <f t="shared" si="6"/>
        <v>58</v>
      </c>
      <c r="O20" s="13"/>
      <c r="P20" s="191"/>
      <c r="Q20" s="66"/>
      <c r="R20" s="66"/>
      <c r="S20" s="66"/>
      <c r="T20" s="154"/>
      <c r="V20" s="2" t="str">
        <f t="shared" si="0"/>
        <v/>
      </c>
      <c r="W20" s="2" t="str">
        <f t="shared" si="1"/>
        <v/>
      </c>
      <c r="X20" s="2" t="str">
        <f t="shared" si="2"/>
        <v/>
      </c>
      <c r="Y20" s="2" t="str">
        <f t="shared" si="3"/>
        <v/>
      </c>
      <c r="Z20" s="2" t="str">
        <f t="shared" si="4"/>
        <v/>
      </c>
      <c r="AA20" s="144">
        <f>IF(SUM(V20:Z20)=0,0,Setup!F$44/SUM(V20:Z20))</f>
        <v>0</v>
      </c>
    </row>
    <row r="21" spans="1:27" ht="13.5" hidden="1" thickBot="1" x14ac:dyDescent="0.25">
      <c r="A21" s="133">
        <f>Matchups!C18</f>
        <v>14</v>
      </c>
      <c r="B21" s="342"/>
      <c r="C21" s="337"/>
      <c r="D21" s="337"/>
      <c r="E21" s="337"/>
      <c r="F21" s="337"/>
      <c r="G21" s="337"/>
      <c r="H21" s="337"/>
      <c r="I21" s="337"/>
      <c r="J21" s="338"/>
      <c r="K21" s="229"/>
      <c r="M21" s="334">
        <f t="shared" si="5"/>
        <v>14</v>
      </c>
      <c r="N21" s="70">
        <f t="shared" si="6"/>
        <v>0</v>
      </c>
      <c r="O21" s="229"/>
      <c r="P21" s="404"/>
      <c r="Q21" s="155"/>
      <c r="R21" s="155"/>
      <c r="S21" s="155"/>
      <c r="T21" s="156"/>
      <c r="V21" s="2" t="str">
        <f t="shared" si="0"/>
        <v/>
      </c>
      <c r="W21" s="2" t="str">
        <f t="shared" si="1"/>
        <v/>
      </c>
      <c r="X21" s="2" t="str">
        <f t="shared" si="2"/>
        <v/>
      </c>
      <c r="Y21" s="2" t="str">
        <f t="shared" si="3"/>
        <v/>
      </c>
      <c r="Z21" s="2" t="str">
        <f t="shared" si="4"/>
        <v/>
      </c>
      <c r="AA21" s="144">
        <f>IF(SUM(V21:Z21)=0,0,Setup!F$44/SUM(V21:Z21))</f>
        <v>0</v>
      </c>
    </row>
    <row r="22" spans="1:27" x14ac:dyDescent="0.2">
      <c r="A22" s="90" t="str">
        <f>Matchups!C19</f>
        <v>Tommy</v>
      </c>
      <c r="B22" s="339"/>
      <c r="C22" s="116"/>
      <c r="D22" s="116"/>
      <c r="E22" s="116"/>
      <c r="F22" s="116"/>
      <c r="G22" s="116"/>
      <c r="H22" s="116"/>
      <c r="I22" s="116"/>
      <c r="J22" s="117">
        <v>45</v>
      </c>
      <c r="K22" s="12">
        <f t="shared" si="7"/>
        <v>45</v>
      </c>
      <c r="M22" s="226" t="str">
        <f t="shared" si="5"/>
        <v>Tommy</v>
      </c>
      <c r="N22" s="5">
        <f t="shared" si="6"/>
        <v>45</v>
      </c>
      <c r="O22" s="12"/>
      <c r="P22" s="297"/>
      <c r="Q22" s="65"/>
      <c r="R22" s="65"/>
      <c r="S22" s="65"/>
      <c r="T22" s="153"/>
      <c r="V22" s="2" t="str">
        <f t="shared" si="0"/>
        <v/>
      </c>
      <c r="W22" s="2" t="str">
        <f t="shared" si="1"/>
        <v/>
      </c>
      <c r="X22" s="2" t="str">
        <f t="shared" si="2"/>
        <v/>
      </c>
      <c r="Y22" s="2" t="str">
        <f t="shared" si="3"/>
        <v/>
      </c>
      <c r="Z22" s="2" t="str">
        <f t="shared" si="4"/>
        <v/>
      </c>
      <c r="AA22" s="144">
        <f>IF(SUM(V22:Z22)=0,0,Setup!F$44/SUM(V22:Z22))</f>
        <v>0</v>
      </c>
    </row>
    <row r="23" spans="1:27" hidden="1" x14ac:dyDescent="0.2">
      <c r="A23" s="91">
        <f>Matchups!C20</f>
        <v>5</v>
      </c>
      <c r="B23" s="341"/>
      <c r="C23" s="119"/>
      <c r="D23" s="119"/>
      <c r="E23" s="119"/>
      <c r="F23" s="119"/>
      <c r="G23" s="119"/>
      <c r="H23" s="119"/>
      <c r="I23" s="119"/>
      <c r="J23" s="120"/>
      <c r="K23" s="13"/>
      <c r="M23" s="227">
        <f t="shared" si="5"/>
        <v>5</v>
      </c>
      <c r="N23" s="8">
        <f t="shared" si="6"/>
        <v>0</v>
      </c>
      <c r="O23" s="13"/>
      <c r="P23" s="191"/>
      <c r="Q23" s="66"/>
      <c r="R23" s="66"/>
      <c r="S23" s="66"/>
      <c r="T23" s="154"/>
      <c r="V23" s="2" t="str">
        <f t="shared" si="0"/>
        <v/>
      </c>
      <c r="W23" s="2" t="str">
        <f t="shared" si="1"/>
        <v/>
      </c>
      <c r="X23" s="2" t="str">
        <f t="shared" si="2"/>
        <v/>
      </c>
      <c r="Y23" s="2" t="str">
        <f t="shared" si="3"/>
        <v/>
      </c>
      <c r="Z23" s="2" t="str">
        <f t="shared" si="4"/>
        <v/>
      </c>
      <c r="AA23" s="144">
        <f>IF(SUM(V23:Z23)=0,0,Setup!F$44/SUM(V23:Z23))</f>
        <v>0</v>
      </c>
    </row>
    <row r="24" spans="1:27" x14ac:dyDescent="0.2">
      <c r="A24" s="91" t="str">
        <f>Matchups!C21</f>
        <v>Dave</v>
      </c>
      <c r="B24" s="341"/>
      <c r="C24" s="119"/>
      <c r="D24" s="119"/>
      <c r="E24" s="119"/>
      <c r="F24" s="119"/>
      <c r="G24" s="119"/>
      <c r="H24" s="119"/>
      <c r="I24" s="119"/>
      <c r="J24" s="120">
        <v>43</v>
      </c>
      <c r="K24" s="13">
        <f t="shared" si="7"/>
        <v>43</v>
      </c>
      <c r="M24" s="227" t="str">
        <f t="shared" si="5"/>
        <v>Dave</v>
      </c>
      <c r="N24" s="8">
        <f t="shared" si="6"/>
        <v>43</v>
      </c>
      <c r="O24" s="13"/>
      <c r="P24" s="191"/>
      <c r="Q24" s="66"/>
      <c r="R24" s="66"/>
      <c r="S24" s="66"/>
      <c r="T24" s="154"/>
      <c r="V24" s="2" t="str">
        <f t="shared" si="0"/>
        <v/>
      </c>
      <c r="W24" s="2" t="str">
        <f t="shared" si="1"/>
        <v/>
      </c>
      <c r="X24" s="2" t="str">
        <f t="shared" si="2"/>
        <v/>
      </c>
      <c r="Y24" s="2" t="str">
        <f t="shared" si="3"/>
        <v/>
      </c>
      <c r="Z24" s="2" t="str">
        <f t="shared" si="4"/>
        <v/>
      </c>
      <c r="AA24" s="144">
        <f>IF(SUM(V24:Z24)=0,0,Setup!F$44/SUM(V24:Z24))</f>
        <v>0</v>
      </c>
    </row>
    <row r="25" spans="1:27" hidden="1" x14ac:dyDescent="0.2">
      <c r="A25" s="91">
        <f>Matchups!C22</f>
        <v>5</v>
      </c>
      <c r="B25" s="341"/>
      <c r="C25" s="119"/>
      <c r="D25" s="119"/>
      <c r="E25" s="119"/>
      <c r="F25" s="119"/>
      <c r="G25" s="119"/>
      <c r="H25" s="119"/>
      <c r="I25" s="119"/>
      <c r="J25" s="120"/>
      <c r="K25" s="13"/>
      <c r="M25" s="227">
        <f t="shared" si="5"/>
        <v>5</v>
      </c>
      <c r="N25" s="8">
        <f t="shared" si="6"/>
        <v>0</v>
      </c>
      <c r="O25" s="13"/>
      <c r="P25" s="191"/>
      <c r="Q25" s="66"/>
      <c r="R25" s="66"/>
      <c r="S25" s="66"/>
      <c r="T25" s="154"/>
      <c r="V25" s="2" t="str">
        <f t="shared" si="0"/>
        <v/>
      </c>
      <c r="W25" s="2" t="str">
        <f t="shared" si="1"/>
        <v/>
      </c>
      <c r="X25" s="2" t="str">
        <f t="shared" si="2"/>
        <v/>
      </c>
      <c r="Y25" s="2" t="str">
        <f t="shared" si="3"/>
        <v/>
      </c>
      <c r="Z25" s="2" t="str">
        <f t="shared" si="4"/>
        <v/>
      </c>
      <c r="AA25" s="144">
        <f>IF(SUM(V25:Z25)=0,0,Setup!F$44/SUM(V25:Z25))</f>
        <v>0</v>
      </c>
    </row>
    <row r="26" spans="1:27" x14ac:dyDescent="0.2">
      <c r="A26" s="91" t="str">
        <f>Matchups!C23</f>
        <v>Hunter</v>
      </c>
      <c r="B26" s="341"/>
      <c r="C26" s="119"/>
      <c r="D26" s="119"/>
      <c r="E26" s="119"/>
      <c r="F26" s="119"/>
      <c r="G26" s="119"/>
      <c r="H26" s="119"/>
      <c r="I26" s="119"/>
      <c r="J26" s="120">
        <v>60</v>
      </c>
      <c r="K26" s="13">
        <f t="shared" si="7"/>
        <v>60</v>
      </c>
      <c r="M26" s="227" t="str">
        <f t="shared" si="5"/>
        <v>Hunter</v>
      </c>
      <c r="N26" s="8">
        <f t="shared" si="6"/>
        <v>60</v>
      </c>
      <c r="O26" s="13"/>
      <c r="P26" s="191"/>
      <c r="Q26" s="66"/>
      <c r="R26" s="66"/>
      <c r="S26" s="66"/>
      <c r="T26" s="154"/>
      <c r="V26" s="2" t="str">
        <f t="shared" si="0"/>
        <v/>
      </c>
      <c r="W26" s="2" t="str">
        <f t="shared" si="1"/>
        <v/>
      </c>
      <c r="X26" s="2" t="str">
        <f t="shared" si="2"/>
        <v/>
      </c>
      <c r="Y26" s="2" t="str">
        <f t="shared" si="3"/>
        <v/>
      </c>
      <c r="Z26" s="2" t="str">
        <f t="shared" si="4"/>
        <v/>
      </c>
      <c r="AA26" s="144">
        <f>IF(SUM(V26:Z26)=0,0,Setup!F$44/SUM(V26:Z26))</f>
        <v>0</v>
      </c>
    </row>
    <row r="27" spans="1:27" hidden="1" x14ac:dyDescent="0.2">
      <c r="A27" s="91">
        <f>Matchups!C24</f>
        <v>7</v>
      </c>
      <c r="B27" s="341"/>
      <c r="C27" s="119"/>
      <c r="D27" s="119"/>
      <c r="E27" s="119"/>
      <c r="F27" s="119"/>
      <c r="G27" s="119"/>
      <c r="H27" s="119"/>
      <c r="I27" s="119"/>
      <c r="J27" s="120"/>
      <c r="K27" s="13"/>
      <c r="M27" s="227">
        <f t="shared" si="5"/>
        <v>7</v>
      </c>
      <c r="N27" s="8">
        <f t="shared" si="6"/>
        <v>0</v>
      </c>
      <c r="O27" s="13"/>
      <c r="P27" s="191"/>
      <c r="Q27" s="66"/>
      <c r="R27" s="66"/>
      <c r="S27" s="66"/>
      <c r="T27" s="154"/>
      <c r="V27" s="2" t="str">
        <f t="shared" si="0"/>
        <v/>
      </c>
      <c r="W27" s="2" t="str">
        <f t="shared" si="1"/>
        <v/>
      </c>
      <c r="X27" s="2" t="str">
        <f t="shared" si="2"/>
        <v/>
      </c>
      <c r="Y27" s="2" t="str">
        <f t="shared" si="3"/>
        <v/>
      </c>
      <c r="Z27" s="2" t="str">
        <f t="shared" si="4"/>
        <v/>
      </c>
      <c r="AA27" s="144">
        <f>IF(SUM(V27:Z27)=0,0,Setup!F$44/SUM(V27:Z27))</f>
        <v>0</v>
      </c>
    </row>
    <row r="28" spans="1:27" ht="13.5" thickBot="1" x14ac:dyDescent="0.25">
      <c r="A28" s="92" t="str">
        <f>Matchups!C25</f>
        <v>Gerald C</v>
      </c>
      <c r="B28" s="343"/>
      <c r="C28" s="122"/>
      <c r="D28" s="122"/>
      <c r="E28" s="122"/>
      <c r="F28" s="122"/>
      <c r="G28" s="122"/>
      <c r="H28" s="122"/>
      <c r="I28" s="122"/>
      <c r="J28" s="123">
        <v>54</v>
      </c>
      <c r="K28" s="14">
        <f t="shared" si="7"/>
        <v>54</v>
      </c>
      <c r="M28" s="228" t="str">
        <f t="shared" si="5"/>
        <v>Gerald C</v>
      </c>
      <c r="N28" s="11">
        <f t="shared" si="6"/>
        <v>54</v>
      </c>
      <c r="O28" s="14"/>
      <c r="P28" s="192"/>
      <c r="Q28" s="67"/>
      <c r="R28" s="67"/>
      <c r="S28" s="67"/>
      <c r="T28" s="157"/>
      <c r="V28" s="2" t="str">
        <f t="shared" si="0"/>
        <v/>
      </c>
      <c r="W28" s="2" t="str">
        <f t="shared" si="1"/>
        <v/>
      </c>
      <c r="X28" s="2" t="str">
        <f t="shared" si="2"/>
        <v/>
      </c>
      <c r="Y28" s="2" t="str">
        <f t="shared" si="3"/>
        <v/>
      </c>
      <c r="Z28" s="2" t="str">
        <f t="shared" si="4"/>
        <v/>
      </c>
      <c r="AA28" s="144">
        <f>IF(SUM(V28:Z28)=0,0,Setup!F$44/SUM(V28:Z28))</f>
        <v>0</v>
      </c>
    </row>
    <row r="29" spans="1:27" ht="13.5" hidden="1" thickBot="1" x14ac:dyDescent="0.25">
      <c r="A29" s="423">
        <f>Matchups!C26</f>
        <v>12</v>
      </c>
      <c r="B29" s="124"/>
      <c r="C29" s="125"/>
      <c r="D29" s="125"/>
      <c r="E29" s="125"/>
      <c r="F29" s="125"/>
      <c r="G29" s="125"/>
      <c r="H29" s="125"/>
      <c r="I29" s="125"/>
      <c r="J29" s="126"/>
      <c r="K29" s="250"/>
      <c r="M29" s="262">
        <f t="shared" si="5"/>
        <v>12</v>
      </c>
      <c r="N29" s="71">
        <f t="shared" si="6"/>
        <v>0</v>
      </c>
      <c r="O29" s="231"/>
      <c r="P29" s="537"/>
      <c r="Q29" s="158"/>
      <c r="R29" s="158"/>
      <c r="S29" s="158"/>
      <c r="T29" s="159"/>
      <c r="V29" s="2" t="str">
        <f t="shared" si="0"/>
        <v/>
      </c>
      <c r="W29" s="2" t="str">
        <f t="shared" si="1"/>
        <v/>
      </c>
      <c r="X29" s="2" t="str">
        <f t="shared" si="2"/>
        <v/>
      </c>
      <c r="Y29" s="2" t="str">
        <f t="shared" si="3"/>
        <v/>
      </c>
      <c r="Z29" s="2" t="str">
        <f t="shared" si="4"/>
        <v/>
      </c>
      <c r="AA29" s="144">
        <f>IF(SUM(V29:Z29)=0,0,Setup!F$44/SUM(V29:Z29))</f>
        <v>0</v>
      </c>
    </row>
    <row r="30" spans="1:27" x14ac:dyDescent="0.2">
      <c r="A30" s="90" t="str">
        <f>Matchups!C27</f>
        <v>Bob</v>
      </c>
      <c r="B30" s="339"/>
      <c r="C30" s="116"/>
      <c r="D30" s="116"/>
      <c r="E30" s="116"/>
      <c r="F30" s="116"/>
      <c r="G30" s="116"/>
      <c r="H30" s="116"/>
      <c r="I30" s="116"/>
      <c r="J30" s="401">
        <v>45</v>
      </c>
      <c r="K30" s="5">
        <f>SUM(B30:J30)</f>
        <v>45</v>
      </c>
      <c r="M30" s="227" t="str">
        <f t="shared" si="5"/>
        <v>Bob</v>
      </c>
      <c r="N30" s="8">
        <f t="shared" ref="N30:N36" si="8">K30</f>
        <v>45</v>
      </c>
      <c r="O30" s="13"/>
      <c r="P30" s="191"/>
      <c r="Q30" s="66"/>
      <c r="R30" s="66"/>
      <c r="S30" s="66"/>
      <c r="T30" s="154"/>
      <c r="V30" s="2" t="str">
        <f t="shared" si="0"/>
        <v/>
      </c>
      <c r="W30" s="2" t="str">
        <f t="shared" si="1"/>
        <v/>
      </c>
      <c r="X30" s="2" t="str">
        <f t="shared" si="2"/>
        <v/>
      </c>
      <c r="Y30" s="2" t="str">
        <f t="shared" si="3"/>
        <v/>
      </c>
      <c r="Z30" s="2" t="str">
        <f t="shared" si="4"/>
        <v/>
      </c>
      <c r="AA30" s="144">
        <f>IF(SUM(V30:Z30)=0,0,Setup!F$44/SUM(V30:Z30))</f>
        <v>0</v>
      </c>
    </row>
    <row r="31" spans="1:27" hidden="1" x14ac:dyDescent="0.2">
      <c r="A31" s="91">
        <f>Matchups!C28</f>
        <v>10</v>
      </c>
      <c r="B31" s="341"/>
      <c r="C31" s="119"/>
      <c r="D31" s="119"/>
      <c r="E31" s="119"/>
      <c r="F31" s="119"/>
      <c r="G31" s="119"/>
      <c r="H31" s="119"/>
      <c r="I31" s="119"/>
      <c r="J31" s="402"/>
      <c r="K31" s="8"/>
      <c r="M31" s="227">
        <f t="shared" si="5"/>
        <v>10</v>
      </c>
      <c r="N31" s="8">
        <f t="shared" si="8"/>
        <v>0</v>
      </c>
      <c r="O31" s="13"/>
      <c r="P31" s="191"/>
      <c r="Q31" s="66"/>
      <c r="R31" s="66"/>
      <c r="S31" s="66"/>
      <c r="T31" s="154"/>
      <c r="V31" s="2" t="str">
        <f t="shared" si="0"/>
        <v/>
      </c>
      <c r="W31" s="2" t="str">
        <f t="shared" si="1"/>
        <v/>
      </c>
      <c r="X31" s="2" t="str">
        <f t="shared" si="2"/>
        <v/>
      </c>
      <c r="Y31" s="2" t="str">
        <f t="shared" si="3"/>
        <v/>
      </c>
      <c r="Z31" s="2" t="str">
        <f t="shared" si="4"/>
        <v/>
      </c>
      <c r="AA31" s="144">
        <f>IF(SUM(V31:Z31)=0,0,Setup!F$44/SUM(V31:Z31))</f>
        <v>0</v>
      </c>
    </row>
    <row r="32" spans="1:27" x14ac:dyDescent="0.2">
      <c r="A32" s="91" t="str">
        <f>Matchups!C29</f>
        <v>Patrick</v>
      </c>
      <c r="B32" s="341"/>
      <c r="C32" s="119"/>
      <c r="D32" s="119"/>
      <c r="E32" s="119"/>
      <c r="F32" s="119"/>
      <c r="G32" s="119"/>
      <c r="H32" s="119"/>
      <c r="I32" s="119"/>
      <c r="J32" s="402">
        <v>49</v>
      </c>
      <c r="K32" s="8">
        <f>SUM(B32:J32)</f>
        <v>49</v>
      </c>
      <c r="M32" s="227" t="str">
        <f t="shared" si="5"/>
        <v>Patrick</v>
      </c>
      <c r="N32" s="8">
        <f t="shared" si="8"/>
        <v>49</v>
      </c>
      <c r="O32" s="13"/>
      <c r="P32" s="191"/>
      <c r="Q32" s="66"/>
      <c r="R32" s="66"/>
      <c r="S32" s="66"/>
      <c r="T32" s="154"/>
      <c r="V32" s="2" t="str">
        <f t="shared" si="0"/>
        <v/>
      </c>
      <c r="W32" s="2" t="str">
        <f t="shared" si="1"/>
        <v/>
      </c>
      <c r="X32" s="2" t="str">
        <f t="shared" si="2"/>
        <v/>
      </c>
      <c r="Y32" s="2" t="str">
        <f t="shared" si="3"/>
        <v/>
      </c>
      <c r="Z32" s="2" t="str">
        <f t="shared" si="4"/>
        <v/>
      </c>
      <c r="AA32" s="144">
        <f>IF(SUM(V32:Z32)=0,0,Setup!F$44/SUM(V32:Z32))</f>
        <v>0</v>
      </c>
    </row>
    <row r="33" spans="1:27" hidden="1" x14ac:dyDescent="0.2">
      <c r="A33" s="91">
        <f>Matchups!C30</f>
        <v>8</v>
      </c>
      <c r="B33" s="341"/>
      <c r="C33" s="119"/>
      <c r="D33" s="119"/>
      <c r="E33" s="119"/>
      <c r="F33" s="119"/>
      <c r="G33" s="119"/>
      <c r="H33" s="119"/>
      <c r="I33" s="119"/>
      <c r="J33" s="402"/>
      <c r="K33" s="8"/>
      <c r="M33" s="227">
        <f t="shared" si="5"/>
        <v>8</v>
      </c>
      <c r="N33" s="8">
        <f t="shared" si="8"/>
        <v>0</v>
      </c>
      <c r="O33" s="13"/>
      <c r="P33" s="191"/>
      <c r="Q33" s="66"/>
      <c r="R33" s="66"/>
      <c r="S33" s="66"/>
      <c r="T33" s="154"/>
      <c r="V33" s="2" t="str">
        <f t="shared" si="0"/>
        <v/>
      </c>
      <c r="W33" s="2" t="str">
        <f t="shared" si="1"/>
        <v/>
      </c>
      <c r="X33" s="2" t="str">
        <f t="shared" si="2"/>
        <v/>
      </c>
      <c r="Y33" s="2" t="str">
        <f t="shared" si="3"/>
        <v/>
      </c>
      <c r="Z33" s="2" t="str">
        <f t="shared" si="4"/>
        <v/>
      </c>
      <c r="AA33" s="144">
        <f>IF(SUM(V33:Z33)=0,0,Setup!F$44/SUM(V33:Z33))</f>
        <v>0</v>
      </c>
    </row>
    <row r="34" spans="1:27" s="425" customFormat="1" x14ac:dyDescent="0.2">
      <c r="A34" s="91" t="str">
        <f>Matchups!C31</f>
        <v>Brian S</v>
      </c>
      <c r="B34" s="341"/>
      <c r="C34" s="119"/>
      <c r="D34" s="119"/>
      <c r="E34" s="119"/>
      <c r="F34" s="119"/>
      <c r="G34" s="119"/>
      <c r="H34" s="119"/>
      <c r="I34" s="119"/>
      <c r="J34" s="402">
        <v>57</v>
      </c>
      <c r="K34" s="8">
        <f>SUM(B34:J34)</f>
        <v>57</v>
      </c>
      <c r="M34" s="227" t="str">
        <f t="shared" si="5"/>
        <v>Brian S</v>
      </c>
      <c r="N34" s="8">
        <f t="shared" si="8"/>
        <v>57</v>
      </c>
      <c r="O34" s="535"/>
      <c r="P34" s="191"/>
      <c r="Q34" s="66"/>
      <c r="R34" s="66"/>
      <c r="S34" s="66"/>
      <c r="T34" s="154"/>
      <c r="V34" s="2" t="str">
        <f t="shared" si="0"/>
        <v/>
      </c>
      <c r="W34" s="2" t="str">
        <f t="shared" si="1"/>
        <v/>
      </c>
      <c r="X34" s="2" t="str">
        <f t="shared" si="2"/>
        <v/>
      </c>
      <c r="Y34" s="2" t="str">
        <f t="shared" si="3"/>
        <v/>
      </c>
      <c r="Z34" s="2" t="str">
        <f t="shared" si="4"/>
        <v/>
      </c>
      <c r="AA34" s="144">
        <f>IF(SUM(V34:Z34)=0,0,Setup!F$44/SUM(V34:Z34))</f>
        <v>0</v>
      </c>
    </row>
    <row r="35" spans="1:27" s="425" customFormat="1" hidden="1" x14ac:dyDescent="0.2">
      <c r="A35" s="91">
        <f>Matchups!C32</f>
        <v>13</v>
      </c>
      <c r="B35" s="341"/>
      <c r="C35" s="119"/>
      <c r="D35" s="119"/>
      <c r="E35" s="119"/>
      <c r="F35" s="119"/>
      <c r="G35" s="119"/>
      <c r="H35" s="119"/>
      <c r="I35" s="119"/>
      <c r="J35" s="402"/>
      <c r="K35" s="545"/>
      <c r="M35" s="227">
        <f t="shared" si="5"/>
        <v>13</v>
      </c>
      <c r="N35" s="528"/>
      <c r="O35" s="535"/>
      <c r="P35" s="191"/>
      <c r="Q35" s="66"/>
      <c r="R35" s="66"/>
      <c r="S35" s="66"/>
      <c r="T35" s="154"/>
      <c r="V35" s="2" t="str">
        <f t="shared" si="0"/>
        <v/>
      </c>
      <c r="W35" s="2" t="str">
        <f t="shared" si="1"/>
        <v/>
      </c>
      <c r="X35" s="2" t="str">
        <f t="shared" si="2"/>
        <v/>
      </c>
      <c r="Y35" s="2" t="str">
        <f t="shared" si="3"/>
        <v/>
      </c>
      <c r="Z35" s="2" t="str">
        <f t="shared" si="4"/>
        <v/>
      </c>
      <c r="AA35" s="144">
        <f>IF(SUM(V35:Z35)=0,0,Setup!F$44/SUM(V35:Z35))</f>
        <v>0</v>
      </c>
    </row>
    <row r="36" spans="1:27" s="425" customFormat="1" ht="13.5" thickBot="1" x14ac:dyDescent="0.25">
      <c r="A36" s="92" t="str">
        <f>Matchups!C33</f>
        <v>Chris</v>
      </c>
      <c r="B36" s="343"/>
      <c r="C36" s="122"/>
      <c r="D36" s="122"/>
      <c r="E36" s="122"/>
      <c r="F36" s="122"/>
      <c r="G36" s="122"/>
      <c r="H36" s="122"/>
      <c r="I36" s="122"/>
      <c r="J36" s="403">
        <v>63</v>
      </c>
      <c r="K36" s="11">
        <f>SUM(B36:J36)</f>
        <v>63</v>
      </c>
      <c r="M36" s="228" t="str">
        <f t="shared" si="5"/>
        <v>Chris</v>
      </c>
      <c r="N36" s="11">
        <f t="shared" si="8"/>
        <v>63</v>
      </c>
      <c r="O36" s="536"/>
      <c r="P36" s="192"/>
      <c r="Q36" s="67"/>
      <c r="R36" s="67"/>
      <c r="S36" s="67"/>
      <c r="T36" s="157"/>
      <c r="V36" s="2" t="str">
        <f t="shared" si="0"/>
        <v/>
      </c>
      <c r="W36" s="2" t="str">
        <f t="shared" si="1"/>
        <v/>
      </c>
      <c r="X36" s="2" t="str">
        <f t="shared" si="2"/>
        <v/>
      </c>
      <c r="Y36" s="2" t="str">
        <f t="shared" si="3"/>
        <v/>
      </c>
      <c r="Z36" s="2" t="str">
        <f t="shared" si="4"/>
        <v/>
      </c>
      <c r="AA36" s="144">
        <f>IF(SUM(V36:Z36)=0,0,Setup!F$44/SUM(V36:Z36))</f>
        <v>0</v>
      </c>
    </row>
    <row r="37" spans="1:27" s="425" customFormat="1" ht="13.5" hidden="1" thickBot="1" x14ac:dyDescent="0.25">
      <c r="A37" s="689">
        <f>Matchups!C34</f>
        <v>15</v>
      </c>
      <c r="B37" s="683"/>
      <c r="C37" s="684"/>
      <c r="D37" s="684"/>
      <c r="E37" s="684"/>
      <c r="F37" s="684"/>
      <c r="G37" s="684"/>
      <c r="H37" s="684"/>
      <c r="I37" s="684"/>
      <c r="J37" s="685"/>
      <c r="K37" s="546"/>
      <c r="M37" s="333">
        <f t="shared" si="5"/>
        <v>15</v>
      </c>
      <c r="N37" s="545"/>
      <c r="O37" s="525"/>
      <c r="P37" s="558"/>
      <c r="Q37" s="394"/>
      <c r="R37" s="394"/>
      <c r="S37" s="394"/>
      <c r="T37" s="405"/>
      <c r="V37" s="2" t="str">
        <f t="shared" si="0"/>
        <v/>
      </c>
      <c r="W37" s="2" t="str">
        <f t="shared" si="1"/>
        <v/>
      </c>
      <c r="X37" s="2" t="str">
        <f t="shared" si="2"/>
        <v/>
      </c>
      <c r="Y37" s="2" t="str">
        <f t="shared" si="3"/>
        <v/>
      </c>
      <c r="Z37" s="2" t="str">
        <f t="shared" si="4"/>
        <v/>
      </c>
      <c r="AA37" s="144">
        <f>IF(SUM(V37:Z37)=0,0,Setup!F$44/SUM(V37:Z37))</f>
        <v>0</v>
      </c>
    </row>
    <row r="38" spans="1:27" x14ac:dyDescent="0.2">
      <c r="S38" s="52">
        <f>COUNTIF(S6:S37,1)</f>
        <v>0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09EFF9FF2781448376B068DF4B7174" ma:contentTypeVersion="12" ma:contentTypeDescription="Create a new document." ma:contentTypeScope="" ma:versionID="3e273081c6c9ddfe5df62cfd9db7a189">
  <xsd:schema xmlns:xsd="http://www.w3.org/2001/XMLSchema" xmlns:xs="http://www.w3.org/2001/XMLSchema" xmlns:p="http://schemas.microsoft.com/office/2006/metadata/properties" xmlns:ns3="a993aef8-5311-476e-bb24-6008910df66a" xmlns:ns4="fd63f369-5cfa-499b-a5b7-48cb5d887f11" targetNamespace="http://schemas.microsoft.com/office/2006/metadata/properties" ma:root="true" ma:fieldsID="301ca36d88dbcf0e70db37e029a6a334" ns3:_="" ns4:_="">
    <xsd:import namespace="a993aef8-5311-476e-bb24-6008910df66a"/>
    <xsd:import namespace="fd63f369-5cfa-499b-a5b7-48cb5d887f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93aef8-5311-476e-bb24-6008910df66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3f369-5cfa-499b-a5b7-48cb5d887f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748CE3-FF21-4FB1-B9EF-12BC094DBD90}">
  <ds:schemaRefs>
    <ds:schemaRef ds:uri="a993aef8-5311-476e-bb24-6008910df66a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fd63f369-5cfa-499b-a5b7-48cb5d887f11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3BAE10A-BDCB-4B8B-9D52-F1B14C0690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40C457-C2B6-4CD7-BE57-57807F20BC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93aef8-5311-476e-bb24-6008910df66a"/>
    <ds:schemaRef ds:uri="fd63f369-5cfa-499b-a5b7-48cb5d887f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Setup</vt:lpstr>
      <vt:lpstr>Courses</vt:lpstr>
      <vt:lpstr>Matchups</vt:lpstr>
      <vt:lpstr>Scores</vt:lpstr>
      <vt:lpstr>Points</vt:lpstr>
      <vt:lpstr>Leaderboard</vt:lpstr>
      <vt:lpstr>Results</vt:lpstr>
      <vt:lpstr>Day 1 - Match 1</vt:lpstr>
      <vt:lpstr>Day 1 - Match 2</vt:lpstr>
      <vt:lpstr>Day 1 - Match 3</vt:lpstr>
      <vt:lpstr>Day 2A - Match 4</vt:lpstr>
      <vt:lpstr>Day 2A - Match 5</vt:lpstr>
      <vt:lpstr>Day 2A - Match 6</vt:lpstr>
      <vt:lpstr>Day 2B - Match 7</vt:lpstr>
      <vt:lpstr>Day 2B - Match 8</vt:lpstr>
      <vt:lpstr>Day 2B - Match 9</vt:lpstr>
      <vt:lpstr>Day 3 - Match 10</vt:lpstr>
      <vt:lpstr>Day 3 - Match 11</vt:lpstr>
      <vt:lpstr>Day 3 - Match 12</vt:lpstr>
      <vt:lpstr>Scramble</vt:lpstr>
      <vt:lpstr>Day 4 - Front 9</vt:lpstr>
      <vt:lpstr>Day 4 - Back 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Keiner</dc:creator>
  <cp:keywords/>
  <dc:description/>
  <cp:lastModifiedBy>Rick Keiner</cp:lastModifiedBy>
  <cp:lastPrinted>2022-05-04T20:04:03Z</cp:lastPrinted>
  <dcterms:created xsi:type="dcterms:W3CDTF">2013-07-15T00:21:24Z</dcterms:created>
  <dcterms:modified xsi:type="dcterms:W3CDTF">2022-05-16T12:10:12Z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0x0101002D09EFF9FF2781448376B068DF4B7174</vt:lpwstr>
  </property>
</Properties>
</file>